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10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eiorg-my.sharepoint.com/personal/camilo_gonzalez_sei_org/Documents/SEI - Camilo Gonzalez/Tutorial_WaTT/Workshop1_WaTT_24-May-2022/"/>
    </mc:Choice>
  </mc:AlternateContent>
  <xr:revisionPtr revIDLastSave="54" documentId="8_{44AE2A21-0A0D-46D2-9BC5-13DC608EE61C}" xr6:coauthVersionLast="47" xr6:coauthVersionMax="47" xr10:uidLastSave="{11A6F190-D19D-45A3-9D2E-7A517E079314}"/>
  <bookViews>
    <workbookView xWindow="28680" yWindow="-120" windowWidth="29040" windowHeight="15840" tabRatio="900" firstSheet="3" activeTab="3" xr2:uid="{00000000-000D-0000-FFFF-FFFF00000000}"/>
  </bookViews>
  <sheets>
    <sheet name="Guide" sheetId="18" state="hidden" r:id="rId1"/>
    <sheet name="Workflow" sheetId="66" state="hidden" r:id="rId2"/>
    <sheet name="About" sheetId="19" state="hidden" r:id="rId3"/>
    <sheet name="I. WEAP Query setup" sheetId="20" r:id="rId4"/>
    <sheet name="II. Read Topology" sheetId="24" r:id="rId5"/>
    <sheet name="III. WaTT Main" sheetId="35" r:id="rId6"/>
    <sheet name="WaTT_RAW_Output" sheetId="17" r:id="rId7"/>
    <sheet name="WEAP_RAW" sheetId="65" r:id="rId8"/>
    <sheet name="TD_WEAP_RAW" sheetId="73" r:id="rId9"/>
    <sheet name="WaTT_Processed_Outputs" sheetId="72" r:id="rId10"/>
    <sheet name="WaTT_Processed_Outputs _USERS" sheetId="62" r:id="rId11"/>
    <sheet name="WaTT_DB_CompiledOutputs" sheetId="64" state="hidden" r:id="rId12"/>
    <sheet name="Estrategia_cuenca" sheetId="63" state="hidden" r:id="rId13"/>
    <sheet name="PROCESSED_WEAP_DATA" sheetId="58" state="hidden" r:id="rId14"/>
    <sheet name="RAW_WEAP_DATA" sheetId="22" state="hidden" r:id="rId15"/>
    <sheet name="WEAP_Catchment_Topology" sheetId="11" r:id="rId16"/>
    <sheet name="WEAP_RiverReaches_Topology" sheetId="10" r:id="rId17"/>
    <sheet name="WEAP_UsersTopology" sheetId="23" r:id="rId18"/>
    <sheet name="WEAP_Barriers" sheetId="61" r:id="rId19"/>
    <sheet name="Hoja3" sheetId="71" state="hidden" r:id="rId20"/>
    <sheet name="WEAP_BasinMouth" sheetId="54" r:id="rId21"/>
    <sheet name="APP" sheetId="8" state="hidden" r:id="rId22"/>
    <sheet name="ESRI_MAPINFO_SHEET" sheetId="9" state="veryHidden" r:id="rId23"/>
  </sheets>
  <functionGroups builtInGroupCount="19"/>
  <definedNames>
    <definedName name="_xlnm._FilterDatabase" localSheetId="21" hidden="1">APP!$A$1:$E$465</definedName>
    <definedName name="_xlnm._FilterDatabase" localSheetId="5" hidden="1">'III. WaTT Main'!$A$2:$D$41</definedName>
    <definedName name="_xlnm._FilterDatabase" localSheetId="9" hidden="1">WaTT_Processed_Outputs!$A$1:$G$1</definedName>
    <definedName name="_xlnm._FilterDatabase" localSheetId="10" hidden="1">'WaTT_Processed_Outputs _USERS'!$A$2:$F$300</definedName>
    <definedName name="_xlnm._FilterDatabase" localSheetId="6" hidden="1">WaTT_RAW_Output!$A$1:$D$1029</definedName>
    <definedName name="_xlnm._FilterDatabase" localSheetId="18" hidden="1">WEAP_Barriers!$A$1:$E$139</definedName>
    <definedName name="_xlnm._FilterDatabase" localSheetId="7" hidden="1">WEAP_RAW!$A$1:$H$1222</definedName>
    <definedName name="_xlnm._FilterDatabase" localSheetId="16" hidden="1">WEAP_RiverReaches_Topology!$A$1:$AK$1029</definedName>
    <definedName name="_xlnm.Database" localSheetId="18">WEAP_Barriers!$A$1:$V$214</definedName>
    <definedName name="_xlnm.Database" localSheetId="15">WEAP_Catchment_Topology!$A$1:$U$214</definedName>
    <definedName name="_xlnm.Database">WEAP_RiverReaches_Topology!$A$1:$AK$465</definedName>
  </definedNames>
  <calcPr calcId="191029"/>
  <pivotCaches>
    <pivotCache cacheId="2" r:id="rId2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35" l="1"/>
  <c r="D5" i="35"/>
  <c r="D6" i="35"/>
  <c r="D7" i="35"/>
  <c r="D8" i="35"/>
  <c r="D9" i="35"/>
  <c r="D10" i="35"/>
  <c r="D11" i="35"/>
  <c r="D12" i="35"/>
  <c r="D13" i="35"/>
  <c r="D3" i="35"/>
  <c r="B25" i="72"/>
  <c r="B26" i="72"/>
  <c r="B27" i="72"/>
  <c r="B28" i="72"/>
  <c r="B29" i="72"/>
  <c r="B30" i="72"/>
  <c r="B31" i="72"/>
  <c r="B32" i="72"/>
  <c r="B33" i="72"/>
  <c r="B34" i="72"/>
  <c r="B35" i="72"/>
  <c r="B36" i="72"/>
  <c r="B37" i="72"/>
  <c r="B38" i="72"/>
  <c r="B39" i="72"/>
  <c r="B40" i="72"/>
  <c r="B3" i="72"/>
  <c r="B4" i="72"/>
  <c r="B5" i="72"/>
  <c r="B6" i="72"/>
  <c r="B7" i="72"/>
  <c r="B8" i="72"/>
  <c r="B9" i="72"/>
  <c r="B10" i="72"/>
  <c r="B11" i="72"/>
  <c r="B12" i="72"/>
  <c r="B13" i="72"/>
  <c r="B14" i="72"/>
  <c r="B15" i="72"/>
  <c r="B16" i="72"/>
  <c r="B17" i="72"/>
  <c r="B18" i="72"/>
  <c r="B19" i="72"/>
  <c r="B20" i="72"/>
  <c r="B21" i="72"/>
  <c r="B22" i="72"/>
  <c r="B23" i="72"/>
  <c r="B24" i="72"/>
  <c r="A40" i="72"/>
  <c r="A25" i="72"/>
  <c r="A26" i="72"/>
  <c r="A27" i="72"/>
  <c r="A28" i="72"/>
  <c r="A29" i="72"/>
  <c r="A30" i="72"/>
  <c r="A31" i="72"/>
  <c r="A32" i="72"/>
  <c r="A33" i="72"/>
  <c r="A34" i="72"/>
  <c r="A35" i="72"/>
  <c r="A36" i="72"/>
  <c r="A37" i="72"/>
  <c r="A38" i="72"/>
  <c r="A39" i="72"/>
  <c r="A3" i="72"/>
  <c r="A4" i="72"/>
  <c r="A5" i="72"/>
  <c r="A6" i="72"/>
  <c r="A7" i="72"/>
  <c r="A8" i="72"/>
  <c r="A9" i="72"/>
  <c r="A10" i="72"/>
  <c r="A11" i="72"/>
  <c r="A12" i="72"/>
  <c r="A13" i="72"/>
  <c r="A14" i="72"/>
  <c r="A15" i="72"/>
  <c r="A16" i="72"/>
  <c r="A17" i="72"/>
  <c r="A18" i="72"/>
  <c r="A19" i="72"/>
  <c r="A20" i="72"/>
  <c r="A21" i="72"/>
  <c r="A22" i="72"/>
  <c r="A23" i="72"/>
  <c r="A24" i="72"/>
  <c r="A2" i="72"/>
  <c r="B2" i="72"/>
  <c r="L4" i="35"/>
  <c r="L12" i="35"/>
  <c r="L20" i="35"/>
  <c r="L28" i="35"/>
  <c r="L36" i="35"/>
  <c r="L44" i="35"/>
  <c r="L52" i="35"/>
  <c r="L60" i="35"/>
  <c r="L68" i="35"/>
  <c r="L76" i="35"/>
  <c r="L84" i="35"/>
  <c r="L92" i="35"/>
  <c r="L100" i="35"/>
  <c r="L108" i="35"/>
  <c r="L116" i="35"/>
  <c r="L124" i="35"/>
  <c r="L132" i="35"/>
  <c r="L140" i="35"/>
  <c r="L148" i="35"/>
  <c r="L156" i="35"/>
  <c r="L164" i="35"/>
  <c r="L172" i="35"/>
  <c r="L180" i="35"/>
  <c r="L188" i="35"/>
  <c r="L196" i="35"/>
  <c r="L204" i="35"/>
  <c r="L212" i="35"/>
  <c r="L220" i="35"/>
  <c r="L228" i="35"/>
  <c r="L236" i="35"/>
  <c r="L244" i="35"/>
  <c r="L252" i="35"/>
  <c r="L260" i="35"/>
  <c r="L268" i="35"/>
  <c r="L276" i="35"/>
  <c r="L284" i="35"/>
  <c r="L292" i="35"/>
  <c r="L300" i="35"/>
  <c r="L308" i="35"/>
  <c r="L316" i="35"/>
  <c r="L324" i="35"/>
  <c r="L332" i="35"/>
  <c r="L340" i="35"/>
  <c r="L348" i="35"/>
  <c r="L356" i="35"/>
  <c r="L364" i="35"/>
  <c r="L372" i="35"/>
  <c r="L380" i="35"/>
  <c r="L388" i="35"/>
  <c r="L396" i="35"/>
  <c r="L404" i="35"/>
  <c r="L412" i="35"/>
  <c r="L420" i="35"/>
  <c r="L428" i="35"/>
  <c r="L436" i="35"/>
  <c r="L444" i="35"/>
  <c r="L452" i="35"/>
  <c r="L460" i="35"/>
  <c r="L468" i="35"/>
  <c r="L476" i="35"/>
  <c r="L484" i="35"/>
  <c r="L492" i="35"/>
  <c r="L500" i="35"/>
  <c r="L508" i="35"/>
  <c r="L516" i="35"/>
  <c r="L5" i="35"/>
  <c r="L13" i="35"/>
  <c r="L21" i="35"/>
  <c r="L29" i="35"/>
  <c r="L37" i="35"/>
  <c r="L45" i="35"/>
  <c r="L53" i="35"/>
  <c r="L61" i="35"/>
  <c r="L69" i="35"/>
  <c r="L77" i="35"/>
  <c r="L85" i="35"/>
  <c r="L93" i="35"/>
  <c r="L101" i="35"/>
  <c r="L109" i="35"/>
  <c r="L117" i="35"/>
  <c r="L125" i="35"/>
  <c r="L133" i="35"/>
  <c r="L141" i="35"/>
  <c r="L149" i="35"/>
  <c r="L157" i="35"/>
  <c r="L165" i="35"/>
  <c r="L173" i="35"/>
  <c r="L181" i="35"/>
  <c r="L189" i="35"/>
  <c r="L197" i="35"/>
  <c r="L205" i="35"/>
  <c r="L213" i="35"/>
  <c r="L221" i="35"/>
  <c r="L229" i="35"/>
  <c r="L237" i="35"/>
  <c r="L245" i="35"/>
  <c r="L253" i="35"/>
  <c r="L261" i="35"/>
  <c r="L269" i="35"/>
  <c r="L277" i="35"/>
  <c r="L285" i="35"/>
  <c r="L293" i="35"/>
  <c r="L301" i="35"/>
  <c r="L309" i="35"/>
  <c r="L317" i="35"/>
  <c r="L325" i="35"/>
  <c r="L333" i="35"/>
  <c r="L341" i="35"/>
  <c r="L349" i="35"/>
  <c r="L357" i="35"/>
  <c r="L365" i="35"/>
  <c r="L373" i="35"/>
  <c r="L381" i="35"/>
  <c r="L389" i="35"/>
  <c r="L397" i="35"/>
  <c r="L405" i="35"/>
  <c r="L413" i="35"/>
  <c r="L421" i="35"/>
  <c r="L429" i="35"/>
  <c r="L437" i="35"/>
  <c r="L445" i="35"/>
  <c r="L453" i="35"/>
  <c r="L461" i="35"/>
  <c r="L469" i="35"/>
  <c r="L477" i="35"/>
  <c r="L485" i="35"/>
  <c r="L493" i="35"/>
  <c r="L501" i="35"/>
  <c r="L509" i="35"/>
  <c r="L517" i="35"/>
  <c r="L525" i="35"/>
  <c r="L533" i="35"/>
  <c r="L541" i="35"/>
  <c r="L549" i="35"/>
  <c r="L557" i="35"/>
  <c r="L565" i="35"/>
  <c r="L573" i="35"/>
  <c r="L581" i="35"/>
  <c r="L589" i="35"/>
  <c r="L597" i="35"/>
  <c r="L605" i="35"/>
  <c r="L613" i="35"/>
  <c r="L621" i="35"/>
  <c r="L629" i="35"/>
  <c r="L637" i="35"/>
  <c r="L645" i="35"/>
  <c r="L653" i="35"/>
  <c r="L661" i="35"/>
  <c r="L669" i="35"/>
  <c r="L677" i="35"/>
  <c r="L685" i="35"/>
  <c r="L693" i="35"/>
  <c r="L701" i="35"/>
  <c r="L709" i="35"/>
  <c r="L717" i="35"/>
  <c r="L725" i="35"/>
  <c r="L733" i="35"/>
  <c r="L741" i="35"/>
  <c r="L749" i="35"/>
  <c r="L757" i="35"/>
  <c r="L765" i="35"/>
  <c r="L773" i="35"/>
  <c r="L781" i="35"/>
  <c r="L789" i="35"/>
  <c r="L797" i="35"/>
  <c r="L805" i="35"/>
  <c r="L813" i="35"/>
  <c r="L821" i="35"/>
  <c r="L829" i="35"/>
  <c r="L837" i="35"/>
  <c r="L845" i="35"/>
  <c r="L853" i="35"/>
  <c r="L861" i="35"/>
  <c r="L869" i="35"/>
  <c r="L877" i="35"/>
  <c r="L885" i="35"/>
  <c r="L893" i="35"/>
  <c r="L901" i="35"/>
  <c r="L909" i="35"/>
  <c r="L917" i="35"/>
  <c r="L925" i="35"/>
  <c r="L933" i="35"/>
  <c r="L941" i="35"/>
  <c r="L949" i="35"/>
  <c r="L957" i="35"/>
  <c r="L965" i="35"/>
  <c r="L973" i="35"/>
  <c r="L981" i="35"/>
  <c r="L989" i="35"/>
  <c r="L997" i="35"/>
  <c r="L1005" i="35"/>
  <c r="L1013" i="35"/>
  <c r="L6" i="35"/>
  <c r="L14" i="35"/>
  <c r="L22" i="35"/>
  <c r="L30" i="35"/>
  <c r="L38" i="35"/>
  <c r="L46" i="35"/>
  <c r="L54" i="35"/>
  <c r="L62" i="35"/>
  <c r="L70" i="35"/>
  <c r="L78" i="35"/>
  <c r="L86" i="35"/>
  <c r="L94" i="35"/>
  <c r="L102" i="35"/>
  <c r="L110" i="35"/>
  <c r="L118" i="35"/>
  <c r="L126" i="35"/>
  <c r="L134" i="35"/>
  <c r="L142" i="35"/>
  <c r="L150" i="35"/>
  <c r="L158" i="35"/>
  <c r="L166" i="35"/>
  <c r="L174" i="35"/>
  <c r="L182" i="35"/>
  <c r="L190" i="35"/>
  <c r="L198" i="35"/>
  <c r="L206" i="35"/>
  <c r="L214" i="35"/>
  <c r="L222" i="35"/>
  <c r="L230" i="35"/>
  <c r="L238" i="35"/>
  <c r="L246" i="35"/>
  <c r="L254" i="35"/>
  <c r="L262" i="35"/>
  <c r="L270" i="35"/>
  <c r="L278" i="35"/>
  <c r="L286" i="35"/>
  <c r="L294" i="35"/>
  <c r="L302" i="35"/>
  <c r="L310" i="35"/>
  <c r="L318" i="35"/>
  <c r="L326" i="35"/>
  <c r="L334" i="35"/>
  <c r="L342" i="35"/>
  <c r="L350" i="35"/>
  <c r="L358" i="35"/>
  <c r="L366" i="35"/>
  <c r="L374" i="35"/>
  <c r="L382" i="35"/>
  <c r="L390" i="35"/>
  <c r="L398" i="35"/>
  <c r="L406" i="35"/>
  <c r="L414" i="35"/>
  <c r="L422" i="35"/>
  <c r="L430" i="35"/>
  <c r="L438" i="35"/>
  <c r="L446" i="35"/>
  <c r="L454" i="35"/>
  <c r="L462" i="35"/>
  <c r="L470" i="35"/>
  <c r="L478" i="35"/>
  <c r="L486" i="35"/>
  <c r="L494" i="35"/>
  <c r="L502" i="35"/>
  <c r="L510" i="35"/>
  <c r="L518" i="35"/>
  <c r="L526" i="35"/>
  <c r="L534" i="35"/>
  <c r="L542" i="35"/>
  <c r="L550" i="35"/>
  <c r="L558" i="35"/>
  <c r="L566" i="35"/>
  <c r="L574" i="35"/>
  <c r="L582" i="35"/>
  <c r="L590" i="35"/>
  <c r="L598" i="35"/>
  <c r="L606" i="35"/>
  <c r="L614" i="35"/>
  <c r="L622" i="35"/>
  <c r="L630" i="35"/>
  <c r="L638" i="35"/>
  <c r="L646" i="35"/>
  <c r="L654" i="35"/>
  <c r="L662" i="35"/>
  <c r="L670" i="35"/>
  <c r="L678" i="35"/>
  <c r="L686" i="35"/>
  <c r="L694" i="35"/>
  <c r="L702" i="35"/>
  <c r="L710" i="35"/>
  <c r="L718" i="35"/>
  <c r="L726" i="35"/>
  <c r="L734" i="35"/>
  <c r="L742" i="35"/>
  <c r="L750" i="35"/>
  <c r="L758" i="35"/>
  <c r="L766" i="35"/>
  <c r="L774" i="35"/>
  <c r="L782" i="35"/>
  <c r="L790" i="35"/>
  <c r="L7" i="35"/>
  <c r="L15" i="35"/>
  <c r="L23" i="35"/>
  <c r="L31" i="35"/>
  <c r="L39" i="35"/>
  <c r="L47" i="35"/>
  <c r="L55" i="35"/>
  <c r="L63" i="35"/>
  <c r="L71" i="35"/>
  <c r="L79" i="35"/>
  <c r="L87" i="35"/>
  <c r="L95" i="35"/>
  <c r="L103" i="35"/>
  <c r="L111" i="35"/>
  <c r="L119" i="35"/>
  <c r="L127" i="35"/>
  <c r="L135" i="35"/>
  <c r="L143" i="35"/>
  <c r="L151" i="35"/>
  <c r="L159" i="35"/>
  <c r="L167" i="35"/>
  <c r="L175" i="35"/>
  <c r="L183" i="35"/>
  <c r="L191" i="35"/>
  <c r="L199" i="35"/>
  <c r="L207" i="35"/>
  <c r="L215" i="35"/>
  <c r="L223" i="35"/>
  <c r="L231" i="35"/>
  <c r="L239" i="35"/>
  <c r="L247" i="35"/>
  <c r="L255" i="35"/>
  <c r="L263" i="35"/>
  <c r="L271" i="35"/>
  <c r="L279" i="35"/>
  <c r="L287" i="35"/>
  <c r="L295" i="35"/>
  <c r="L303" i="35"/>
  <c r="L311" i="35"/>
  <c r="L319" i="35"/>
  <c r="L327" i="35"/>
  <c r="L335" i="35"/>
  <c r="L343" i="35"/>
  <c r="L351" i="35"/>
  <c r="L359" i="35"/>
  <c r="L367" i="35"/>
  <c r="L375" i="35"/>
  <c r="L383" i="35"/>
  <c r="L391" i="35"/>
  <c r="L399" i="35"/>
  <c r="L407" i="35"/>
  <c r="L415" i="35"/>
  <c r="L423" i="35"/>
  <c r="L431" i="35"/>
  <c r="L439" i="35"/>
  <c r="L447" i="35"/>
  <c r="L455" i="35"/>
  <c r="L463" i="35"/>
  <c r="L471" i="35"/>
  <c r="L479" i="35"/>
  <c r="L487" i="35"/>
  <c r="L495" i="35"/>
  <c r="L503" i="35"/>
  <c r="L511" i="35"/>
  <c r="L519" i="35"/>
  <c r="L527" i="35"/>
  <c r="L535" i="35"/>
  <c r="L543" i="35"/>
  <c r="L551" i="35"/>
  <c r="L559" i="35"/>
  <c r="L567" i="35"/>
  <c r="L575" i="35"/>
  <c r="L583" i="35"/>
  <c r="L591" i="35"/>
  <c r="L599" i="35"/>
  <c r="L607" i="35"/>
  <c r="L615" i="35"/>
  <c r="L623" i="35"/>
  <c r="L631" i="35"/>
  <c r="L639" i="35"/>
  <c r="L647" i="35"/>
  <c r="L655" i="35"/>
  <c r="L663" i="35"/>
  <c r="L671" i="35"/>
  <c r="L679" i="35"/>
  <c r="L687" i="35"/>
  <c r="L695" i="35"/>
  <c r="L703" i="35"/>
  <c r="L711" i="35"/>
  <c r="L719" i="35"/>
  <c r="L727" i="35"/>
  <c r="L735" i="35"/>
  <c r="L743" i="35"/>
  <c r="L751" i="35"/>
  <c r="L759" i="35"/>
  <c r="L767" i="35"/>
  <c r="L775" i="35"/>
  <c r="L783" i="35"/>
  <c r="L791" i="35"/>
  <c r="L799" i="35"/>
  <c r="L807" i="35"/>
  <c r="L815" i="35"/>
  <c r="L823" i="35"/>
  <c r="L831" i="35"/>
  <c r="L839" i="35"/>
  <c r="L847" i="35"/>
  <c r="L855" i="35"/>
  <c r="L863" i="35"/>
  <c r="L871" i="35"/>
  <c r="L879" i="35"/>
  <c r="L887" i="35"/>
  <c r="L895" i="35"/>
  <c r="L903" i="35"/>
  <c r="L911" i="35"/>
  <c r="L919" i="35"/>
  <c r="L927" i="35"/>
  <c r="L935" i="35"/>
  <c r="L943" i="35"/>
  <c r="L951" i="35"/>
  <c r="L959" i="35"/>
  <c r="L967" i="35"/>
  <c r="L975" i="35"/>
  <c r="L983" i="35"/>
  <c r="L991" i="35"/>
  <c r="L999" i="35"/>
  <c r="L1007" i="35"/>
  <c r="L1015" i="35"/>
  <c r="L8" i="35"/>
  <c r="L16" i="35"/>
  <c r="L24" i="35"/>
  <c r="L32" i="35"/>
  <c r="L40" i="35"/>
  <c r="L48" i="35"/>
  <c r="L56" i="35"/>
  <c r="L64" i="35"/>
  <c r="L72" i="35"/>
  <c r="L80" i="35"/>
  <c r="L88" i="35"/>
  <c r="L96" i="35"/>
  <c r="L104" i="35"/>
  <c r="L112" i="35"/>
  <c r="L120" i="35"/>
  <c r="L128" i="35"/>
  <c r="L136" i="35"/>
  <c r="L144" i="35"/>
  <c r="L152" i="35"/>
  <c r="L160" i="35"/>
  <c r="L168" i="35"/>
  <c r="L176" i="35"/>
  <c r="L184" i="35"/>
  <c r="L192" i="35"/>
  <c r="L200" i="35"/>
  <c r="L208" i="35"/>
  <c r="L216" i="35"/>
  <c r="L224" i="35"/>
  <c r="L232" i="35"/>
  <c r="L240" i="35"/>
  <c r="L248" i="35"/>
  <c r="L256" i="35"/>
  <c r="L264" i="35"/>
  <c r="L272" i="35"/>
  <c r="L280" i="35"/>
  <c r="L288" i="35"/>
  <c r="L296" i="35"/>
  <c r="L304" i="35"/>
  <c r="L312" i="35"/>
  <c r="L320" i="35"/>
  <c r="L328" i="35"/>
  <c r="L336" i="35"/>
  <c r="L344" i="35"/>
  <c r="L352" i="35"/>
  <c r="L360" i="35"/>
  <c r="L368" i="35"/>
  <c r="L376" i="35"/>
  <c r="L384" i="35"/>
  <c r="L392" i="35"/>
  <c r="L400" i="35"/>
  <c r="L408" i="35"/>
  <c r="L416" i="35"/>
  <c r="L424" i="35"/>
  <c r="L432" i="35"/>
  <c r="L440" i="35"/>
  <c r="L448" i="35"/>
  <c r="L456" i="35"/>
  <c r="L464" i="35"/>
  <c r="L472" i="35"/>
  <c r="L81" i="35"/>
  <c r="L98" i="35"/>
  <c r="L115" i="35"/>
  <c r="L209" i="35"/>
  <c r="L226" i="35"/>
  <c r="L243" i="35"/>
  <c r="L337" i="35"/>
  <c r="L354" i="35"/>
  <c r="L371" i="35"/>
  <c r="L409" i="35"/>
  <c r="L425" i="35"/>
  <c r="L441" i="35"/>
  <c r="L457" i="35"/>
  <c r="L473" i="35"/>
  <c r="L488" i="35"/>
  <c r="L528" i="35"/>
  <c r="L562" i="35"/>
  <c r="L596" i="35"/>
  <c r="L609" i="35"/>
  <c r="L643" i="35"/>
  <c r="L656" i="35"/>
  <c r="L690" i="35"/>
  <c r="L724" i="35"/>
  <c r="L737" i="35"/>
  <c r="L771" i="35"/>
  <c r="L784" i="35"/>
  <c r="L953" i="35"/>
  <c r="L972" i="35"/>
  <c r="L982" i="35"/>
  <c r="L1002" i="35"/>
  <c r="L9" i="35"/>
  <c r="L26" i="35"/>
  <c r="L43" i="35"/>
  <c r="L137" i="35"/>
  <c r="L154" i="35"/>
  <c r="L171" i="35"/>
  <c r="L265" i="35"/>
  <c r="L282" i="35"/>
  <c r="L299" i="35"/>
  <c r="L393" i="35"/>
  <c r="L515" i="35"/>
  <c r="L539" i="35"/>
  <c r="L552" i="35"/>
  <c r="L586" i="35"/>
  <c r="L620" i="35"/>
  <c r="L633" i="35"/>
  <c r="L667" i="35"/>
  <c r="L680" i="35"/>
  <c r="L714" i="35"/>
  <c r="L748" i="35"/>
  <c r="L761" i="35"/>
  <c r="L795" i="35"/>
  <c r="L817" i="35"/>
  <c r="L827" i="35"/>
  <c r="L849" i="35"/>
  <c r="L859" i="35"/>
  <c r="L881" i="35"/>
  <c r="L891" i="35"/>
  <c r="L913" i="35"/>
  <c r="L923" i="35"/>
  <c r="L944" i="35"/>
  <c r="L963" i="35"/>
  <c r="L993" i="35"/>
  <c r="L1012" i="35"/>
  <c r="L65" i="35"/>
  <c r="L82" i="35"/>
  <c r="L99" i="35"/>
  <c r="L193" i="35"/>
  <c r="L210" i="35"/>
  <c r="L227" i="35"/>
  <c r="L321" i="35"/>
  <c r="L338" i="35"/>
  <c r="L355" i="35"/>
  <c r="L410" i="35"/>
  <c r="L426" i="35"/>
  <c r="L442" i="35"/>
  <c r="L458" i="35"/>
  <c r="L474" i="35"/>
  <c r="L489" i="35"/>
  <c r="L504" i="35"/>
  <c r="L529" i="35"/>
  <c r="L563" i="35"/>
  <c r="L576" i="35"/>
  <c r="L610" i="35"/>
  <c r="L644" i="35"/>
  <c r="L657" i="35"/>
  <c r="L691" i="35"/>
  <c r="L704" i="35"/>
  <c r="L738" i="35"/>
  <c r="L772" i="35"/>
  <c r="L785" i="35"/>
  <c r="L806" i="35"/>
  <c r="L838" i="35"/>
  <c r="L870" i="35"/>
  <c r="L902" i="35"/>
  <c r="L934" i="35"/>
  <c r="L954" i="35"/>
  <c r="L984" i="35"/>
  <c r="L1003" i="35"/>
  <c r="L1022" i="35"/>
  <c r="L1030" i="35"/>
  <c r="L540" i="35"/>
  <c r="L553" i="35"/>
  <c r="L587" i="35"/>
  <c r="L600" i="35"/>
  <c r="L634" i="35"/>
  <c r="L668" i="35"/>
  <c r="L681" i="35"/>
  <c r="L728" i="35"/>
  <c r="L762" i="35"/>
  <c r="L808" i="35"/>
  <c r="L818" i="35"/>
  <c r="L828" i="35"/>
  <c r="L840" i="35"/>
  <c r="L850" i="35"/>
  <c r="L872" i="35"/>
  <c r="L882" i="35"/>
  <c r="L892" i="35"/>
  <c r="L904" i="35"/>
  <c r="L914" i="35"/>
  <c r="L924" i="35"/>
  <c r="L945" i="35"/>
  <c r="L964" i="35"/>
  <c r="L974" i="35"/>
  <c r="L994" i="35"/>
  <c r="L179" i="35"/>
  <c r="L592" i="35"/>
  <c r="L660" i="35"/>
  <c r="L968" i="35"/>
  <c r="L73" i="35"/>
  <c r="L201" i="35"/>
  <c r="L346" i="35"/>
  <c r="L481" i="35"/>
  <c r="L697" i="35"/>
  <c r="L811" i="35"/>
  <c r="L10" i="35"/>
  <c r="L27" i="35"/>
  <c r="L121" i="35"/>
  <c r="L138" i="35"/>
  <c r="L155" i="35"/>
  <c r="L249" i="35"/>
  <c r="L266" i="35"/>
  <c r="L283" i="35"/>
  <c r="L377" i="35"/>
  <c r="L394" i="35"/>
  <c r="L715" i="35"/>
  <c r="L796" i="35"/>
  <c r="L860" i="35"/>
  <c r="L49" i="35"/>
  <c r="L66" i="35"/>
  <c r="L83" i="35"/>
  <c r="L177" i="35"/>
  <c r="L194" i="35"/>
  <c r="L211" i="35"/>
  <c r="L305" i="35"/>
  <c r="L322" i="35"/>
  <c r="L339" i="35"/>
  <c r="L411" i="35"/>
  <c r="L427" i="35"/>
  <c r="L443" i="35"/>
  <c r="L459" i="35"/>
  <c r="L475" i="35"/>
  <c r="L490" i="35"/>
  <c r="L505" i="35"/>
  <c r="L530" i="35"/>
  <c r="L564" i="35"/>
  <c r="L577" i="35"/>
  <c r="L611" i="35"/>
  <c r="L624" i="35"/>
  <c r="L658" i="35"/>
  <c r="L692" i="35"/>
  <c r="L705" i="35"/>
  <c r="L739" i="35"/>
  <c r="L752" i="35"/>
  <c r="L786" i="35"/>
  <c r="L936" i="35"/>
  <c r="L955" i="35"/>
  <c r="L985" i="35"/>
  <c r="L1004" i="35"/>
  <c r="L1014" i="35"/>
  <c r="L1023" i="35"/>
  <c r="L89" i="35"/>
  <c r="L217" i="35"/>
  <c r="L379" i="35"/>
  <c r="L568" i="35"/>
  <c r="L602" i="35"/>
  <c r="L649" i="35"/>
  <c r="L683" i="35"/>
  <c r="L832" i="35"/>
  <c r="L864" i="35"/>
  <c r="L896" i="35"/>
  <c r="L928" i="35"/>
  <c r="L996" i="35"/>
  <c r="L449" i="35"/>
  <c r="L579" i="35"/>
  <c r="L673" i="35"/>
  <c r="L329" i="35"/>
  <c r="L522" i="35"/>
  <c r="L569" i="35"/>
  <c r="L731" i="35"/>
  <c r="L778" i="35"/>
  <c r="L843" i="35"/>
  <c r="L907" i="35"/>
  <c r="L11" i="35"/>
  <c r="L105" i="35"/>
  <c r="L122" i="35"/>
  <c r="L139" i="35"/>
  <c r="L233" i="35"/>
  <c r="L250" i="35"/>
  <c r="L267" i="35"/>
  <c r="L361" i="35"/>
  <c r="L378" i="35"/>
  <c r="L395" i="35"/>
  <c r="L520" i="35"/>
  <c r="L554" i="35"/>
  <c r="L588" i="35"/>
  <c r="L601" i="35"/>
  <c r="L635" i="35"/>
  <c r="L648" i="35"/>
  <c r="L682" i="35"/>
  <c r="L716" i="35"/>
  <c r="L729" i="35"/>
  <c r="L763" i="35"/>
  <c r="L776" i="35"/>
  <c r="L809" i="35"/>
  <c r="L819" i="35"/>
  <c r="L841" i="35"/>
  <c r="L851" i="35"/>
  <c r="L873" i="35"/>
  <c r="L883" i="35"/>
  <c r="L905" i="35"/>
  <c r="L915" i="35"/>
  <c r="L946" i="35"/>
  <c r="L976" i="35"/>
  <c r="L995" i="35"/>
  <c r="L123" i="35"/>
  <c r="L251" i="35"/>
  <c r="L362" i="35"/>
  <c r="L696" i="35"/>
  <c r="L730" i="35"/>
  <c r="L764" i="35"/>
  <c r="L800" i="35"/>
  <c r="L842" i="35"/>
  <c r="L874" i="35"/>
  <c r="L906" i="35"/>
  <c r="L947" i="35"/>
  <c r="L1006" i="35"/>
  <c r="L433" i="35"/>
  <c r="L507" i="35"/>
  <c r="L626" i="35"/>
  <c r="L754" i="35"/>
  <c r="L987" i="35"/>
  <c r="L1017" i="35"/>
  <c r="L218" i="35"/>
  <c r="L833" i="35"/>
  <c r="L33" i="35"/>
  <c r="L50" i="35"/>
  <c r="L67" i="35"/>
  <c r="L161" i="35"/>
  <c r="L178" i="35"/>
  <c r="L195" i="35"/>
  <c r="L289" i="35"/>
  <c r="L306" i="35"/>
  <c r="L323" i="35"/>
  <c r="L491" i="35"/>
  <c r="L506" i="35"/>
  <c r="L531" i="35"/>
  <c r="L544" i="35"/>
  <c r="L578" i="35"/>
  <c r="L612" i="35"/>
  <c r="L625" i="35"/>
  <c r="L659" i="35"/>
  <c r="L672" i="35"/>
  <c r="L706" i="35"/>
  <c r="L740" i="35"/>
  <c r="L753" i="35"/>
  <c r="L787" i="35"/>
  <c r="L798" i="35"/>
  <c r="L830" i="35"/>
  <c r="L862" i="35"/>
  <c r="L894" i="35"/>
  <c r="L926" i="35"/>
  <c r="L937" i="35"/>
  <c r="L956" i="35"/>
  <c r="L966" i="35"/>
  <c r="L986" i="35"/>
  <c r="L1016" i="35"/>
  <c r="L1024" i="35"/>
  <c r="L106" i="35"/>
  <c r="L234" i="35"/>
  <c r="L345" i="35"/>
  <c r="L480" i="35"/>
  <c r="L521" i="35"/>
  <c r="L555" i="35"/>
  <c r="L636" i="35"/>
  <c r="L777" i="35"/>
  <c r="L820" i="35"/>
  <c r="L852" i="35"/>
  <c r="L884" i="35"/>
  <c r="L977" i="35"/>
  <c r="L417" i="35"/>
  <c r="L545" i="35"/>
  <c r="L788" i="35"/>
  <c r="L938" i="35"/>
  <c r="L235" i="35"/>
  <c r="L496" i="35"/>
  <c r="L616" i="35"/>
  <c r="L684" i="35"/>
  <c r="L744" i="35"/>
  <c r="L929" i="35"/>
  <c r="L958" i="35"/>
  <c r="L810" i="35"/>
  <c r="L916" i="35"/>
  <c r="L273" i="35"/>
  <c r="L720" i="35"/>
  <c r="L1025" i="35"/>
  <c r="L107" i="35"/>
  <c r="L556" i="35"/>
  <c r="L650" i="35"/>
  <c r="L897" i="35"/>
  <c r="L17" i="35"/>
  <c r="L34" i="35"/>
  <c r="L51" i="35"/>
  <c r="L145" i="35"/>
  <c r="L162" i="35"/>
  <c r="L290" i="35"/>
  <c r="L307" i="35"/>
  <c r="L401" i="35"/>
  <c r="L465" i="35"/>
  <c r="L532" i="35"/>
  <c r="L707" i="35"/>
  <c r="L90" i="35"/>
  <c r="L363" i="35"/>
  <c r="L603" i="35"/>
  <c r="L801" i="35"/>
  <c r="L875" i="35"/>
  <c r="L948" i="35"/>
  <c r="L18" i="35"/>
  <c r="L113" i="35"/>
  <c r="L163" i="35"/>
  <c r="L258" i="35"/>
  <c r="L353" i="35"/>
  <c r="L403" i="35"/>
  <c r="L450" i="35"/>
  <c r="L676" i="35"/>
  <c r="L770" i="35"/>
  <c r="L888" i="35"/>
  <c r="L912" i="35"/>
  <c r="L969" i="35"/>
  <c r="L1028" i="35"/>
  <c r="L59" i="35"/>
  <c r="L313" i="35"/>
  <c r="L524" i="35"/>
  <c r="L585" i="35"/>
  <c r="L618" i="35"/>
  <c r="L651" i="35"/>
  <c r="L712" i="35"/>
  <c r="L745" i="35"/>
  <c r="L803" i="35"/>
  <c r="L834" i="35"/>
  <c r="L858" i="35"/>
  <c r="L918" i="35"/>
  <c r="L990" i="35"/>
  <c r="L1011" i="35"/>
  <c r="L331" i="35"/>
  <c r="L571" i="35"/>
  <c r="L1021" i="35"/>
  <c r="L846" i="35"/>
  <c r="L793" i="35"/>
  <c r="L147" i="35"/>
  <c r="L641" i="35"/>
  <c r="L908" i="35"/>
  <c r="L57" i="35"/>
  <c r="L482" i="35"/>
  <c r="L825" i="35"/>
  <c r="L548" i="35"/>
  <c r="L988" i="35"/>
  <c r="L153" i="35"/>
  <c r="L241" i="35"/>
  <c r="L960" i="35"/>
  <c r="L1008" i="35"/>
  <c r="L297" i="35"/>
  <c r="L794" i="35"/>
  <c r="L708" i="35"/>
  <c r="L298" i="35"/>
  <c r="L584" i="35"/>
  <c r="L826" i="35"/>
  <c r="L19" i="35"/>
  <c r="L114" i="35"/>
  <c r="L259" i="35"/>
  <c r="L451" i="35"/>
  <c r="L560" i="35"/>
  <c r="L593" i="35"/>
  <c r="L865" i="35"/>
  <c r="L889" i="35"/>
  <c r="L920" i="35"/>
  <c r="L942" i="35"/>
  <c r="L970" i="35"/>
  <c r="L1029" i="35"/>
  <c r="L992" i="35"/>
  <c r="L1000" i="35"/>
  <c r="L467" i="35"/>
  <c r="L41" i="35"/>
  <c r="L434" i="35"/>
  <c r="L900" i="35"/>
  <c r="L42" i="35"/>
  <c r="L513" i="35"/>
  <c r="L732" i="35"/>
  <c r="L387" i="35"/>
  <c r="L608" i="35"/>
  <c r="L768" i="35"/>
  <c r="L932" i="35"/>
  <c r="L878" i="35"/>
  <c r="L203" i="35"/>
  <c r="L617" i="35"/>
  <c r="L886" i="35"/>
  <c r="L74" i="35"/>
  <c r="L169" i="35"/>
  <c r="L219" i="35"/>
  <c r="L314" i="35"/>
  <c r="L497" i="35"/>
  <c r="L619" i="35"/>
  <c r="L652" i="35"/>
  <c r="L713" i="35"/>
  <c r="L746" i="35"/>
  <c r="L779" i="35"/>
  <c r="L804" i="35"/>
  <c r="L835" i="35"/>
  <c r="L1018" i="35"/>
  <c r="L755" i="35"/>
  <c r="L1020" i="35"/>
  <c r="L385" i="35"/>
  <c r="L723" i="35"/>
  <c r="L868" i="35"/>
  <c r="L538" i="35"/>
  <c r="L816" i="35"/>
  <c r="L1001" i="35"/>
  <c r="L640" i="35"/>
  <c r="L876" i="35"/>
  <c r="L572" i="35"/>
  <c r="L848" i="35"/>
  <c r="L242" i="35"/>
  <c r="L547" i="35"/>
  <c r="L202" i="35"/>
  <c r="L675" i="35"/>
  <c r="L880" i="35"/>
  <c r="L58" i="35"/>
  <c r="L129" i="35"/>
  <c r="L274" i="35"/>
  <c r="L369" i="35"/>
  <c r="L418" i="35"/>
  <c r="L561" i="35"/>
  <c r="L594" i="35"/>
  <c r="L627" i="35"/>
  <c r="L688" i="35"/>
  <c r="L721" i="35"/>
  <c r="L866" i="35"/>
  <c r="L890" i="35"/>
  <c r="L921" i="35"/>
  <c r="L971" i="35"/>
  <c r="L689" i="35"/>
  <c r="L922" i="35"/>
  <c r="L952" i="35"/>
  <c r="L186" i="35"/>
  <c r="L604" i="35"/>
  <c r="L792" i="35"/>
  <c r="L546" i="35"/>
  <c r="L822" i="35"/>
  <c r="L760" i="35"/>
  <c r="L674" i="35"/>
  <c r="L854" i="35"/>
  <c r="L514" i="35"/>
  <c r="L700" i="35"/>
  <c r="L769" i="35"/>
  <c r="L523" i="35"/>
  <c r="L857" i="35"/>
  <c r="L25" i="35"/>
  <c r="L75" i="35"/>
  <c r="L170" i="35"/>
  <c r="L315" i="35"/>
  <c r="L498" i="35"/>
  <c r="L536" i="35"/>
  <c r="L747" i="35"/>
  <c r="L780" i="35"/>
  <c r="L812" i="35"/>
  <c r="L836" i="35"/>
  <c r="L950" i="35"/>
  <c r="L998" i="35"/>
  <c r="L1019" i="35"/>
  <c r="L722" i="35"/>
  <c r="L898" i="35"/>
  <c r="L664" i="35"/>
  <c r="L756" i="35"/>
  <c r="L899" i="35"/>
  <c r="L91" i="35"/>
  <c r="L512" i="35"/>
  <c r="L698" i="35"/>
  <c r="L146" i="35"/>
  <c r="L187" i="35"/>
  <c r="L666" i="35"/>
  <c r="L824" i="35"/>
  <c r="L97" i="35"/>
  <c r="L580" i="35"/>
  <c r="L939" i="35"/>
  <c r="L257" i="35"/>
  <c r="L736" i="35"/>
  <c r="L962" i="35"/>
  <c r="L483" i="35"/>
  <c r="L910" i="35"/>
  <c r="L1010" i="35"/>
  <c r="L35" i="35"/>
  <c r="L130" i="35"/>
  <c r="L225" i="35"/>
  <c r="L275" i="35"/>
  <c r="L370" i="35"/>
  <c r="L419" i="35"/>
  <c r="L466" i="35"/>
  <c r="L595" i="35"/>
  <c r="L628" i="35"/>
  <c r="L867" i="35"/>
  <c r="L978" i="35"/>
  <c r="L131" i="35"/>
  <c r="L814" i="35"/>
  <c r="L979" i="35"/>
  <c r="L281" i="35"/>
  <c r="L632" i="35"/>
  <c r="L291" i="35"/>
  <c r="L980" i="35"/>
  <c r="L435" i="35"/>
  <c r="L961" i="35"/>
  <c r="L1009" i="35"/>
  <c r="L1027" i="35"/>
  <c r="L185" i="35"/>
  <c r="L330" i="35"/>
  <c r="L499" i="35"/>
  <c r="L537" i="35"/>
  <c r="L570" i="35"/>
  <c r="L844" i="35"/>
  <c r="L930" i="35"/>
  <c r="L665" i="35"/>
  <c r="L386" i="35"/>
  <c r="L931" i="35"/>
  <c r="L699" i="35"/>
  <c r="L1026" i="35"/>
  <c r="L347" i="35"/>
  <c r="L856" i="35"/>
  <c r="L402" i="35"/>
  <c r="L642" i="35"/>
  <c r="L940" i="35"/>
  <c r="L802" i="35"/>
  <c r="L3" i="35"/>
  <c r="H972" i="35"/>
  <c r="H250" i="35"/>
  <c r="H352" i="35"/>
  <c r="H454" i="35"/>
  <c r="H389" i="35"/>
  <c r="H836" i="35"/>
  <c r="H155" i="35"/>
  <c r="H829" i="35"/>
  <c r="H832" i="35"/>
  <c r="H439" i="35"/>
  <c r="H359" i="35"/>
  <c r="H998" i="35"/>
  <c r="H101" i="35"/>
  <c r="H406" i="35"/>
  <c r="H575" i="35"/>
  <c r="H170" i="35"/>
  <c r="H125" i="35"/>
  <c r="H598" i="35"/>
  <c r="H971" i="35"/>
  <c r="H566" i="35"/>
  <c r="H521" i="35"/>
  <c r="H380" i="35"/>
  <c r="H647" i="35"/>
  <c r="H819" i="35"/>
  <c r="H168" i="35"/>
  <c r="H183" i="35"/>
  <c r="H917" i="35"/>
  <c r="H776" i="35"/>
  <c r="H1021" i="35"/>
  <c r="H367" i="35"/>
  <c r="H564" i="35"/>
  <c r="H579" i="35"/>
  <c r="H150" i="35"/>
  <c r="H423" i="35"/>
  <c r="H670" i="35"/>
  <c r="H768" i="35"/>
  <c r="H975" i="35"/>
  <c r="H546" i="35"/>
  <c r="H669" i="35"/>
  <c r="H940" i="35"/>
  <c r="H811" i="35"/>
  <c r="H573" i="35"/>
  <c r="H222" i="35"/>
  <c r="H246" i="35"/>
  <c r="H828" i="35"/>
  <c r="H244" i="35"/>
  <c r="H116" i="35"/>
  <c r="H845" i="35"/>
  <c r="H798" i="35"/>
  <c r="H132" i="35"/>
  <c r="H286" i="35"/>
  <c r="H516" i="35"/>
  <c r="H229" i="35"/>
  <c r="H765" i="35"/>
  <c r="H303" i="35"/>
  <c r="H488" i="35"/>
  <c r="H92" i="35"/>
  <c r="H241" i="35"/>
  <c r="H801" i="35"/>
  <c r="H664" i="35"/>
  <c r="H58" i="35"/>
  <c r="H548" i="35"/>
  <c r="H274" i="35"/>
  <c r="J288" i="35"/>
  <c r="J353" i="35"/>
  <c r="I482" i="35"/>
  <c r="J42" i="35"/>
  <c r="I264" i="35"/>
  <c r="I930" i="35"/>
  <c r="I854" i="35"/>
  <c r="J144" i="35"/>
  <c r="I440" i="35"/>
  <c r="J326" i="35"/>
  <c r="J217" i="35"/>
  <c r="J290" i="35"/>
  <c r="I196" i="35"/>
  <c r="J171" i="35"/>
  <c r="J94" i="35"/>
  <c r="I479" i="35"/>
  <c r="J375" i="35"/>
  <c r="J419" i="35"/>
  <c r="I159" i="35"/>
  <c r="I80" i="35"/>
  <c r="J257" i="35"/>
  <c r="I354" i="35"/>
  <c r="I175" i="35"/>
  <c r="I708" i="35"/>
  <c r="I1002" i="35"/>
  <c r="I93" i="35"/>
  <c r="J276" i="35"/>
  <c r="J156" i="35"/>
  <c r="J489" i="35"/>
  <c r="I79" i="35"/>
  <c r="I327" i="35"/>
  <c r="I222" i="35"/>
  <c r="I842" i="35"/>
  <c r="J412" i="35"/>
  <c r="I603" i="35"/>
  <c r="I787" i="35"/>
  <c r="I723" i="35"/>
  <c r="I879" i="35"/>
  <c r="I70" i="35"/>
  <c r="I943" i="35"/>
  <c r="J136" i="35"/>
  <c r="J196" i="35"/>
  <c r="J280" i="35"/>
  <c r="J161" i="35"/>
  <c r="I438" i="35"/>
  <c r="I642" i="35"/>
  <c r="I254" i="35"/>
  <c r="J271" i="35"/>
  <c r="I736" i="35"/>
  <c r="I938" i="35"/>
  <c r="I390" i="35"/>
  <c r="H157" i="35"/>
  <c r="H544" i="35"/>
  <c r="H151" i="35"/>
  <c r="H766" i="35"/>
  <c r="H705" i="35"/>
  <c r="H347" i="35"/>
  <c r="H950" i="35"/>
  <c r="H1024" i="35"/>
  <c r="H631" i="35"/>
  <c r="H551" i="35"/>
  <c r="H146" i="35"/>
  <c r="H293" i="35"/>
  <c r="H152" i="35"/>
  <c r="H767" i="35"/>
  <c r="H362" i="35"/>
  <c r="H317" i="35"/>
  <c r="H176" i="35"/>
  <c r="H986" i="35"/>
  <c r="H550" i="35"/>
  <c r="H713" i="35"/>
  <c r="H572" i="35"/>
  <c r="H216" i="35"/>
  <c r="H568" i="35"/>
  <c r="H360" i="35"/>
  <c r="H375" i="35"/>
  <c r="H310" i="35"/>
  <c r="H968" i="35"/>
  <c r="H999" i="35"/>
  <c r="H644" i="35"/>
  <c r="H756" i="35"/>
  <c r="H771" i="35"/>
  <c r="H342" i="35"/>
  <c r="H172" i="35"/>
  <c r="H68" i="35"/>
  <c r="H960" i="35"/>
  <c r="H442" i="35"/>
  <c r="H738" i="35"/>
  <c r="H861" i="35"/>
  <c r="H581" i="35"/>
  <c r="H1028" i="35"/>
  <c r="H856" i="35"/>
  <c r="H678" i="35"/>
  <c r="H79" i="35"/>
  <c r="H805" i="35"/>
  <c r="H653" i="35"/>
  <c r="H122" i="35"/>
  <c r="H234" i="35"/>
  <c r="H607" i="35"/>
  <c r="H217" i="35"/>
  <c r="H961" i="35"/>
  <c r="H110" i="35"/>
  <c r="H817" i="35"/>
  <c r="H311" i="35"/>
  <c r="H208" i="35"/>
  <c r="H381" i="35"/>
  <c r="H537" i="35"/>
  <c r="H853" i="35"/>
  <c r="H276" i="35"/>
  <c r="H617" i="35"/>
  <c r="H933" i="35"/>
  <c r="H98" i="35"/>
  <c r="J158" i="35"/>
  <c r="J409" i="35"/>
  <c r="J292" i="35"/>
  <c r="J170" i="35"/>
  <c r="J300" i="35"/>
  <c r="I378" i="35"/>
  <c r="I605" i="35"/>
  <c r="I332" i="35"/>
  <c r="H349" i="35"/>
  <c r="H736" i="35"/>
  <c r="H343" i="35"/>
  <c r="H954" i="35"/>
  <c r="H985" i="35"/>
  <c r="H539" i="35"/>
  <c r="H134" i="35"/>
  <c r="H89" i="35"/>
  <c r="H334" i="35"/>
  <c r="H743" i="35"/>
  <c r="H338" i="35"/>
  <c r="H485" i="35"/>
  <c r="H344" i="35"/>
  <c r="H959" i="35"/>
  <c r="H554" i="35"/>
  <c r="H509" i="35"/>
  <c r="H368" i="35"/>
  <c r="H156" i="35"/>
  <c r="H171" i="35"/>
  <c r="H905" i="35"/>
  <c r="H764" i="35"/>
  <c r="H792" i="35"/>
  <c r="H593" i="35"/>
  <c r="H552" i="35"/>
  <c r="H567" i="35"/>
  <c r="H138" i="35"/>
  <c r="H69" i="35"/>
  <c r="H748" i="35"/>
  <c r="H897" i="35"/>
  <c r="H948" i="35"/>
  <c r="H963" i="35"/>
  <c r="H534" i="35"/>
  <c r="H754" i="35"/>
  <c r="H129" i="35"/>
  <c r="H1022" i="35"/>
  <c r="H148" i="35"/>
  <c r="H930" i="35"/>
  <c r="H106" i="35"/>
  <c r="H570" i="35"/>
  <c r="H142" i="35"/>
  <c r="H859" i="35"/>
  <c r="H583" i="35"/>
  <c r="H284" i="35"/>
  <c r="H147" i="35"/>
  <c r="H403" i="35"/>
  <c r="H821" i="35"/>
  <c r="H786" i="35"/>
  <c r="H740" i="35"/>
  <c r="H314" i="35"/>
  <c r="H471" i="35"/>
  <c r="H257" i="35"/>
  <c r="H350" i="35"/>
  <c r="H887" i="35"/>
  <c r="H65" i="35"/>
  <c r="H925" i="35"/>
  <c r="H515" i="35"/>
  <c r="H470" i="35"/>
  <c r="H277" i="35"/>
  <c r="H438" i="35"/>
  <c r="H371" i="35"/>
  <c r="H820" i="35"/>
  <c r="J184" i="35"/>
  <c r="J128" i="35"/>
  <c r="J85" i="35"/>
  <c r="H541" i="35"/>
  <c r="H928" i="35"/>
  <c r="H535" i="35"/>
  <c r="H787" i="35"/>
  <c r="H816" i="35"/>
  <c r="H731" i="35"/>
  <c r="H326" i="35"/>
  <c r="H281" i="35"/>
  <c r="H140" i="35"/>
  <c r="H935" i="35"/>
  <c r="H530" i="35"/>
  <c r="H677" i="35"/>
  <c r="H536" i="35"/>
  <c r="H938" i="35"/>
  <c r="H214" i="35"/>
  <c r="H701" i="35"/>
  <c r="H560" i="35"/>
  <c r="H348" i="35"/>
  <c r="H363" i="35"/>
  <c r="H70" i="35"/>
  <c r="H956" i="35"/>
  <c r="H553" i="35"/>
  <c r="H198" i="35"/>
  <c r="H744" i="35"/>
  <c r="H759" i="35"/>
  <c r="H330" i="35"/>
  <c r="H261" i="35"/>
  <c r="H773" i="35"/>
  <c r="H287" i="35"/>
  <c r="H974" i="35"/>
  <c r="H382" i="35"/>
  <c r="H918" i="35"/>
  <c r="H965" i="35"/>
  <c r="H240" i="35"/>
  <c r="H59" i="35"/>
  <c r="H733" i="35"/>
  <c r="H610" i="35"/>
  <c r="H44" i="35"/>
  <c r="H824" i="35"/>
  <c r="H769" i="35"/>
  <c r="H923" i="35"/>
  <c r="H518" i="35"/>
  <c r="H473" i="35"/>
  <c r="H332" i="35"/>
  <c r="H866" i="35"/>
  <c r="H962" i="35"/>
  <c r="H869" i="35"/>
  <c r="H728" i="35"/>
  <c r="H144" i="35"/>
  <c r="H159" i="35"/>
  <c r="H893" i="35"/>
  <c r="H752" i="35"/>
  <c r="H540" i="35"/>
  <c r="H555" i="35"/>
  <c r="H126" i="35"/>
  <c r="H57" i="35"/>
  <c r="H434" i="35"/>
  <c r="H175" i="35"/>
  <c r="H936" i="35"/>
  <c r="H951" i="35"/>
  <c r="H522" i="35"/>
  <c r="H453" i="35"/>
  <c r="H762" i="35"/>
  <c r="H432" i="35"/>
  <c r="H133" i="35"/>
  <c r="H136" i="35"/>
  <c r="H127" i="35"/>
  <c r="H562" i="35"/>
  <c r="H577" i="35"/>
  <c r="H337" i="35"/>
  <c r="H532" i="35"/>
  <c r="H139" i="35"/>
  <c r="H428" i="35"/>
  <c r="H248" i="35"/>
  <c r="H624" i="35"/>
  <c r="H671" i="35"/>
  <c r="H692" i="35"/>
  <c r="H730" i="35"/>
  <c r="H1001" i="35"/>
  <c r="H997" i="35"/>
  <c r="H683" i="35"/>
  <c r="H595" i="35"/>
  <c r="H707" i="35"/>
  <c r="H592" i="35"/>
  <c r="H1026" i="35"/>
  <c r="H1030" i="35"/>
  <c r="H831" i="35"/>
  <c r="H770" i="35"/>
  <c r="H990" i="35"/>
  <c r="H113" i="35"/>
  <c r="H618" i="35"/>
  <c r="H843" i="35"/>
  <c r="H855" i="35"/>
  <c r="H932" i="35"/>
  <c r="H232" i="35"/>
  <c r="H104" i="35"/>
  <c r="I643" i="35"/>
  <c r="J74" i="35"/>
  <c r="J396" i="35"/>
  <c r="I980" i="35"/>
  <c r="I540" i="35"/>
  <c r="J510" i="35"/>
  <c r="I456" i="35"/>
  <c r="I621" i="35"/>
  <c r="H251" i="35"/>
  <c r="H973" i="35"/>
  <c r="H185" i="35"/>
  <c r="H236" i="35"/>
  <c r="H693" i="35"/>
  <c r="H686" i="35"/>
  <c r="H818" i="35"/>
  <c r="H914" i="35"/>
  <c r="H665" i="35"/>
  <c r="H524" i="35"/>
  <c r="H120" i="35"/>
  <c r="H135" i="35"/>
  <c r="H895" i="35"/>
  <c r="H920" i="35"/>
  <c r="H336" i="35"/>
  <c r="H351" i="35"/>
  <c r="H1015" i="35"/>
  <c r="H944" i="35"/>
  <c r="H732" i="35"/>
  <c r="H747" i="35"/>
  <c r="H318" i="35"/>
  <c r="H249" i="35"/>
  <c r="H615" i="35"/>
  <c r="H452" i="35"/>
  <c r="H926" i="35"/>
  <c r="H322" i="35"/>
  <c r="H714" i="35"/>
  <c r="H645" i="35"/>
  <c r="H547" i="35"/>
  <c r="H193" i="35"/>
  <c r="H325" i="35"/>
  <c r="H328" i="35"/>
  <c r="H319" i="35"/>
  <c r="H56" i="35"/>
  <c r="H63" i="35"/>
  <c r="H529" i="35"/>
  <c r="H724" i="35"/>
  <c r="H331" i="35"/>
  <c r="H812" i="35"/>
  <c r="H117" i="35"/>
  <c r="H385" i="35"/>
  <c r="H60" i="35"/>
  <c r="H153" i="35"/>
  <c r="H119" i="35"/>
  <c r="H822" i="35"/>
  <c r="H483" i="35"/>
  <c r="H72" i="35"/>
  <c r="H272" i="35"/>
  <c r="H708" i="35"/>
  <c r="H449" i="35"/>
  <c r="H394" i="35"/>
  <c r="H412" i="35"/>
  <c r="H52" i="35"/>
  <c r="H291" i="35"/>
  <c r="H46" i="35"/>
  <c r="H500" i="35"/>
  <c r="H646" i="35"/>
  <c r="H88" i="35"/>
  <c r="H628" i="35"/>
  <c r="H921" i="35"/>
  <c r="H478" i="35"/>
  <c r="H166" i="35"/>
  <c r="I137" i="35"/>
  <c r="I993" i="35"/>
  <c r="I209" i="35"/>
  <c r="I417" i="35"/>
  <c r="I784" i="35"/>
  <c r="I187" i="35"/>
  <c r="J65" i="35"/>
  <c r="I304" i="35"/>
  <c r="J149" i="35"/>
  <c r="I124" i="35"/>
  <c r="J86" i="35"/>
  <c r="I627" i="35"/>
  <c r="I724" i="35"/>
  <c r="I346" i="35"/>
  <c r="J411" i="35"/>
  <c r="I444" i="35"/>
  <c r="J262" i="35"/>
  <c r="I657" i="35"/>
  <c r="I623" i="35"/>
  <c r="I964" i="35"/>
  <c r="J232" i="35"/>
  <c r="J424" i="35"/>
  <c r="J407" i="35"/>
  <c r="I607" i="35"/>
  <c r="I848" i="35"/>
  <c r="I562" i="35"/>
  <c r="I906" i="35"/>
  <c r="J134" i="35"/>
  <c r="I852" i="35"/>
  <c r="J95" i="35"/>
  <c r="I999" i="35"/>
  <c r="I921" i="35"/>
  <c r="I140" i="35"/>
  <c r="J294" i="35"/>
  <c r="J120" i="35"/>
  <c r="J362" i="35"/>
  <c r="I276" i="35"/>
  <c r="I345" i="35"/>
  <c r="I867" i="35"/>
  <c r="I476" i="35"/>
  <c r="J181" i="35"/>
  <c r="J303" i="35"/>
  <c r="J140" i="35"/>
  <c r="I143" i="35"/>
  <c r="I564" i="35"/>
  <c r="I926" i="35"/>
  <c r="J207" i="35"/>
  <c r="I856" i="35"/>
  <c r="J287" i="35"/>
  <c r="I119" i="35"/>
  <c r="I301" i="35"/>
  <c r="I634" i="35"/>
  <c r="J465" i="35"/>
  <c r="H443" i="35"/>
  <c r="H230" i="35"/>
  <c r="H377" i="35"/>
  <c r="H620" i="35"/>
  <c r="H83" i="35"/>
  <c r="H378" i="35"/>
  <c r="H108" i="35"/>
  <c r="H123" i="35"/>
  <c r="H857" i="35"/>
  <c r="H716" i="35"/>
  <c r="H312" i="35"/>
  <c r="H327" i="35"/>
  <c r="H90" i="35"/>
  <c r="H922" i="35"/>
  <c r="H528" i="35"/>
  <c r="H543" i="35"/>
  <c r="H114" i="35"/>
  <c r="H45" i="35"/>
  <c r="H924" i="35"/>
  <c r="H939" i="35"/>
  <c r="H510" i="35"/>
  <c r="H441" i="35"/>
  <c r="H364" i="35"/>
  <c r="H321" i="35"/>
  <c r="H121" i="35"/>
  <c r="H124" i="35"/>
  <c r="H906" i="35"/>
  <c r="H837" i="35"/>
  <c r="H632" i="35"/>
  <c r="H266" i="35"/>
  <c r="H517" i="35"/>
  <c r="H520" i="35"/>
  <c r="H511" i="35"/>
  <c r="H1016" i="35"/>
  <c r="H47" i="35"/>
  <c r="H721" i="35"/>
  <c r="H916" i="35"/>
  <c r="H523" i="35"/>
  <c r="H105" i="35"/>
  <c r="H130" i="35"/>
  <c r="H722" i="35"/>
  <c r="H648" i="35"/>
  <c r="H609" i="35"/>
  <c r="H96" i="35"/>
  <c r="H655" i="35"/>
  <c r="H233" i="35"/>
  <c r="H660" i="35"/>
  <c r="H704" i="35"/>
  <c r="H793" i="35"/>
  <c r="H294" i="35"/>
  <c r="H650" i="35"/>
  <c r="H571" i="35"/>
  <c r="H604" i="35"/>
  <c r="H196" i="35"/>
  <c r="H476" i="35"/>
  <c r="H417" i="35"/>
  <c r="H758" i="35"/>
  <c r="H616" i="35"/>
  <c r="H605" i="35"/>
  <c r="H911" i="35"/>
  <c r="H1009" i="35"/>
  <c r="H601" i="35"/>
  <c r="I902" i="35"/>
  <c r="I63" i="35"/>
  <c r="I450" i="35"/>
  <c r="I408" i="35"/>
  <c r="J316" i="35"/>
  <c r="I774" i="35"/>
  <c r="J378" i="35"/>
  <c r="I335" i="35"/>
  <c r="J275" i="35"/>
  <c r="J210" i="35"/>
  <c r="I298" i="35"/>
  <c r="I437" i="35"/>
  <c r="I706" i="35"/>
  <c r="I541" i="35"/>
  <c r="J54" i="35"/>
  <c r="I919" i="35"/>
  <c r="J348" i="35"/>
  <c r="I342" i="35"/>
  <c r="I193" i="35"/>
  <c r="J70" i="35"/>
  <c r="J320" i="35"/>
  <c r="J368" i="35"/>
  <c r="I970" i="35"/>
  <c r="I579" i="35"/>
  <c r="I989" i="35"/>
  <c r="J45" i="35"/>
  <c r="I504" i="35"/>
  <c r="I951" i="35"/>
  <c r="J115" i="35"/>
  <c r="J469" i="35"/>
  <c r="I219" i="35"/>
  <c r="J231" i="35"/>
  <c r="I172" i="35"/>
  <c r="J351" i="35"/>
  <c r="J259" i="35"/>
  <c r="I1014" i="35"/>
  <c r="I101" i="35"/>
  <c r="J103" i="35"/>
  <c r="I812" i="35"/>
  <c r="I742" i="35"/>
  <c r="J386" i="35"/>
  <c r="I888" i="35"/>
  <c r="J289" i="35"/>
  <c r="I1015" i="35"/>
  <c r="I733" i="35"/>
  <c r="I52" i="35"/>
  <c r="I407" i="35"/>
  <c r="I815" i="35"/>
  <c r="I839" i="35"/>
  <c r="I889" i="35"/>
  <c r="I84" i="35"/>
  <c r="J163" i="35"/>
  <c r="J208" i="35"/>
  <c r="J346" i="35"/>
  <c r="H635" i="35"/>
  <c r="H422" i="35"/>
  <c r="H569" i="35"/>
  <c r="H1004" i="35"/>
  <c r="H996" i="35"/>
  <c r="H682" i="35"/>
  <c r="H300" i="35"/>
  <c r="H315" i="35"/>
  <c r="H835" i="35"/>
  <c r="H908" i="35"/>
  <c r="H504" i="35"/>
  <c r="H519" i="35"/>
  <c r="H282" i="35"/>
  <c r="H213" i="35"/>
  <c r="H720" i="35"/>
  <c r="H735" i="35"/>
  <c r="H306" i="35"/>
  <c r="H237" i="35"/>
  <c r="H878" i="35"/>
  <c r="H238" i="35"/>
  <c r="H702" i="35"/>
  <c r="H633" i="35"/>
  <c r="H197" i="35"/>
  <c r="H863" i="35"/>
  <c r="H313" i="35"/>
  <c r="H316" i="35"/>
  <c r="H1027" i="35"/>
  <c r="H1029" i="35"/>
  <c r="H501" i="35"/>
  <c r="H447" i="35"/>
  <c r="H709" i="35"/>
  <c r="H712" i="35"/>
  <c r="H946" i="35"/>
  <c r="H885" i="35"/>
  <c r="H239" i="35"/>
  <c r="H937" i="35"/>
  <c r="H466" i="35"/>
  <c r="H727" i="35"/>
  <c r="H489" i="35"/>
  <c r="H275" i="35"/>
  <c r="H255" i="35"/>
  <c r="H625" i="35"/>
  <c r="H370" i="35"/>
  <c r="H205" i="35"/>
  <c r="H860" i="35"/>
  <c r="H883" i="35"/>
  <c r="H49" i="35"/>
  <c r="H165" i="35"/>
  <c r="H302" i="35"/>
  <c r="H199" i="35"/>
  <c r="H469" i="35"/>
  <c r="H589" i="35"/>
  <c r="H461" i="35"/>
  <c r="H53" i="35"/>
  <c r="H369" i="35"/>
  <c r="H456" i="35"/>
  <c r="H854" i="35"/>
  <c r="H497" i="35"/>
  <c r="H426" i="35"/>
  <c r="H324" i="35"/>
  <c r="H433" i="35"/>
  <c r="H531" i="35"/>
  <c r="J272" i="35"/>
  <c r="I950" i="35"/>
  <c r="I359" i="35"/>
  <c r="I700" i="35"/>
  <c r="J87" i="35"/>
  <c r="J364" i="35"/>
  <c r="J132" i="35"/>
  <c r="I769" i="35"/>
  <c r="J92" i="35"/>
  <c r="J394" i="35"/>
  <c r="J374" i="35"/>
  <c r="J221" i="35"/>
  <c r="I932" i="35"/>
  <c r="J145" i="35"/>
  <c r="J388" i="35"/>
  <c r="J189" i="35"/>
  <c r="I792" i="35"/>
  <c r="I86" i="35"/>
  <c r="I350" i="35"/>
  <c r="J154" i="35"/>
  <c r="J315" i="35"/>
  <c r="I876" i="35"/>
  <c r="J310" i="35"/>
  <c r="I575" i="35"/>
  <c r="I851" i="35"/>
  <c r="J197" i="35"/>
  <c r="J450" i="35"/>
  <c r="J79" i="35"/>
  <c r="I365" i="35"/>
  <c r="I419" i="35"/>
  <c r="J526" i="35"/>
  <c r="J516" i="35"/>
  <c r="I872" i="35"/>
  <c r="J390" i="35"/>
  <c r="I811" i="35"/>
  <c r="I278" i="35"/>
  <c r="J213" i="35"/>
  <c r="J360" i="35"/>
  <c r="I1011" i="35"/>
  <c r="I446" i="35"/>
  <c r="I735" i="35"/>
  <c r="J298" i="35"/>
  <c r="I556" i="35"/>
  <c r="I766" i="35"/>
  <c r="I772" i="35"/>
  <c r="I386" i="35"/>
  <c r="J112" i="35"/>
  <c r="I449" i="35"/>
  <c r="J471" i="35"/>
  <c r="I445" i="35"/>
  <c r="I599" i="35"/>
  <c r="I225" i="35"/>
  <c r="I473" i="35"/>
  <c r="H827" i="35"/>
  <c r="H614" i="35"/>
  <c r="H761" i="35"/>
  <c r="H297" i="35"/>
  <c r="H662" i="35"/>
  <c r="H910" i="35"/>
  <c r="H492" i="35"/>
  <c r="H507" i="35"/>
  <c r="H78" i="35"/>
  <c r="H802" i="35"/>
  <c r="H696" i="35"/>
  <c r="H711" i="35"/>
  <c r="H474" i="35"/>
  <c r="H405" i="35"/>
  <c r="H912" i="35"/>
  <c r="H927" i="35"/>
  <c r="H498" i="35"/>
  <c r="H429" i="35"/>
  <c r="H109" i="35"/>
  <c r="H112" i="35"/>
  <c r="H894" i="35"/>
  <c r="H825" i="35"/>
  <c r="H186" i="35"/>
  <c r="H1008" i="35"/>
  <c r="H505" i="35"/>
  <c r="H508" i="35"/>
  <c r="H115" i="35"/>
  <c r="H226" i="35"/>
  <c r="H851" i="35"/>
  <c r="H227" i="35"/>
  <c r="H901" i="35"/>
  <c r="H904" i="35"/>
  <c r="H596" i="35"/>
  <c r="H659" i="35"/>
  <c r="H431" i="35"/>
  <c r="H218" i="35"/>
  <c r="H173" i="35"/>
  <c r="H224" i="35"/>
  <c r="H681" i="35"/>
  <c r="H949" i="35"/>
  <c r="H782" i="35"/>
  <c r="H158" i="35"/>
  <c r="H717" i="35"/>
  <c r="H111" i="35"/>
  <c r="H753" i="35"/>
  <c r="H514" i="35"/>
  <c r="H661" i="35"/>
  <c r="H107" i="35"/>
  <c r="H687" i="35"/>
  <c r="H308" i="35"/>
  <c r="H751" i="35"/>
  <c r="H102" i="35"/>
  <c r="H1013" i="35"/>
  <c r="H739" i="35"/>
  <c r="H335" i="35"/>
  <c r="H698" i="35"/>
  <c r="H463" i="35"/>
  <c r="H1025" i="35"/>
  <c r="H235" i="35"/>
  <c r="H409" i="35"/>
  <c r="H1023" i="35"/>
  <c r="H668" i="35"/>
  <c r="J175" i="35"/>
  <c r="J268" i="35"/>
  <c r="J236" i="35"/>
  <c r="J51" i="35"/>
  <c r="I874" i="35"/>
  <c r="J318" i="35"/>
  <c r="I370" i="35"/>
  <c r="I178" i="35"/>
  <c r="J369" i="35"/>
  <c r="J337" i="35"/>
  <c r="J173" i="35"/>
  <c r="J381" i="35"/>
  <c r="I882" i="35"/>
  <c r="J495" i="35"/>
  <c r="J356" i="35"/>
  <c r="J522" i="35"/>
  <c r="I488" i="35"/>
  <c r="I399" i="35"/>
  <c r="J324" i="35"/>
  <c r="I791" i="35"/>
  <c r="I153" i="35"/>
  <c r="I282" i="35"/>
  <c r="J449" i="35"/>
  <c r="I336" i="35"/>
  <c r="I133" i="35"/>
  <c r="J492" i="35"/>
  <c r="I952" i="35"/>
  <c r="J462" i="35"/>
  <c r="I935" i="35"/>
  <c r="J334" i="35"/>
  <c r="J503" i="35"/>
  <c r="I486" i="35"/>
  <c r="I517" i="35"/>
  <c r="I955" i="35"/>
  <c r="I563" i="35"/>
  <c r="I940" i="35"/>
  <c r="J347" i="35"/>
  <c r="I992" i="35"/>
  <c r="I224" i="35"/>
  <c r="I697" i="35"/>
  <c r="J176" i="35"/>
  <c r="I164" i="35"/>
  <c r="I82" i="35"/>
  <c r="J63" i="35"/>
  <c r="I1018" i="35"/>
  <c r="I339" i="35"/>
  <c r="J286" i="35"/>
  <c r="I328" i="35"/>
  <c r="I810" i="35"/>
  <c r="I808" i="35"/>
  <c r="I457" i="35"/>
  <c r="J458" i="35"/>
  <c r="I593" i="35"/>
  <c r="I381" i="35"/>
  <c r="I785" i="35"/>
  <c r="I610" i="35"/>
  <c r="I847" i="35"/>
  <c r="I194" i="35"/>
  <c r="I922" i="35"/>
  <c r="I945" i="35"/>
  <c r="I451" i="35"/>
  <c r="I512" i="35"/>
  <c r="J281" i="35"/>
  <c r="I948" i="35"/>
  <c r="I674" i="35"/>
  <c r="H1019" i="35"/>
  <c r="H862" i="35"/>
  <c r="H411" i="35"/>
  <c r="H658" i="35"/>
  <c r="H970" i="35"/>
  <c r="H435" i="35"/>
  <c r="H260" i="35"/>
  <c r="H876" i="35"/>
  <c r="H891" i="35"/>
  <c r="H462" i="35"/>
  <c r="H393" i="35"/>
  <c r="H734" i="35"/>
  <c r="H76" i="35"/>
  <c r="H858" i="35"/>
  <c r="H789" i="35"/>
  <c r="H97" i="35"/>
  <c r="H100" i="35"/>
  <c r="H882" i="35"/>
  <c r="H813" i="35"/>
  <c r="H493" i="35"/>
  <c r="H496" i="35"/>
  <c r="H103" i="35"/>
  <c r="H726" i="35"/>
  <c r="H440" i="35"/>
  <c r="H215" i="35"/>
  <c r="H889" i="35"/>
  <c r="H892" i="35"/>
  <c r="H499" i="35"/>
  <c r="H404" i="35"/>
  <c r="H757" i="35"/>
  <c r="H611" i="35"/>
  <c r="H206" i="35"/>
  <c r="H161" i="35"/>
  <c r="H657" i="35"/>
  <c r="H181" i="35"/>
  <c r="H815" i="35"/>
  <c r="H602" i="35"/>
  <c r="H557" i="35"/>
  <c r="H608" i="35"/>
  <c r="H913" i="35"/>
  <c r="H565" i="35"/>
  <c r="H639" i="35"/>
  <c r="H651" i="35"/>
  <c r="H84" i="35"/>
  <c r="H258" i="35"/>
  <c r="H421" i="35"/>
  <c r="H823" i="35"/>
  <c r="H87" i="35"/>
  <c r="H672" i="35"/>
  <c r="H1012" i="35"/>
  <c r="H444" i="35"/>
  <c r="H415" i="35"/>
  <c r="H964" i="35"/>
  <c r="H834" i="35"/>
  <c r="H1003" i="35"/>
  <c r="H842" i="35"/>
  <c r="H594" i="35"/>
  <c r="H919" i="35"/>
  <c r="H870" i="35"/>
  <c r="H357" i="35"/>
  <c r="H879" i="35"/>
  <c r="H80" i="35"/>
  <c r="H210" i="35"/>
  <c r="I375" i="35"/>
  <c r="I915" i="35"/>
  <c r="J314" i="35"/>
  <c r="J481" i="35"/>
  <c r="I1025" i="35"/>
  <c r="I374" i="35"/>
  <c r="I566" i="35"/>
  <c r="I145" i="35"/>
  <c r="I423" i="35"/>
  <c r="J186" i="35"/>
  <c r="I45" i="35"/>
  <c r="I710" i="35"/>
  <c r="I210" i="35"/>
  <c r="I255" i="35"/>
  <c r="I758" i="35"/>
  <c r="I460" i="35"/>
  <c r="J174" i="35"/>
  <c r="I1010" i="35"/>
  <c r="I310" i="35"/>
  <c r="J437" i="35"/>
  <c r="J78" i="35"/>
  <c r="J237" i="35"/>
  <c r="I353" i="35"/>
  <c r="I267" i="35"/>
  <c r="J253" i="35"/>
  <c r="I320" i="35"/>
  <c r="J442" i="35"/>
  <c r="I574" i="35"/>
  <c r="J416" i="35"/>
  <c r="I247" i="35"/>
  <c r="J441" i="35"/>
  <c r="I884" i="35"/>
  <c r="I829" i="35"/>
  <c r="I536" i="35"/>
  <c r="J283" i="35"/>
  <c r="J147" i="35"/>
  <c r="J233" i="35"/>
  <c r="J254" i="35"/>
  <c r="I245" i="35"/>
  <c r="I653" i="35"/>
  <c r="J84" i="35"/>
  <c r="I459" i="35"/>
  <c r="J43" i="35"/>
  <c r="I719" i="35"/>
  <c r="I279" i="35"/>
  <c r="I105" i="35"/>
  <c r="J322" i="35"/>
  <c r="I305" i="35"/>
  <c r="J248" i="35"/>
  <c r="J182" i="35"/>
  <c r="I154" i="35"/>
  <c r="I435" i="35"/>
  <c r="J198" i="35"/>
  <c r="I447" i="35"/>
  <c r="I452" i="35"/>
  <c r="H204" i="35"/>
  <c r="H603" i="35"/>
  <c r="H174" i="35"/>
  <c r="H526" i="35"/>
  <c r="H694" i="35"/>
  <c r="H513" i="35"/>
  <c r="H638" i="35"/>
  <c r="H967" i="35"/>
  <c r="H654" i="35"/>
  <c r="H585" i="35"/>
  <c r="H73" i="35"/>
  <c r="H268" i="35"/>
  <c r="H799" i="35"/>
  <c r="H981" i="35"/>
  <c r="H289" i="35"/>
  <c r="H292" i="35"/>
  <c r="H943" i="35"/>
  <c r="H1005" i="35"/>
  <c r="H685" i="35"/>
  <c r="H688" i="35"/>
  <c r="H295" i="35"/>
  <c r="H212" i="35"/>
  <c r="H309" i="35"/>
  <c r="H407" i="35"/>
  <c r="H898" i="35"/>
  <c r="H82" i="35"/>
  <c r="H691" i="35"/>
  <c r="H788" i="35"/>
  <c r="H51" i="35"/>
  <c r="H803" i="35"/>
  <c r="H398" i="35"/>
  <c r="H353" i="35"/>
  <c r="H94" i="35"/>
  <c r="H62" i="35"/>
  <c r="H1007" i="35"/>
  <c r="H958" i="35"/>
  <c r="H749" i="35"/>
  <c r="H800" i="35"/>
  <c r="H600" i="35"/>
  <c r="H254" i="35"/>
  <c r="H128" i="35"/>
  <c r="H154" i="35"/>
  <c r="H85" i="35"/>
  <c r="H187" i="35"/>
  <c r="H915" i="35"/>
  <c r="H797" i="35"/>
  <c r="H663" i="35"/>
  <c r="H781" i="35"/>
  <c r="H989" i="35"/>
  <c r="H542" i="35"/>
  <c r="H993" i="35"/>
  <c r="H680" i="35"/>
  <c r="H211" i="35"/>
  <c r="H896" i="35"/>
  <c r="H339" i="35"/>
  <c r="H512" i="35"/>
  <c r="H982" i="35"/>
  <c r="H223" i="35"/>
  <c r="H323" i="35"/>
  <c r="H220" i="35"/>
  <c r="H957" i="35"/>
  <c r="H710" i="35"/>
  <c r="J245" i="35"/>
  <c r="I508" i="35"/>
  <c r="I215" i="35"/>
  <c r="J267" i="35"/>
  <c r="I383" i="35"/>
  <c r="I357" i="35"/>
  <c r="I555" i="35"/>
  <c r="I358" i="35"/>
  <c r="I546" i="35"/>
  <c r="J472" i="35"/>
  <c r="I230" i="35"/>
  <c r="I207" i="35"/>
  <c r="I819" i="35"/>
  <c r="J523" i="35"/>
  <c r="J403" i="35"/>
  <c r="I987" i="35"/>
  <c r="I371" i="35"/>
  <c r="I662" i="35"/>
  <c r="I125" i="35"/>
  <c r="J243" i="35"/>
  <c r="J313" i="35"/>
  <c r="J60" i="35"/>
  <c r="I747" i="35"/>
  <c r="I873" i="35"/>
  <c r="I558" i="35"/>
  <c r="I777" i="35"/>
  <c r="I588" i="35"/>
  <c r="J359" i="35"/>
  <c r="J443" i="35"/>
  <c r="I538" i="35"/>
  <c r="J118" i="35"/>
  <c r="I901" i="35"/>
  <c r="I149" i="35"/>
  <c r="J69" i="35"/>
  <c r="J230" i="35"/>
  <c r="I615" i="35"/>
  <c r="J162" i="35"/>
  <c r="J227" i="35"/>
  <c r="I870" i="35"/>
  <c r="I191" i="35"/>
  <c r="I56" i="35"/>
  <c r="J527" i="35"/>
  <c r="I372" i="35"/>
  <c r="I471" i="35"/>
  <c r="I786" i="35"/>
  <c r="I469" i="35"/>
  <c r="J336" i="35"/>
  <c r="I260" i="35"/>
  <c r="J141" i="35"/>
  <c r="I956" i="35"/>
  <c r="I1021" i="35"/>
  <c r="J246" i="35"/>
  <c r="I499" i="35"/>
  <c r="J218" i="35"/>
  <c r="J201" i="35"/>
  <c r="H396" i="35"/>
  <c r="H795" i="35"/>
  <c r="H366" i="35"/>
  <c r="H745" i="35"/>
  <c r="H952" i="35"/>
  <c r="H479" i="35"/>
  <c r="H61" i="35"/>
  <c r="H64" i="35"/>
  <c r="H846" i="35"/>
  <c r="H777" i="35"/>
  <c r="H265" i="35"/>
  <c r="H460" i="35"/>
  <c r="H67" i="35"/>
  <c r="H634" i="35"/>
  <c r="H481" i="35"/>
  <c r="H484" i="35"/>
  <c r="H91" i="35"/>
  <c r="H203" i="35"/>
  <c r="H877" i="35"/>
  <c r="H880" i="35"/>
  <c r="H487" i="35"/>
  <c r="H980" i="35"/>
  <c r="H467" i="35"/>
  <c r="H599" i="35"/>
  <c r="H194" i="35"/>
  <c r="H149" i="35"/>
  <c r="H826" i="35"/>
  <c r="H273" i="35"/>
  <c r="H1011" i="35"/>
  <c r="H995" i="35"/>
  <c r="H590" i="35"/>
  <c r="H545" i="35"/>
  <c r="H263" i="35"/>
  <c r="H243" i="35"/>
  <c r="H742" i="35"/>
  <c r="H207" i="35"/>
  <c r="H941" i="35"/>
  <c r="H992" i="35"/>
  <c r="H361" i="35"/>
  <c r="H627" i="35"/>
  <c r="H480" i="35"/>
  <c r="H424" i="35"/>
  <c r="H290" i="35"/>
  <c r="H296" i="35"/>
  <c r="H1014" i="35"/>
  <c r="H427" i="35"/>
  <c r="H838" i="35"/>
  <c r="H99" i="35"/>
  <c r="H810" i="35"/>
  <c r="H784" i="35"/>
  <c r="H495" i="35"/>
  <c r="H143" i="35"/>
  <c r="H871" i="35"/>
  <c r="H909" i="35"/>
  <c r="H772" i="35"/>
  <c r="H468" i="35"/>
  <c r="H299" i="35"/>
  <c r="H931" i="35"/>
  <c r="H288" i="35"/>
  <c r="H77" i="35"/>
  <c r="H503" i="35"/>
  <c r="H630" i="35"/>
  <c r="J191" i="35"/>
  <c r="J282" i="35"/>
  <c r="J148" i="35"/>
  <c r="J169" i="35"/>
  <c r="J404" i="35"/>
  <c r="I611" i="35"/>
  <c r="I790" i="35"/>
  <c r="I361" i="35"/>
  <c r="I455" i="35"/>
  <c r="J192" i="35"/>
  <c r="I123" i="35"/>
  <c r="J97" i="35"/>
  <c r="I1022" i="35"/>
  <c r="J319" i="35"/>
  <c r="J487" i="35"/>
  <c r="J401" i="35"/>
  <c r="I596" i="35"/>
  <c r="I646" i="35"/>
  <c r="I57" i="35"/>
  <c r="I1005" i="35"/>
  <c r="I521" i="35"/>
  <c r="I594" i="35"/>
  <c r="I99" i="35"/>
  <c r="I565" i="35"/>
  <c r="J328" i="35"/>
  <c r="I995" i="35"/>
  <c r="J349" i="35"/>
  <c r="I441" i="35"/>
  <c r="I463" i="35"/>
  <c r="I58" i="35"/>
  <c r="I1001" i="35"/>
  <c r="I942" i="35"/>
  <c r="I464" i="35"/>
  <c r="J179" i="35"/>
  <c r="I112" i="35"/>
  <c r="J223" i="35"/>
  <c r="I103" i="35"/>
  <c r="I389" i="35"/>
  <c r="I106" i="35"/>
  <c r="I516" i="35"/>
  <c r="I933" i="35"/>
  <c r="J398" i="35"/>
  <c r="J277" i="35"/>
  <c r="J438" i="35"/>
  <c r="I855" i="35"/>
  <c r="I971" i="35"/>
  <c r="I543" i="35"/>
  <c r="J75" i="35"/>
  <c r="I151" i="35"/>
  <c r="I578" i="35"/>
  <c r="J455" i="35"/>
  <c r="J323" i="35"/>
  <c r="J297" i="35"/>
  <c r="I691" i="35"/>
  <c r="I600" i="35"/>
  <c r="J302" i="35"/>
  <c r="H588" i="35"/>
  <c r="H987" i="35"/>
  <c r="H558" i="35"/>
  <c r="H626" i="35"/>
  <c r="H977" i="35"/>
  <c r="H48" i="35"/>
  <c r="H253" i="35"/>
  <c r="H256" i="35"/>
  <c r="H715" i="35"/>
  <c r="H969" i="35"/>
  <c r="H457" i="35"/>
  <c r="H652" i="35"/>
  <c r="H259" i="35"/>
  <c r="H179" i="35"/>
  <c r="H673" i="35"/>
  <c r="H676" i="35"/>
  <c r="H283" i="35"/>
  <c r="H395" i="35"/>
  <c r="H778" i="35"/>
  <c r="H979" i="35"/>
  <c r="H679" i="35"/>
  <c r="H465" i="35"/>
  <c r="H420" i="35"/>
  <c r="H791" i="35"/>
  <c r="H386" i="35"/>
  <c r="H341" i="35"/>
  <c r="H200" i="35"/>
  <c r="H849" i="35"/>
  <c r="H760" i="35"/>
  <c r="H574" i="35"/>
  <c r="H850" i="35"/>
  <c r="H737" i="35"/>
  <c r="H408" i="35"/>
  <c r="H184" i="35"/>
  <c r="H192" i="35"/>
  <c r="H399" i="35"/>
  <c r="H538" i="35"/>
  <c r="H93" i="35"/>
  <c r="H242" i="35"/>
  <c r="H376" i="35"/>
  <c r="H809" i="35"/>
  <c r="H976" i="35"/>
  <c r="H675" i="35"/>
  <c r="H848" i="35"/>
  <c r="H945" i="35"/>
  <c r="H549" i="35"/>
  <c r="H436" i="35"/>
  <c r="H994" i="35"/>
  <c r="H619" i="35"/>
  <c r="H641" i="35"/>
  <c r="H245" i="35"/>
  <c r="H755" i="35"/>
  <c r="H320" i="35"/>
  <c r="H899" i="35"/>
  <c r="H629" i="35"/>
  <c r="H86" i="35"/>
  <c r="H875" i="35"/>
  <c r="H356" i="35"/>
  <c r="H397" i="35"/>
  <c r="H1006" i="35"/>
  <c r="H746" i="35"/>
  <c r="H178" i="35"/>
  <c r="I235" i="35"/>
  <c r="J199" i="35"/>
  <c r="J242" i="35"/>
  <c r="I261" i="35"/>
  <c r="J307" i="35"/>
  <c r="I663" i="35"/>
  <c r="I682" i="35"/>
  <c r="I841" i="35"/>
  <c r="J165" i="35"/>
  <c r="I475" i="35"/>
  <c r="I836" i="35"/>
  <c r="J475" i="35"/>
  <c r="J110" i="35"/>
  <c r="I495" i="35"/>
  <c r="I376" i="35"/>
  <c r="J417" i="35"/>
  <c r="I957" i="35"/>
  <c r="I240" i="35"/>
  <c r="I818" i="35"/>
  <c r="I813" i="35"/>
  <c r="I644" i="35"/>
  <c r="I77" i="35"/>
  <c r="I661" i="35"/>
  <c r="I340" i="35"/>
  <c r="I467" i="35"/>
  <c r="I959" i="35"/>
  <c r="I639" i="35"/>
  <c r="I67" i="35"/>
  <c r="J219" i="35"/>
  <c r="J238" i="35"/>
  <c r="I954" i="35"/>
  <c r="I958" i="35"/>
  <c r="I126" i="35"/>
  <c r="I367" i="35"/>
  <c r="I831" i="35"/>
  <c r="J274" i="35"/>
  <c r="J377" i="35"/>
  <c r="I131" i="35"/>
  <c r="I672" i="35"/>
  <c r="I515" i="35"/>
  <c r="I659" i="35"/>
  <c r="I257" i="35"/>
  <c r="J354" i="35"/>
  <c r="I189" i="35"/>
  <c r="I349" i="35"/>
  <c r="I227" i="35"/>
  <c r="I355" i="35"/>
  <c r="I177" i="35"/>
  <c r="H780" i="35"/>
  <c r="H490" i="35"/>
  <c r="H750" i="35"/>
  <c r="H807" i="35"/>
  <c r="H774" i="35"/>
  <c r="H814" i="35"/>
  <c r="H445" i="35"/>
  <c r="H448" i="35"/>
  <c r="H55" i="35"/>
  <c r="H502" i="35"/>
  <c r="H649" i="35"/>
  <c r="H844" i="35"/>
  <c r="H451" i="35"/>
  <c r="H191" i="35"/>
  <c r="H865" i="35"/>
  <c r="H868" i="35"/>
  <c r="H475" i="35"/>
  <c r="H587" i="35"/>
  <c r="H182" i="35"/>
  <c r="H137" i="35"/>
  <c r="H706" i="35"/>
  <c r="H71" i="35"/>
  <c r="H373" i="35"/>
  <c r="H983" i="35"/>
  <c r="H578" i="35"/>
  <c r="H533" i="35"/>
  <c r="H392" i="35"/>
  <c r="H839" i="35"/>
  <c r="H785" i="35"/>
  <c r="H180" i="35"/>
  <c r="H195" i="35"/>
  <c r="H929" i="35"/>
  <c r="H169" i="35"/>
  <c r="H209" i="35"/>
  <c r="H384" i="35"/>
  <c r="H591" i="35"/>
  <c r="H162" i="35"/>
  <c r="H285" i="35"/>
  <c r="H231" i="35"/>
  <c r="H401" i="35"/>
  <c r="H563" i="35"/>
  <c r="H305" i="35"/>
  <c r="H472" i="35"/>
  <c r="H741" i="35"/>
  <c r="H491" i="35"/>
  <c r="H934" i="35"/>
  <c r="H988" i="35"/>
  <c r="H1000" i="35"/>
  <c r="H189" i="35"/>
  <c r="H486" i="35"/>
  <c r="H790" i="35"/>
  <c r="H252" i="35"/>
  <c r="H872" i="35"/>
  <c r="H900" i="35"/>
  <c r="H450" i="35"/>
  <c r="H280" i="35"/>
  <c r="H264" i="35"/>
  <c r="H884" i="35"/>
  <c r="H494" i="35"/>
  <c r="H1002" i="35"/>
  <c r="H808" i="35"/>
  <c r="H613" i="35"/>
  <c r="I141" i="35"/>
  <c r="I604" i="35"/>
  <c r="I50" i="35"/>
  <c r="I1016" i="35"/>
  <c r="J143" i="35"/>
  <c r="J258" i="35"/>
  <c r="I524" i="35"/>
  <c r="J209" i="35"/>
  <c r="J325" i="35"/>
  <c r="I739" i="35"/>
  <c r="J333" i="35"/>
  <c r="I903" i="35"/>
  <c r="I800" i="35"/>
  <c r="J157" i="35"/>
  <c r="I472" i="35"/>
  <c r="I681" i="35"/>
  <c r="I474" i="35"/>
  <c r="I778" i="35"/>
  <c r="J235" i="35"/>
  <c r="J490" i="35"/>
  <c r="I740" i="35"/>
  <c r="J466" i="35"/>
  <c r="I669" i="35"/>
  <c r="I875" i="35"/>
  <c r="J138" i="35"/>
  <c r="J383" i="35"/>
  <c r="I163" i="35"/>
  <c r="I991" i="35"/>
  <c r="J363" i="35"/>
  <c r="J515" i="35"/>
  <c r="J211" i="35"/>
  <c r="I223" i="35"/>
  <c r="I306" i="35"/>
  <c r="J488" i="35"/>
  <c r="J500" i="35"/>
  <c r="I801" i="35"/>
  <c r="J52" i="35"/>
  <c r="J291" i="35"/>
  <c r="I118" i="35"/>
  <c r="I753" i="35"/>
  <c r="J249" i="35"/>
  <c r="I94" i="35"/>
  <c r="I904" i="35"/>
  <c r="I584" i="35"/>
  <c r="I590" i="35"/>
  <c r="I716" i="35"/>
  <c r="I953" i="35"/>
  <c r="I311" i="35"/>
  <c r="H219" i="35"/>
  <c r="H201" i="35"/>
  <c r="H621" i="35"/>
  <c r="H700" i="35"/>
  <c r="H228" i="35"/>
  <c r="H355" i="35"/>
  <c r="H947" i="35"/>
  <c r="H391" i="35"/>
  <c r="H459" i="35"/>
  <c r="H42" i="35"/>
  <c r="J240" i="35"/>
  <c r="I583" i="35"/>
  <c r="J50" i="35"/>
  <c r="I635" i="35"/>
  <c r="I270" i="35"/>
  <c r="J188" i="35"/>
  <c r="J341" i="35"/>
  <c r="J476" i="35"/>
  <c r="J474" i="35"/>
  <c r="I614" i="35"/>
  <c r="I458" i="35"/>
  <c r="J229" i="35"/>
  <c r="I468" i="35"/>
  <c r="I899" i="35"/>
  <c r="I401" i="35"/>
  <c r="I804" i="35"/>
  <c r="J457" i="35"/>
  <c r="I259" i="35"/>
  <c r="J400" i="35"/>
  <c r="I783" i="35"/>
  <c r="I997" i="35"/>
  <c r="J344" i="35"/>
  <c r="I413" i="35"/>
  <c r="I228" i="35"/>
  <c r="I167" i="35"/>
  <c r="J340" i="35"/>
  <c r="J270" i="35"/>
  <c r="J501" i="35"/>
  <c r="I984" i="35"/>
  <c r="I835" i="35"/>
  <c r="I967" i="35"/>
  <c r="I117" i="35"/>
  <c r="I285" i="35"/>
  <c r="I432" i="35"/>
  <c r="J453" i="35"/>
  <c r="J392" i="35"/>
  <c r="J306" i="35"/>
  <c r="J525" i="35"/>
  <c r="I174" i="35"/>
  <c r="I333" i="35"/>
  <c r="I947" i="35"/>
  <c r="I205" i="35"/>
  <c r="I918" i="35"/>
  <c r="I547" i="35"/>
  <c r="I200" i="35"/>
  <c r="J508" i="35"/>
  <c r="I965" i="35"/>
  <c r="J414" i="35"/>
  <c r="J426" i="35"/>
  <c r="I317" i="35"/>
  <c r="I798" i="35"/>
  <c r="I549" i="35"/>
  <c r="I92" i="35"/>
  <c r="I622" i="35"/>
  <c r="I480" i="35"/>
  <c r="I709" i="35"/>
  <c r="I570" i="35"/>
  <c r="J160" i="35"/>
  <c r="J509" i="35"/>
  <c r="I923" i="35"/>
  <c r="I1024" i="35"/>
  <c r="I403" i="35"/>
  <c r="I323" i="35"/>
  <c r="I883" i="35"/>
  <c r="I312" i="35"/>
  <c r="J129" i="35"/>
  <c r="I232" i="35"/>
  <c r="I802" i="35"/>
  <c r="I107" i="35"/>
  <c r="I550" i="35"/>
  <c r="I976" i="35"/>
  <c r="J108" i="35"/>
  <c r="J164" i="35"/>
  <c r="J117" i="35"/>
  <c r="J460" i="35"/>
  <c r="I183" i="35"/>
  <c r="I727" i="35"/>
  <c r="I749" i="35"/>
  <c r="I136" i="35"/>
  <c r="I202" i="35"/>
  <c r="J76" i="35"/>
  <c r="I491" i="35"/>
  <c r="I678" i="35"/>
  <c r="H703" i="35"/>
  <c r="H561" i="35"/>
  <c r="H642" i="35"/>
  <c r="I905" i="35"/>
  <c r="I761" i="35"/>
  <c r="I233" i="35"/>
  <c r="I796" i="35"/>
  <c r="I587" i="35"/>
  <c r="I436" i="35"/>
  <c r="I71" i="35"/>
  <c r="I695" i="35"/>
  <c r="I160" i="35"/>
  <c r="I406" i="35"/>
  <c r="I858" i="35"/>
  <c r="I910" i="35"/>
  <c r="I871" i="35"/>
  <c r="J317" i="35"/>
  <c r="I243" i="35"/>
  <c r="I665" i="35"/>
  <c r="J47" i="35"/>
  <c r="I703" i="35"/>
  <c r="I826" i="35"/>
  <c r="I701" i="35"/>
  <c r="I139" i="35"/>
  <c r="I272" i="35"/>
  <c r="I181" i="35"/>
  <c r="I182" i="35"/>
  <c r="I931" i="35"/>
  <c r="I1009" i="35"/>
  <c r="I465" i="35"/>
  <c r="J101" i="35"/>
  <c r="I214" i="35"/>
  <c r="J463" i="35"/>
  <c r="J241" i="35"/>
  <c r="H160" i="35"/>
  <c r="H167" i="35"/>
  <c r="H779" i="35"/>
  <c r="H725" i="35"/>
  <c r="H886" i="35"/>
  <c r="H612" i="35"/>
  <c r="H298" i="35"/>
  <c r="H221" i="35"/>
  <c r="H796" i="35"/>
  <c r="H606" i="35"/>
  <c r="I83" i="35"/>
  <c r="J459" i="35"/>
  <c r="J464" i="35"/>
  <c r="J183" i="35"/>
  <c r="I213" i="35"/>
  <c r="I220" i="35"/>
  <c r="I679" i="35"/>
  <c r="J228" i="35"/>
  <c r="I978" i="35"/>
  <c r="J379" i="35"/>
  <c r="I730" i="35"/>
  <c r="I633" i="35"/>
  <c r="J178" i="35"/>
  <c r="J366" i="35"/>
  <c r="I632" i="35"/>
  <c r="I265" i="35"/>
  <c r="I606" i="35"/>
  <c r="I204" i="35"/>
  <c r="J71" i="35"/>
  <c r="J73" i="35"/>
  <c r="I937" i="35"/>
  <c r="I862" i="35"/>
  <c r="I513" i="35"/>
  <c r="J150" i="35"/>
  <c r="J180" i="35"/>
  <c r="J467" i="35"/>
  <c r="J284" i="35"/>
  <c r="I530" i="35"/>
  <c r="J122" i="35"/>
  <c r="I448" i="35"/>
  <c r="I251" i="35"/>
  <c r="I602" i="35"/>
  <c r="I895" i="35"/>
  <c r="I96" i="35"/>
  <c r="I533" i="35"/>
  <c r="I113" i="35"/>
  <c r="I552" i="35"/>
  <c r="I110" i="35"/>
  <c r="I1028" i="35"/>
  <c r="I725" i="35"/>
  <c r="I850" i="35"/>
  <c r="I1030" i="35"/>
  <c r="I886" i="35"/>
  <c r="I152" i="35"/>
  <c r="I712" i="35"/>
  <c r="J327" i="35"/>
  <c r="I666" i="35"/>
  <c r="J456" i="35"/>
  <c r="I805" i="35"/>
  <c r="I532" i="35"/>
  <c r="I62" i="35"/>
  <c r="I307" i="35"/>
  <c r="I781" i="35"/>
  <c r="I280" i="35"/>
  <c r="J59" i="35"/>
  <c r="I433" i="35"/>
  <c r="I990" i="35"/>
  <c r="J435" i="35"/>
  <c r="J483" i="35"/>
  <c r="I916" i="35"/>
  <c r="I982" i="35"/>
  <c r="H145" i="35"/>
  <c r="J67" i="35"/>
  <c r="I523" i="35"/>
  <c r="I266" i="35"/>
  <c r="I142" i="35"/>
  <c r="I411" i="35"/>
  <c r="J220" i="35"/>
  <c r="I184" i="35"/>
  <c r="I929" i="35"/>
  <c r="I963" i="35"/>
  <c r="I601" i="35"/>
  <c r="J373" i="35"/>
  <c r="J126" i="35"/>
  <c r="I173" i="35"/>
  <c r="I626" i="35"/>
  <c r="I572" i="35"/>
  <c r="H953" i="35"/>
  <c r="H888" i="35"/>
  <c r="H301" i="35"/>
  <c r="H307" i="35"/>
  <c r="H623" i="35"/>
  <c r="H582" i="35"/>
  <c r="H525" i="35"/>
  <c r="H689" i="35"/>
  <c r="H54" i="35"/>
  <c r="H66" i="35"/>
  <c r="J433" i="35"/>
  <c r="I946" i="35"/>
  <c r="J72" i="35"/>
  <c r="I404" i="35"/>
  <c r="J308" i="35"/>
  <c r="I351" i="35"/>
  <c r="I559" i="35"/>
  <c r="I120" i="35"/>
  <c r="J113" i="35"/>
  <c r="I364" i="35"/>
  <c r="I722" i="35"/>
  <c r="I737" i="35"/>
  <c r="J408" i="35"/>
  <c r="J478" i="35"/>
  <c r="J511" i="35"/>
  <c r="J432" i="35"/>
  <c r="J119" i="35"/>
  <c r="I443" i="35"/>
  <c r="I429" i="35"/>
  <c r="I380" i="35"/>
  <c r="I809" i="35"/>
  <c r="I1013" i="35"/>
  <c r="I648" i="35"/>
  <c r="I834" i="35"/>
  <c r="I807" i="35"/>
  <c r="J177" i="35"/>
  <c r="I412" i="35"/>
  <c r="I857" i="35"/>
  <c r="J137" i="35"/>
  <c r="I557" i="35"/>
  <c r="I698" i="35"/>
  <c r="J506" i="35"/>
  <c r="J56" i="35"/>
  <c r="I454" i="35"/>
  <c r="J418" i="35"/>
  <c r="I299" i="35"/>
  <c r="I242" i="35"/>
  <c r="I707" i="35"/>
  <c r="I998" i="35"/>
  <c r="J224" i="35"/>
  <c r="I61" i="35"/>
  <c r="I768" i="35"/>
  <c r="I896" i="35"/>
  <c r="I442" i="35"/>
  <c r="I618" i="35"/>
  <c r="I731" i="35"/>
  <c r="I704" i="35"/>
  <c r="J498" i="35"/>
  <c r="J430" i="35"/>
  <c r="I414" i="35"/>
  <c r="I274" i="35"/>
  <c r="I69" i="35"/>
  <c r="I1019" i="35"/>
  <c r="I576" i="35"/>
  <c r="I925" i="35"/>
  <c r="J266" i="35"/>
  <c r="I988" i="35"/>
  <c r="I803" i="35"/>
  <c r="J133" i="35"/>
  <c r="J382" i="35"/>
  <c r="I597" i="35"/>
  <c r="I185" i="35"/>
  <c r="I289" i="35"/>
  <c r="I881" i="35"/>
  <c r="I292" i="35"/>
  <c r="I830" i="35"/>
  <c r="J255" i="35"/>
  <c r="I73" i="35"/>
  <c r="J285" i="35"/>
  <c r="I348" i="35"/>
  <c r="H304" i="35"/>
  <c r="I1017" i="35"/>
  <c r="I147" i="35"/>
  <c r="J53" i="35"/>
  <c r="I273" i="35"/>
  <c r="J480" i="35"/>
  <c r="J251" i="35"/>
  <c r="J365" i="35"/>
  <c r="J166" i="35"/>
  <c r="I567" i="35"/>
  <c r="I190" i="35"/>
  <c r="J256" i="35"/>
  <c r="I612" i="35"/>
  <c r="I636" i="35"/>
  <c r="I420" i="35"/>
  <c r="I226" i="35"/>
  <c r="J451" i="35"/>
  <c r="I249" i="35"/>
  <c r="J376" i="35"/>
  <c r="I771" i="35"/>
  <c r="J494" i="35"/>
  <c r="I887" i="35"/>
  <c r="I391" i="35"/>
  <c r="I47" i="35"/>
  <c r="J273" i="35"/>
  <c r="I613" i="35"/>
  <c r="H942" i="35"/>
  <c r="H841" i="35"/>
  <c r="H374" i="35"/>
  <c r="H584" i="35"/>
  <c r="H576" i="35"/>
  <c r="H95" i="35"/>
  <c r="H794" i="35"/>
  <c r="H656" i="35"/>
  <c r="H388" i="35"/>
  <c r="H1010" i="35"/>
  <c r="I617" i="35"/>
  <c r="I859" i="35"/>
  <c r="J200" i="35"/>
  <c r="I95" i="35"/>
  <c r="J299" i="35"/>
  <c r="I483" i="35"/>
  <c r="I650" i="35"/>
  <c r="J380" i="35"/>
  <c r="J422" i="35"/>
  <c r="I846" i="35"/>
  <c r="I638" i="35"/>
  <c r="I717" i="35"/>
  <c r="I820" i="35"/>
  <c r="J55" i="35"/>
  <c r="I501" i="35"/>
  <c r="I598" i="35"/>
  <c r="I296" i="35"/>
  <c r="J331" i="35"/>
  <c r="I630" i="35"/>
  <c r="H873" i="35"/>
  <c r="H903" i="35"/>
  <c r="H874" i="35"/>
  <c r="H400" i="35"/>
  <c r="H636" i="35"/>
  <c r="I734" i="35"/>
  <c r="I743" i="35"/>
  <c r="I144" i="35"/>
  <c r="J479" i="35"/>
  <c r="I754" i="35"/>
  <c r="J415" i="35"/>
  <c r="H556" i="35"/>
  <c r="H775" i="35"/>
  <c r="H329" i="35"/>
  <c r="H984" i="35"/>
  <c r="H410" i="35"/>
  <c r="H269" i="35"/>
  <c r="H141" i="35"/>
  <c r="H902" i="35"/>
  <c r="H852" i="35"/>
  <c r="J505" i="35"/>
  <c r="I537" i="35"/>
  <c r="J222" i="35"/>
  <c r="I360" i="35"/>
  <c r="I977" i="35"/>
  <c r="J468" i="35"/>
  <c r="I418" i="35"/>
  <c r="J260" i="35"/>
  <c r="I994" i="35"/>
  <c r="I341" i="35"/>
  <c r="J204" i="35"/>
  <c r="I91" i="35"/>
  <c r="I315" i="35"/>
  <c r="I934" i="35"/>
  <c r="I1006" i="35"/>
  <c r="I192" i="35"/>
  <c r="H674" i="35"/>
  <c r="H666" i="35"/>
  <c r="H991" i="35"/>
  <c r="H804" i="35"/>
  <c r="H783" i="35"/>
  <c r="H527" i="35"/>
  <c r="H278" i="35"/>
  <c r="H840" i="35"/>
  <c r="H279" i="35"/>
  <c r="J61" i="35"/>
  <c r="I286" i="35"/>
  <c r="J431" i="35"/>
  <c r="J82" i="35"/>
  <c r="I402" i="35"/>
  <c r="J58" i="35"/>
  <c r="I434" i="35"/>
  <c r="I544" i="35"/>
  <c r="I98" i="35"/>
  <c r="I489" i="35"/>
  <c r="J399" i="35"/>
  <c r="I258" i="35"/>
  <c r="J212" i="35"/>
  <c r="J332" i="35"/>
  <c r="I186" i="35"/>
  <c r="J521" i="35"/>
  <c r="J172" i="35"/>
  <c r="I640" i="35"/>
  <c r="I275" i="35"/>
  <c r="I462" i="35"/>
  <c r="I369" i="35"/>
  <c r="I88" i="35"/>
  <c r="I53" i="35"/>
  <c r="I664" i="35"/>
  <c r="I974" i="35"/>
  <c r="I477" i="35"/>
  <c r="I645" i="35"/>
  <c r="I199" i="35"/>
  <c r="J104" i="35"/>
  <c r="I979" i="35"/>
  <c r="I591" i="35"/>
  <c r="I49" i="35"/>
  <c r="I924" i="35"/>
  <c r="J278" i="35"/>
  <c r="J305" i="35"/>
  <c r="I868" i="35"/>
  <c r="I961" i="35"/>
  <c r="I55" i="35"/>
  <c r="I683" i="35"/>
  <c r="I217" i="35"/>
  <c r="I416" i="35"/>
  <c r="I237" i="35"/>
  <c r="I490" i="35"/>
  <c r="J114" i="35"/>
  <c r="I616" i="35"/>
  <c r="I654" i="35"/>
  <c r="I770" i="35"/>
  <c r="I624" i="35"/>
  <c r="I529" i="35"/>
  <c r="I505" i="35"/>
  <c r="J301" i="35"/>
  <c r="I528" i="35"/>
  <c r="J152" i="35"/>
  <c r="I863" i="35"/>
  <c r="I287" i="35"/>
  <c r="I878" i="35"/>
  <c r="J304" i="35"/>
  <c r="H559" i="35"/>
  <c r="H643" i="35"/>
  <c r="H188" i="35"/>
  <c r="H390" i="35"/>
  <c r="H340" i="35"/>
  <c r="H75" i="35"/>
  <c r="H413" i="35"/>
  <c r="H267" i="35"/>
  <c r="H414" i="35"/>
  <c r="J482" i="35"/>
  <c r="J428" i="35"/>
  <c r="I582" i="35"/>
  <c r="J358" i="35"/>
  <c r="I330" i="35"/>
  <c r="J402" i="35"/>
  <c r="I897" i="35"/>
  <c r="I837" i="35"/>
  <c r="I485" i="35"/>
  <c r="J88" i="35"/>
  <c r="J49" i="35"/>
  <c r="I827" i="35"/>
  <c r="I388" i="35"/>
  <c r="I297" i="35"/>
  <c r="I688" i="35"/>
  <c r="J485" i="35"/>
  <c r="I845" i="35"/>
  <c r="J91" i="35"/>
  <c r="I983" i="35"/>
  <c r="J393" i="35"/>
  <c r="I1004" i="35"/>
  <c r="I122" i="35"/>
  <c r="J124" i="35"/>
  <c r="I986" i="35"/>
  <c r="J345" i="35"/>
  <c r="I138" i="35"/>
  <c r="I920" i="35"/>
  <c r="J391" i="35"/>
  <c r="J312" i="35"/>
  <c r="J66" i="35"/>
  <c r="I427" i="35"/>
  <c r="I302" i="35"/>
  <c r="I718" i="35"/>
  <c r="I453" i="35"/>
  <c r="I780" i="35"/>
  <c r="J477" i="35"/>
  <c r="I1020" i="35"/>
  <c r="J518" i="35"/>
  <c r="I43" i="35"/>
  <c r="J385" i="35"/>
  <c r="I658" i="35"/>
  <c r="I671" i="35"/>
  <c r="J100" i="35"/>
  <c r="I146" i="35"/>
  <c r="I996" i="35"/>
  <c r="I268" i="35"/>
  <c r="I833" i="35"/>
  <c r="I46" i="35"/>
  <c r="I696" i="35"/>
  <c r="I960" i="35"/>
  <c r="J96" i="35"/>
  <c r="J499" i="35"/>
  <c r="I864" i="35"/>
  <c r="I573" i="35"/>
  <c r="I74" i="35"/>
  <c r="J239" i="35"/>
  <c r="J335" i="35"/>
  <c r="I148" i="35"/>
  <c r="J77" i="35"/>
  <c r="H966" i="35"/>
  <c r="H597" i="35"/>
  <c r="H1017" i="35"/>
  <c r="H419" i="35"/>
  <c r="H365" i="35"/>
  <c r="H833" i="35"/>
  <c r="H43" i="35"/>
  <c r="H402" i="35"/>
  <c r="H345" i="35"/>
  <c r="J405" i="35"/>
  <c r="J206" i="35"/>
  <c r="J454" i="35"/>
  <c r="J491" i="35"/>
  <c r="I426" i="35"/>
  <c r="I894" i="35"/>
  <c r="J444" i="35"/>
  <c r="I104" i="35"/>
  <c r="I522" i="35"/>
  <c r="I762" i="35"/>
  <c r="I269" i="35"/>
  <c r="I609" i="35"/>
  <c r="J214" i="35"/>
  <c r="I732" i="35"/>
  <c r="I823" i="35"/>
  <c r="J187" i="35"/>
  <c r="I398" i="35"/>
  <c r="J68" i="35"/>
  <c r="I129" i="35"/>
  <c r="I425" i="35"/>
  <c r="I514" i="35"/>
  <c r="I553" i="35"/>
  <c r="I212" i="35"/>
  <c r="I975" i="35"/>
  <c r="I789" i="35"/>
  <c r="J109" i="35"/>
  <c r="I721" i="35"/>
  <c r="I608" i="35"/>
  <c r="I893" i="35"/>
  <c r="J216" i="35"/>
  <c r="I667" i="35"/>
  <c r="H458" i="35"/>
  <c r="H383" i="35"/>
  <c r="H455" i="35"/>
  <c r="H372" i="35"/>
  <c r="H354" i="35"/>
  <c r="H164" i="35"/>
  <c r="H695" i="35"/>
  <c r="H333" i="35"/>
  <c r="H482" i="35"/>
  <c r="J329" i="35"/>
  <c r="J279" i="35"/>
  <c r="J384" i="35"/>
  <c r="I520" i="35"/>
  <c r="J190" i="35"/>
  <c r="I586" i="35"/>
  <c r="J343" i="35"/>
  <c r="J57" i="35"/>
  <c r="J427" i="35"/>
  <c r="J309" i="35"/>
  <c r="I111" i="35"/>
  <c r="J250" i="35"/>
  <c r="J352" i="35"/>
  <c r="I637" i="35"/>
  <c r="J367" i="35"/>
  <c r="I303" i="35"/>
  <c r="J127" i="35"/>
  <c r="I206" i="35"/>
  <c r="I577" i="35"/>
  <c r="I670" i="35"/>
  <c r="I316" i="35"/>
  <c r="I277" i="35"/>
  <c r="I684" i="35"/>
  <c r="I241" i="35"/>
  <c r="I944" i="35"/>
  <c r="I554" i="35"/>
  <c r="I326" i="35"/>
  <c r="J413" i="35"/>
  <c r="J90" i="35"/>
  <c r="I394" i="35"/>
  <c r="J247" i="35"/>
  <c r="I568" i="35"/>
  <c r="I525" i="35"/>
  <c r="I492" i="35"/>
  <c r="I502" i="35"/>
  <c r="I76" i="35"/>
  <c r="I620" i="35"/>
  <c r="J447" i="35"/>
  <c r="I912" i="35"/>
  <c r="I211" i="35"/>
  <c r="I693" i="35"/>
  <c r="J135" i="35"/>
  <c r="I892" i="35"/>
  <c r="I738" i="35"/>
  <c r="I430" i="35"/>
  <c r="I968" i="35"/>
  <c r="I917" i="35"/>
  <c r="I400" i="35"/>
  <c r="I651" i="35"/>
  <c r="I428" i="35"/>
  <c r="I673" i="35"/>
  <c r="I157" i="35"/>
  <c r="I461" i="35"/>
  <c r="I660" i="35"/>
  <c r="I589" i="35"/>
  <c r="I64" i="35"/>
  <c r="I116" i="35"/>
  <c r="I338" i="35"/>
  <c r="H684" i="35"/>
  <c r="H830" i="35"/>
  <c r="H163" i="35"/>
  <c r="H1018" i="35"/>
  <c r="H346" i="35"/>
  <c r="H430" i="35"/>
  <c r="H881" i="35"/>
  <c r="H864" i="35"/>
  <c r="H464" i="35"/>
  <c r="I788" i="35"/>
  <c r="I424" i="35"/>
  <c r="J107" i="35"/>
  <c r="J439" i="35"/>
  <c r="I560" i="35"/>
  <c r="I531" i="35"/>
  <c r="J102" i="35"/>
  <c r="J361" i="35"/>
  <c r="J397" i="35"/>
  <c r="I392" i="35"/>
  <c r="I263" i="35"/>
  <c r="J46" i="35"/>
  <c r="J195" i="35"/>
  <c r="I542" i="35"/>
  <c r="I170" i="35"/>
  <c r="I344" i="35"/>
  <c r="I699" i="35"/>
  <c r="J514" i="35"/>
  <c r="I466" i="35"/>
  <c r="I641" i="35"/>
  <c r="I908" i="35"/>
  <c r="I288" i="35"/>
  <c r="I561" i="35"/>
  <c r="I347" i="35"/>
  <c r="I806" i="35"/>
  <c r="J121" i="35"/>
  <c r="I384" i="35"/>
  <c r="I797" i="35"/>
  <c r="I1003" i="35"/>
  <c r="I652" i="35"/>
  <c r="J203" i="35"/>
  <c r="J93" i="35"/>
  <c r="I322" i="35"/>
  <c r="I680" i="35"/>
  <c r="I246" i="35"/>
  <c r="J387" i="35"/>
  <c r="I949" i="35"/>
  <c r="I534" i="35"/>
  <c r="I714" i="35"/>
  <c r="I927" i="35"/>
  <c r="I114" i="35"/>
  <c r="I352" i="35"/>
  <c r="I711" i="35"/>
  <c r="I885" i="35"/>
  <c r="I87" i="35"/>
  <c r="I481" i="35"/>
  <c r="I165" i="35"/>
  <c r="I42" i="35"/>
  <c r="I229" i="35"/>
  <c r="I253" i="35"/>
  <c r="I685" i="35"/>
  <c r="I130" i="35"/>
  <c r="I108" i="35"/>
  <c r="I197" i="35"/>
  <c r="I629" i="35"/>
  <c r="I75" i="35"/>
  <c r="I755" i="35"/>
  <c r="I795" i="35"/>
  <c r="I569" i="35"/>
  <c r="H697" i="35"/>
  <c r="H1020" i="35"/>
  <c r="I866" i="35"/>
  <c r="I65" i="35"/>
  <c r="I794" i="35"/>
  <c r="I750" i="35"/>
  <c r="I262" i="35"/>
  <c r="I397" i="35"/>
  <c r="I973" i="35"/>
  <c r="I580" i="35"/>
  <c r="I619" i="35"/>
  <c r="I726" i="35"/>
  <c r="I900" i="35"/>
  <c r="I100" i="35"/>
  <c r="I169" i="35"/>
  <c r="I526" i="35"/>
  <c r="H667" i="35"/>
  <c r="H379" i="35"/>
  <c r="I208" i="35"/>
  <c r="I890" i="35"/>
  <c r="J436" i="35"/>
  <c r="I171" i="35"/>
  <c r="J355" i="35"/>
  <c r="I497" i="35"/>
  <c r="I89" i="35"/>
  <c r="J111" i="35"/>
  <c r="I324" i="35"/>
  <c r="I271" i="35"/>
  <c r="I877" i="35"/>
  <c r="I628" i="35"/>
  <c r="I337" i="35"/>
  <c r="I775" i="35"/>
  <c r="J295" i="35"/>
  <c r="I363" i="35"/>
  <c r="J371" i="35"/>
  <c r="J261" i="35"/>
  <c r="J168" i="35"/>
  <c r="I134" i="35"/>
  <c r="I410" i="35"/>
  <c r="I776" i="35"/>
  <c r="I166" i="35"/>
  <c r="H637" i="35"/>
  <c r="H622" i="35"/>
  <c r="H446" i="35"/>
  <c r="H387" i="35"/>
  <c r="H416" i="35"/>
  <c r="H425" i="35"/>
  <c r="H729" i="35"/>
  <c r="H978" i="35"/>
  <c r="H867" i="35"/>
  <c r="J440" i="35"/>
  <c r="I511" i="35"/>
  <c r="I422" i="35"/>
  <c r="J502" i="35"/>
  <c r="J146" i="35"/>
  <c r="I539" i="35"/>
  <c r="J265" i="35"/>
  <c r="I745" i="35"/>
  <c r="I507" i="35"/>
  <c r="I66" i="35"/>
  <c r="J167" i="35"/>
  <c r="I238" i="35"/>
  <c r="I1026" i="35"/>
  <c r="I928" i="35"/>
  <c r="J350" i="35"/>
  <c r="I415" i="35"/>
  <c r="J484" i="35"/>
  <c r="I891" i="35"/>
  <c r="I218" i="35"/>
  <c r="J461" i="35"/>
  <c r="I48" i="35"/>
  <c r="I97" i="35"/>
  <c r="J517" i="35"/>
  <c r="I509" i="35"/>
  <c r="I1012" i="35"/>
  <c r="I198" i="35"/>
  <c r="I162" i="35"/>
  <c r="I849" i="35"/>
  <c r="J296" i="35"/>
  <c r="J125" i="35"/>
  <c r="I503" i="35"/>
  <c r="I981" i="35"/>
  <c r="I334" i="35"/>
  <c r="J62" i="35"/>
  <c r="J338" i="35"/>
  <c r="I763" i="35"/>
  <c r="I313" i="35"/>
  <c r="J330" i="35"/>
  <c r="I759" i="35"/>
  <c r="I880" i="35"/>
  <c r="J226" i="35"/>
  <c r="I779" i="35"/>
  <c r="I484" i="35"/>
  <c r="I387" i="35"/>
  <c r="I1007" i="35"/>
  <c r="I290" i="35"/>
  <c r="J425" i="35"/>
  <c r="I494" i="35"/>
  <c r="I962" i="35"/>
  <c r="I231" i="35"/>
  <c r="I985" i="35"/>
  <c r="I748" i="35"/>
  <c r="I155" i="35"/>
  <c r="I377" i="35"/>
  <c r="I1023" i="35"/>
  <c r="I548" i="35"/>
  <c r="I939" i="35"/>
  <c r="I325" i="35"/>
  <c r="I493" i="35"/>
  <c r="J215" i="35"/>
  <c r="H270" i="35"/>
  <c r="J513" i="35"/>
  <c r="I941" i="35"/>
  <c r="J421" i="35"/>
  <c r="J507" i="35"/>
  <c r="I244" i="35"/>
  <c r="J420" i="35"/>
  <c r="I713" i="35"/>
  <c r="J185" i="35"/>
  <c r="I44" i="35"/>
  <c r="I85" i="35"/>
  <c r="I356" i="35"/>
  <c r="J445" i="35"/>
  <c r="I972" i="35"/>
  <c r="H247" i="35"/>
  <c r="H586" i="35"/>
  <c r="H890" i="35"/>
  <c r="I1008" i="35"/>
  <c r="I60" i="35"/>
  <c r="I496" i="35"/>
  <c r="J519" i="35"/>
  <c r="I216" i="35"/>
  <c r="I72" i="35"/>
  <c r="J155" i="35"/>
  <c r="I675" i="35"/>
  <c r="I799" i="35"/>
  <c r="I284" i="35"/>
  <c r="I221" i="35"/>
  <c r="I478" i="35"/>
  <c r="I318" i="35"/>
  <c r="I78" i="35"/>
  <c r="J423" i="35"/>
  <c r="I764" i="35"/>
  <c r="I814" i="35"/>
  <c r="J193" i="35"/>
  <c r="I817" i="35"/>
  <c r="I631" i="35"/>
  <c r="I156" i="35"/>
  <c r="I498" i="35"/>
  <c r="I329" i="35"/>
  <c r="H699" i="35"/>
  <c r="H190" i="35"/>
  <c r="H74" i="35"/>
  <c r="H358" i="35"/>
  <c r="H477" i="35"/>
  <c r="H177" i="35"/>
  <c r="H580" i="35"/>
  <c r="H806" i="35"/>
  <c r="H271" i="35"/>
  <c r="J139" i="35"/>
  <c r="I283" i="35"/>
  <c r="I405" i="35"/>
  <c r="I756" i="35"/>
  <c r="J159" i="35"/>
  <c r="I506" i="35"/>
  <c r="I168" i="35"/>
  <c r="I256" i="35"/>
  <c r="J105" i="35"/>
  <c r="J89" i="35"/>
  <c r="I676" i="35"/>
  <c r="J389" i="35"/>
  <c r="I551" i="35"/>
  <c r="I816" i="35"/>
  <c r="J357" i="35"/>
  <c r="I782" i="35"/>
  <c r="I585" i="35"/>
  <c r="I293" i="35"/>
  <c r="J493" i="35"/>
  <c r="I234" i="35"/>
  <c r="I109" i="35"/>
  <c r="J470" i="35"/>
  <c r="I715" i="35"/>
  <c r="I115" i="35"/>
  <c r="I236" i="35"/>
  <c r="J520" i="35"/>
  <c r="I728" i="35"/>
  <c r="I828" i="35"/>
  <c r="I379" i="35"/>
  <c r="I581" i="35"/>
  <c r="J370" i="35"/>
  <c r="J410" i="35"/>
  <c r="I294" i="35"/>
  <c r="I773" i="35"/>
  <c r="I647" i="35"/>
  <c r="J151" i="35"/>
  <c r="I869" i="35"/>
  <c r="I907" i="35"/>
  <c r="I203" i="35"/>
  <c r="I373" i="35"/>
  <c r="I295" i="35"/>
  <c r="I487" i="35"/>
  <c r="I128" i="35"/>
  <c r="J504" i="35"/>
  <c r="J244" i="35"/>
  <c r="I395" i="35"/>
  <c r="J452" i="35"/>
  <c r="I248" i="35"/>
  <c r="I309" i="35"/>
  <c r="I59" i="35"/>
  <c r="I793" i="35"/>
  <c r="I535" i="35"/>
  <c r="I821" i="35"/>
  <c r="I860" i="35"/>
  <c r="I396" i="35"/>
  <c r="I649" i="35"/>
  <c r="I132" i="35"/>
  <c r="I625" i="35"/>
  <c r="H690" i="35"/>
  <c r="H723" i="35"/>
  <c r="J321" i="35"/>
  <c r="I592" i="35"/>
  <c r="J473" i="35"/>
  <c r="I81" i="35"/>
  <c r="J44" i="35"/>
  <c r="J123" i="35"/>
  <c r="I545" i="35"/>
  <c r="I689" i="35"/>
  <c r="I825" i="35"/>
  <c r="J83" i="35"/>
  <c r="J434" i="35"/>
  <c r="J264" i="35"/>
  <c r="I760" i="35"/>
  <c r="I314" i="35"/>
  <c r="I746" i="35"/>
  <c r="H50" i="35"/>
  <c r="H847" i="35"/>
  <c r="J98" i="35"/>
  <c r="J116" i="35"/>
  <c r="J497" i="35"/>
  <c r="I300" i="35"/>
  <c r="J486" i="35"/>
  <c r="I751" i="35"/>
  <c r="I914" i="35"/>
  <c r="I135" i="35"/>
  <c r="I656" i="35"/>
  <c r="I911" i="35"/>
  <c r="J194" i="35"/>
  <c r="J81" i="35"/>
  <c r="I1029" i="35"/>
  <c r="I366" i="35"/>
  <c r="I321" i="35"/>
  <c r="I188" i="35"/>
  <c r="J512" i="35"/>
  <c r="I176" i="35"/>
  <c r="J395" i="35"/>
  <c r="I331" i="35"/>
  <c r="I90" i="35"/>
  <c r="J205" i="35"/>
  <c r="I913" i="35"/>
  <c r="H640" i="35"/>
  <c r="H907" i="35"/>
  <c r="H262" i="35"/>
  <c r="H418" i="35"/>
  <c r="H763" i="35"/>
  <c r="H437" i="35"/>
  <c r="H131" i="35"/>
  <c r="H955" i="35"/>
  <c r="H506" i="35"/>
  <c r="I201" i="35"/>
  <c r="I752" i="35"/>
  <c r="J342" i="35"/>
  <c r="I705" i="35"/>
  <c r="I319" i="35"/>
  <c r="I966" i="35"/>
  <c r="I393" i="35"/>
  <c r="I844" i="35"/>
  <c r="J80" i="35"/>
  <c r="J130" i="35"/>
  <c r="J234" i="35"/>
  <c r="I519" i="35"/>
  <c r="J293" i="35"/>
  <c r="I741" i="35"/>
  <c r="J446" i="35"/>
  <c r="I281" i="35"/>
  <c r="I470" i="35"/>
  <c r="I180" i="35"/>
  <c r="I510" i="35"/>
  <c r="I936" i="35"/>
  <c r="J269" i="35"/>
  <c r="J153" i="35"/>
  <c r="I865" i="35"/>
  <c r="I694" i="35"/>
  <c r="I843" i="35"/>
  <c r="I500" i="35"/>
  <c r="I385" i="35"/>
  <c r="I1027" i="35"/>
  <c r="I368" i="35"/>
  <c r="J225" i="35"/>
  <c r="J106" i="35"/>
  <c r="I840" i="35"/>
  <c r="I686" i="35"/>
  <c r="I668" i="35"/>
  <c r="I853" i="35"/>
  <c r="I692" i="35"/>
  <c r="I909" i="35"/>
  <c r="J524" i="35"/>
  <c r="I838" i="35"/>
  <c r="I767" i="35"/>
  <c r="J406" i="35"/>
  <c r="I158" i="35"/>
  <c r="I51" i="35"/>
  <c r="I362" i="35"/>
  <c r="I382" i="35"/>
  <c r="J339" i="35"/>
  <c r="J311" i="35"/>
  <c r="I518" i="35"/>
  <c r="I409" i="35"/>
  <c r="I421" i="35"/>
  <c r="I439" i="35"/>
  <c r="J448" i="35"/>
  <c r="H81" i="35"/>
  <c r="H118" i="35"/>
  <c r="H719" i="35"/>
  <c r="H202" i="35"/>
  <c r="J64" i="35"/>
  <c r="I343" i="35"/>
  <c r="J142" i="35"/>
  <c r="I431" i="35"/>
  <c r="I571" i="35"/>
  <c r="J131" i="35"/>
  <c r="I1000" i="35"/>
  <c r="I68" i="35"/>
  <c r="I969" i="35"/>
  <c r="I308" i="35"/>
  <c r="I822" i="35"/>
  <c r="I677" i="35"/>
  <c r="J263" i="35"/>
  <c r="I150" i="35"/>
  <c r="I102" i="35"/>
  <c r="H718" i="35"/>
  <c r="H225" i="35"/>
  <c r="I179" i="35"/>
  <c r="I250" i="35"/>
  <c r="I744" i="35"/>
  <c r="I252" i="35"/>
  <c r="I127" i="35"/>
  <c r="I687" i="35"/>
  <c r="J48" i="35"/>
  <c r="I702" i="35"/>
  <c r="I757" i="35"/>
  <c r="I690" i="35"/>
  <c r="J429" i="35"/>
  <c r="I720" i="35"/>
  <c r="I655" i="35"/>
  <c r="J372" i="35"/>
  <c r="I195" i="35"/>
  <c r="J496" i="35"/>
  <c r="I765" i="35"/>
  <c r="I595" i="35"/>
  <c r="I527" i="35"/>
  <c r="I824" i="35"/>
  <c r="I832" i="35"/>
  <c r="I898" i="35"/>
  <c r="I861" i="35"/>
  <c r="I291" i="35"/>
  <c r="I54" i="35"/>
  <c r="J252" i="35"/>
  <c r="I161" i="35"/>
  <c r="I239" i="35"/>
  <c r="I729" i="35"/>
  <c r="J99" i="35"/>
  <c r="I121" i="35"/>
  <c r="J202" i="35"/>
  <c r="K221" i="35"/>
  <c r="K705" i="35"/>
  <c r="K872" i="35"/>
  <c r="K345" i="35"/>
  <c r="K67" i="35"/>
  <c r="K892" i="35"/>
  <c r="K980" i="35"/>
  <c r="K561" i="35"/>
  <c r="K549" i="35"/>
  <c r="K442" i="35"/>
  <c r="K704" i="35"/>
  <c r="K711" i="35"/>
  <c r="K445" i="35"/>
  <c r="K280" i="35"/>
  <c r="K312" i="35"/>
  <c r="K273" i="35"/>
  <c r="K630" i="35"/>
  <c r="K335" i="35"/>
  <c r="K780" i="35"/>
  <c r="K673" i="35"/>
  <c r="K359" i="35"/>
  <c r="K556" i="35"/>
  <c r="K286" i="35"/>
  <c r="K44" i="35"/>
  <c r="K185" i="35"/>
  <c r="K515" i="35"/>
  <c r="K47" i="35"/>
  <c r="K970" i="35"/>
  <c r="K746" i="35"/>
  <c r="K615" i="35"/>
  <c r="K616" i="35"/>
  <c r="K985" i="35"/>
  <c r="K300" i="35"/>
  <c r="K88" i="35"/>
  <c r="K881" i="35"/>
  <c r="K885" i="35"/>
  <c r="K548" i="35"/>
  <c r="K688" i="35"/>
  <c r="K254" i="35"/>
  <c r="K854" i="35"/>
  <c r="K457" i="35"/>
  <c r="K46" i="35"/>
  <c r="K783" i="35"/>
  <c r="K842" i="35"/>
  <c r="K655" i="35"/>
  <c r="K105" i="35"/>
  <c r="K491" i="35"/>
  <c r="K407" i="35"/>
  <c r="K181" i="35"/>
  <c r="K380" i="35"/>
  <c r="K278" i="35"/>
  <c r="K618" i="35"/>
  <c r="K127" i="35"/>
  <c r="K778" i="35"/>
  <c r="K364" i="35"/>
  <c r="K287" i="35"/>
  <c r="K712" i="35"/>
  <c r="K129" i="35"/>
  <c r="K187" i="35"/>
  <c r="K776" i="35"/>
  <c r="K575" i="35"/>
  <c r="K386" i="35"/>
  <c r="K281" i="35"/>
  <c r="K858" i="35"/>
  <c r="K694" i="35"/>
  <c r="K922" i="35"/>
  <c r="K649" i="35"/>
  <c r="K1029" i="35"/>
  <c r="K144" i="35"/>
  <c r="K1024" i="35"/>
  <c r="K1001" i="35"/>
  <c r="K229" i="35"/>
  <c r="K896" i="35"/>
  <c r="K605" i="35"/>
  <c r="K268" i="35"/>
  <c r="K139" i="35"/>
  <c r="K370" i="35"/>
  <c r="K341" i="35"/>
  <c r="K419" i="35"/>
  <c r="K42" i="35"/>
  <c r="K230" i="35"/>
  <c r="K155" i="35"/>
  <c r="K396" i="35"/>
  <c r="K689" i="35"/>
  <c r="K670" i="35"/>
  <c r="K932" i="35"/>
  <c r="K269" i="35"/>
  <c r="K873" i="35"/>
  <c r="K82" i="35"/>
  <c r="K267" i="35"/>
  <c r="K1022" i="35"/>
  <c r="K288" i="35"/>
  <c r="K160" i="35"/>
  <c r="K813" i="35"/>
  <c r="K505" i="35"/>
  <c r="K321" i="35"/>
  <c r="K1013" i="35"/>
  <c r="K931" i="35"/>
  <c r="K679" i="35"/>
  <c r="K49" i="35"/>
  <c r="K735" i="35"/>
  <c r="K728" i="35"/>
  <c r="K989" i="35"/>
  <c r="K682" i="35"/>
  <c r="K255" i="35"/>
  <c r="K589" i="35"/>
  <c r="K203" i="35"/>
  <c r="K116" i="35"/>
  <c r="K628" i="35"/>
  <c r="K318" i="35"/>
  <c r="K228" i="35"/>
  <c r="K356" i="35"/>
  <c r="K56" i="35"/>
  <c r="K450" i="35"/>
  <c r="K212" i="35"/>
  <c r="K793" i="35"/>
  <c r="K198" i="35"/>
  <c r="K656" i="35"/>
  <c r="K741" i="35"/>
  <c r="K484" i="35"/>
  <c r="K453" i="35"/>
  <c r="K488" i="35"/>
  <c r="K108" i="35"/>
  <c r="K660" i="35"/>
  <c r="K366" i="35"/>
  <c r="K365" i="35"/>
  <c r="K96" i="35"/>
  <c r="K368" i="35"/>
  <c r="K631" i="35"/>
  <c r="K860" i="35"/>
  <c r="K553" i="35"/>
  <c r="K171" i="35"/>
  <c r="K1002" i="35"/>
  <c r="K421" i="35"/>
  <c r="K284" i="35"/>
  <c r="K90" i="35"/>
  <c r="K58" i="35"/>
  <c r="K723" i="35"/>
  <c r="K968" i="35"/>
  <c r="K504" i="35"/>
  <c r="K61" i="35"/>
  <c r="K373" i="35"/>
  <c r="K984" i="35"/>
  <c r="K574" i="35"/>
  <c r="K643" i="35"/>
  <c r="K257" i="35"/>
  <c r="K661" i="35"/>
  <c r="K138" i="35"/>
  <c r="K193" i="35"/>
  <c r="K199" i="35"/>
  <c r="K915" i="35"/>
  <c r="K571" i="35"/>
  <c r="K169" i="35"/>
  <c r="K70" i="35"/>
  <c r="K478" i="35"/>
  <c r="K916" i="35"/>
  <c r="K106" i="35"/>
  <c r="K939" i="35"/>
  <c r="K693" i="35"/>
  <c r="K557" i="35"/>
  <c r="K95" i="35"/>
  <c r="K764" i="35"/>
  <c r="K828" i="35"/>
  <c r="K640" i="35"/>
  <c r="K317" i="35"/>
  <c r="K205" i="35"/>
  <c r="K907" i="35"/>
  <c r="K112" i="35"/>
  <c r="K383" i="35"/>
  <c r="K976" i="35"/>
  <c r="K597" i="35"/>
  <c r="K389" i="35"/>
  <c r="K678" i="35"/>
  <c r="K650" i="35"/>
  <c r="K482" i="35"/>
  <c r="K918" i="35"/>
  <c r="K647" i="35"/>
  <c r="K208" i="35"/>
  <c r="K824" i="35"/>
  <c r="K461" i="35"/>
  <c r="K518" i="35"/>
  <c r="K80" i="35"/>
  <c r="K174" i="35"/>
  <c r="K779" i="35"/>
  <c r="K731" i="35"/>
  <c r="K234" i="35"/>
  <c r="K110" i="35"/>
  <c r="K585" i="35"/>
  <c r="K844" i="35"/>
  <c r="K411" i="35"/>
  <c r="K241" i="35"/>
  <c r="K962" i="35"/>
  <c r="K807" i="35"/>
  <c r="K816" i="35"/>
  <c r="K996" i="35"/>
  <c r="K703" i="35"/>
  <c r="K466" i="35"/>
  <c r="K988" i="35"/>
  <c r="K810" i="35"/>
  <c r="K415" i="35"/>
  <c r="K152" i="35"/>
  <c r="K975" i="35"/>
  <c r="K632" i="35"/>
  <c r="K391" i="35"/>
  <c r="K535" i="35"/>
  <c r="K787" i="35"/>
  <c r="K757" i="35"/>
  <c r="K194" i="35"/>
  <c r="K1019" i="35"/>
  <c r="K324" i="35"/>
  <c r="K243" i="35"/>
  <c r="K527" i="35"/>
  <c r="K864" i="35"/>
  <c r="K591" i="35"/>
  <c r="K91" i="35"/>
  <c r="K54" i="35"/>
  <c r="K867" i="35"/>
  <c r="K1012" i="35"/>
  <c r="K965" i="35"/>
  <c r="K299" i="35"/>
  <c r="K749" i="35"/>
  <c r="K625" i="35"/>
  <c r="K436" i="35"/>
  <c r="K909" i="35"/>
  <c r="K340" i="35"/>
  <c r="K192" i="35"/>
  <c r="K910" i="35"/>
  <c r="K908" i="35"/>
  <c r="K455" i="35"/>
  <c r="K472" i="35"/>
  <c r="K797" i="35"/>
  <c r="K240" i="35"/>
  <c r="K399" i="35"/>
  <c r="K850" i="35"/>
  <c r="K914" i="35"/>
  <c r="K733" i="35"/>
  <c r="K804" i="35"/>
  <c r="K183" i="35"/>
  <c r="K952" i="35"/>
  <c r="K718" i="35"/>
  <c r="K512" i="35"/>
  <c r="K559" i="35"/>
  <c r="K987" i="35"/>
  <c r="K68" i="35"/>
  <c r="K459" i="35"/>
  <c r="K566" i="35"/>
  <c r="K929" i="35"/>
  <c r="K219" i="35"/>
  <c r="K412" i="35"/>
  <c r="K458" i="35"/>
  <c r="K795" i="35"/>
  <c r="K945" i="35"/>
  <c r="K666" i="35"/>
  <c r="K75" i="35"/>
  <c r="K209" i="35"/>
  <c r="K74" i="35"/>
  <c r="K770" i="35"/>
  <c r="K1003" i="35"/>
  <c r="K577" i="35"/>
  <c r="K827" i="35"/>
  <c r="K330" i="35"/>
  <c r="K826" i="35"/>
  <c r="K467" i="35"/>
  <c r="K428" i="35"/>
  <c r="K620" i="35"/>
  <c r="K913" i="35"/>
  <c r="K408" i="35"/>
  <c r="K617" i="35"/>
  <c r="K971" i="35"/>
  <c r="K871" i="35"/>
  <c r="K901" i="35"/>
  <c r="K107" i="35"/>
  <c r="K997" i="35"/>
  <c r="K983" i="35"/>
  <c r="K592" i="35"/>
  <c r="K168" i="35"/>
  <c r="K692" i="35"/>
  <c r="K576" i="35"/>
  <c r="K664" i="35"/>
  <c r="K179" i="35"/>
  <c r="K710" i="35"/>
  <c r="K266" i="35"/>
  <c r="K395" i="35"/>
  <c r="K801" i="35"/>
  <c r="K811" i="35"/>
  <c r="K259" i="35"/>
  <c r="K113" i="35"/>
  <c r="K439" i="35"/>
  <c r="K362" i="35"/>
  <c r="K225" i="35"/>
  <c r="K449" i="35"/>
  <c r="K148" i="35"/>
  <c r="K1005" i="35"/>
  <c r="K100" i="35"/>
  <c r="K447" i="35"/>
  <c r="K490" i="35"/>
  <c r="K513" i="35"/>
  <c r="K598" i="35"/>
  <c r="K863" i="35"/>
  <c r="K973" i="35"/>
  <c r="K432" i="35"/>
  <c r="K818" i="35"/>
  <c r="K425" i="35"/>
  <c r="K401" i="35"/>
  <c r="K99" i="35"/>
  <c r="K529" i="35"/>
  <c r="K823" i="35"/>
  <c r="K800" i="35"/>
  <c r="K420" i="35"/>
  <c r="K596" i="35"/>
  <c r="K510" i="35"/>
  <c r="K706" i="35"/>
  <c r="K349" i="35"/>
  <c r="K772" i="35"/>
  <c r="K475" i="35"/>
  <c r="K213" i="35"/>
  <c r="K819" i="35"/>
  <c r="K237" i="35"/>
  <c r="K159" i="35"/>
  <c r="K717" i="35"/>
  <c r="K206" i="35"/>
  <c r="K785" i="35"/>
  <c r="K852" i="35"/>
  <c r="K972" i="35"/>
  <c r="K363" i="35"/>
  <c r="K308" i="35"/>
  <c r="K963" i="35"/>
  <c r="K346" i="35"/>
  <c r="K709" i="35"/>
  <c r="K554" i="35"/>
  <c r="K60" i="35"/>
  <c r="K955" i="35"/>
  <c r="K122" i="35"/>
  <c r="K409" i="35"/>
  <c r="K569" i="35"/>
  <c r="K950" i="35"/>
  <c r="K546" i="35"/>
  <c r="K942" i="35"/>
  <c r="K898" i="35"/>
  <c r="K890" i="35"/>
  <c r="K489" i="35"/>
  <c r="K835" i="35"/>
  <c r="K195" i="35"/>
  <c r="K568" i="35"/>
  <c r="K238" i="35"/>
  <c r="K263" i="35"/>
  <c r="K511" i="35"/>
  <c r="K296" i="35"/>
  <c r="K875" i="35"/>
  <c r="K627" i="35"/>
  <c r="K701" i="35"/>
  <c r="K767" i="35"/>
  <c r="K538" i="35"/>
  <c r="K667" i="35"/>
  <c r="K699" i="35"/>
  <c r="K747" i="35"/>
  <c r="K404" i="35"/>
  <c r="K619" i="35"/>
  <c r="K470" i="35"/>
  <c r="K295" i="35"/>
  <c r="K736" i="35"/>
  <c r="K521" i="35"/>
  <c r="K524" i="35"/>
  <c r="K562" i="35"/>
  <c r="K713" i="35"/>
  <c r="K45" i="35"/>
  <c r="K759" i="35"/>
  <c r="K252" i="35"/>
  <c r="K508" i="35"/>
  <c r="K496" i="35"/>
  <c r="K906" i="35"/>
  <c r="K451" i="35"/>
  <c r="K81" i="35"/>
  <c r="K438" i="35"/>
  <c r="K794" i="35"/>
  <c r="K684" i="35"/>
  <c r="K979" i="35"/>
  <c r="K434" i="35"/>
  <c r="K604" i="35"/>
  <c r="K429" i="35"/>
  <c r="K247" i="35"/>
  <c r="K48" i="35"/>
  <c r="K501" i="35"/>
  <c r="K51" i="35"/>
  <c r="K903" i="35"/>
  <c r="K184" i="35"/>
  <c r="K285" i="35"/>
  <c r="K533" i="35"/>
  <c r="K1008" i="35"/>
  <c r="K936" i="35"/>
  <c r="K608" i="35"/>
  <c r="K253" i="35"/>
  <c r="K974" i="35"/>
  <c r="K837" i="35"/>
  <c r="K250" i="35"/>
  <c r="K167" i="35"/>
  <c r="K220" i="35"/>
  <c r="K320" i="35"/>
  <c r="K239" i="35"/>
  <c r="K839" i="35"/>
  <c r="K97" i="35"/>
  <c r="K522" i="35"/>
  <c r="K889" i="35"/>
  <c r="K443" i="35"/>
  <c r="K534" i="35"/>
  <c r="K170" i="35"/>
  <c r="K352" i="35"/>
  <c r="K516" i="35"/>
  <c r="K452" i="35"/>
  <c r="K146" i="35"/>
  <c r="K145" i="35"/>
  <c r="K176" i="35"/>
  <c r="K624" i="35"/>
  <c r="K840" i="35"/>
  <c r="K64" i="35"/>
  <c r="K586" i="35"/>
  <c r="K743" i="35"/>
  <c r="K726" i="35"/>
  <c r="K1023" i="35"/>
  <c r="K964" i="35"/>
  <c r="K760" i="35"/>
  <c r="K999" i="35"/>
  <c r="K103" i="35"/>
  <c r="K277" i="35"/>
  <c r="K394" i="35"/>
  <c r="K150" i="35"/>
  <c r="K1011" i="35"/>
  <c r="K859" i="35"/>
  <c r="K437" i="35"/>
  <c r="K820" i="35"/>
  <c r="K164" i="35"/>
  <c r="K1018" i="35"/>
  <c r="K541" i="35"/>
  <c r="K270" i="35"/>
  <c r="K1000" i="35"/>
  <c r="K59" i="35"/>
  <c r="K809" i="35"/>
  <c r="K959" i="35"/>
  <c r="K339" i="35"/>
  <c r="K781" i="35"/>
  <c r="K530" i="35"/>
  <c r="K402" i="35"/>
  <c r="K191" i="35"/>
  <c r="K707" i="35"/>
  <c r="K782" i="35"/>
  <c r="K76" i="35"/>
  <c r="K126" i="35"/>
  <c r="K545" i="35"/>
  <c r="K610" i="35"/>
  <c r="K912" i="35"/>
  <c r="K830" i="35"/>
  <c r="K354" i="35"/>
  <c r="K173" i="35"/>
  <c r="K291" i="35"/>
  <c r="K672" i="35"/>
  <c r="K622" i="35"/>
  <c r="K435" i="35"/>
  <c r="K834" i="35"/>
  <c r="K507" i="35"/>
  <c r="K857" i="35"/>
  <c r="K256" i="35"/>
  <c r="K602" i="35"/>
  <c r="K1017" i="35"/>
  <c r="K1020" i="35"/>
  <c r="K406" i="35"/>
  <c r="K151" i="35"/>
  <c r="K537" i="35"/>
  <c r="K180" i="35"/>
  <c r="K798" i="35"/>
  <c r="K934" i="35"/>
  <c r="K474" i="35"/>
  <c r="K379" i="35"/>
  <c r="K634" i="35"/>
  <c r="K361" i="35"/>
  <c r="K178" i="35"/>
  <c r="K403" i="35"/>
  <c r="K642" i="35"/>
  <c r="K465" i="35"/>
  <c r="K476" i="35"/>
  <c r="K775" i="35"/>
  <c r="K894" i="35"/>
  <c r="K351" i="35"/>
  <c r="K102" i="35"/>
  <c r="K52" i="35"/>
  <c r="K210" i="35"/>
  <c r="K621" i="35"/>
  <c r="K1015" i="35"/>
  <c r="K697" i="35"/>
  <c r="K957" i="35"/>
  <c r="K357" i="35"/>
  <c r="K994" i="35"/>
  <c r="K430" i="35"/>
  <c r="K639" i="35"/>
  <c r="K633" i="35"/>
  <c r="K207" i="35"/>
  <c r="K646" i="35"/>
  <c r="K547" i="35"/>
  <c r="K967" i="35"/>
  <c r="K104" i="35"/>
  <c r="K623" i="35"/>
  <c r="K954" i="35"/>
  <c r="K77" i="35"/>
  <c r="K581" i="35"/>
  <c r="K201" i="35"/>
  <c r="K893" i="35"/>
  <c r="K69" i="35"/>
  <c r="K564" i="35"/>
  <c r="K601" i="35"/>
  <c r="K998" i="35"/>
  <c r="K499" i="35"/>
  <c r="K595" i="35"/>
  <c r="K85" i="35"/>
  <c r="K690" i="35"/>
  <c r="K665" i="35"/>
  <c r="K878" i="35"/>
  <c r="K431" i="35"/>
  <c r="K43" i="35"/>
  <c r="K769" i="35"/>
  <c r="K114" i="35"/>
  <c r="K847" i="35"/>
  <c r="K1009" i="35"/>
  <c r="K698" i="35"/>
  <c r="K560" i="35"/>
  <c r="K165" i="35"/>
  <c r="K157" i="35"/>
  <c r="K264" i="35"/>
  <c r="K756" i="35"/>
  <c r="K84" i="35"/>
  <c r="K182" i="35"/>
  <c r="K637" i="35"/>
  <c r="K132" i="35"/>
  <c r="K949" i="35"/>
  <c r="K739" i="35"/>
  <c r="K765" i="35"/>
  <c r="K928" i="35"/>
  <c r="K86" i="35"/>
  <c r="K118" i="35"/>
  <c r="K503" i="35"/>
  <c r="K136" i="35"/>
  <c r="K887" i="35"/>
  <c r="K502" i="35"/>
  <c r="K481" i="35"/>
  <c r="K680" i="35"/>
  <c r="K658" i="35"/>
  <c r="K509" i="35"/>
  <c r="K792" i="35"/>
  <c r="K563" i="35"/>
  <c r="K468" i="35"/>
  <c r="K868" i="35"/>
  <c r="K762" i="35"/>
  <c r="K433" i="35"/>
  <c r="K812" i="35"/>
  <c r="K588" i="35"/>
  <c r="K525" i="35"/>
  <c r="K1014" i="35"/>
  <c r="K635" i="35"/>
  <c r="K371" i="35"/>
  <c r="K166" i="35"/>
  <c r="K325" i="35"/>
  <c r="K920" i="35"/>
  <c r="K882" i="35"/>
  <c r="K460" i="35"/>
  <c r="K444" i="35"/>
  <c r="K53" i="35"/>
  <c r="K786" i="35"/>
  <c r="K677" i="35"/>
  <c r="K626" i="35"/>
  <c r="K398" i="35"/>
  <c r="K753" i="35"/>
  <c r="K846" i="35"/>
  <c r="K675" i="35"/>
  <c r="K216" i="35"/>
  <c r="K1006" i="35"/>
  <c r="K94" i="35"/>
  <c r="K683" i="35"/>
  <c r="K227" i="35"/>
  <c r="K275" i="35"/>
  <c r="K279" i="35"/>
  <c r="K599" i="35"/>
  <c r="K613" i="35"/>
  <c r="K900" i="35"/>
  <c r="K223" i="35"/>
  <c r="K668" i="35"/>
  <c r="K806" i="35"/>
  <c r="K958" i="35"/>
  <c r="K63" i="35"/>
  <c r="K761" i="35"/>
  <c r="K953" i="35"/>
  <c r="K784" i="35"/>
  <c r="K904" i="35"/>
  <c r="K98" i="35"/>
  <c r="K686" i="35"/>
  <c r="K895" i="35"/>
  <c r="K333" i="35"/>
  <c r="K674" i="35"/>
  <c r="K789" i="35"/>
  <c r="K87" i="35"/>
  <c r="K427" i="35"/>
  <c r="K829" i="35"/>
  <c r="K331" i="35"/>
  <c r="K315" i="35"/>
  <c r="K204" i="35"/>
  <c r="K788" i="35"/>
  <c r="K417" i="35"/>
  <c r="K930" i="35"/>
  <c r="K384" i="35"/>
  <c r="K163" i="35"/>
  <c r="K528" i="35"/>
  <c r="K119" i="35"/>
  <c r="K790" i="35"/>
  <c r="K189" i="35"/>
  <c r="K149" i="35"/>
  <c r="K414" i="35"/>
  <c r="K921" i="35"/>
  <c r="K606" i="35"/>
  <c r="K926" i="35"/>
  <c r="K1025" i="35"/>
  <c r="K876" i="35"/>
  <c r="K519" i="35"/>
  <c r="K418" i="35"/>
  <c r="K751" i="35"/>
  <c r="K691" i="35"/>
  <c r="K550" i="35"/>
  <c r="K328" i="35"/>
  <c r="K245" i="35"/>
  <c r="K424" i="35"/>
  <c r="K935" i="35"/>
  <c r="K83" i="35"/>
  <c r="K495" i="35"/>
  <c r="K737" i="35"/>
  <c r="K636" i="35"/>
  <c r="K629" i="35"/>
  <c r="K593" i="35"/>
  <c r="K879" i="35"/>
  <c r="K1007" i="35"/>
  <c r="K861" i="35"/>
  <c r="K327" i="35"/>
  <c r="K614" i="35"/>
  <c r="K123" i="35"/>
  <c r="K583" i="35"/>
  <c r="K720" i="35"/>
  <c r="K464" i="35"/>
  <c r="K744" i="35"/>
  <c r="K941" i="35"/>
  <c r="K531" i="35"/>
  <c r="K376" i="35"/>
  <c r="K681" i="35"/>
  <c r="K147" i="35"/>
  <c r="K651" i="35"/>
  <c r="K232" i="35"/>
  <c r="K486" i="35"/>
  <c r="K911" i="35"/>
  <c r="K822" i="35"/>
  <c r="K344" i="35"/>
  <c r="K843" i="35"/>
  <c r="K855" i="35"/>
  <c r="K802" i="35"/>
  <c r="K405" i="35"/>
  <c r="K128" i="35"/>
  <c r="K297" i="35"/>
  <c r="K462" i="35"/>
  <c r="K115" i="35"/>
  <c r="K336" i="35"/>
  <c r="K960" i="35"/>
  <c r="K55" i="35"/>
  <c r="K888" i="35"/>
  <c r="K580" i="35"/>
  <c r="K724" i="35"/>
  <c r="K773" i="35"/>
  <c r="K865" i="35"/>
  <c r="K140" i="35"/>
  <c r="K969" i="35"/>
  <c r="K696" i="35"/>
  <c r="K109" i="35"/>
  <c r="K338" i="35"/>
  <c r="K526" i="35"/>
  <c r="K134" i="35"/>
  <c r="K1021" i="35"/>
  <c r="K742" i="35"/>
  <c r="K117" i="35"/>
  <c r="K687" i="35"/>
  <c r="K124" i="35"/>
  <c r="K487" i="35"/>
  <c r="K708" i="35"/>
  <c r="K494" i="35"/>
  <c r="K311" i="35"/>
  <c r="K536" i="35"/>
  <c r="K158" i="35"/>
  <c r="K578" i="35"/>
  <c r="K831" i="35"/>
  <c r="K948" i="35"/>
  <c r="K923" i="35"/>
  <c r="K378" i="35"/>
  <c r="K343" i="35"/>
  <c r="K579" i="35"/>
  <c r="K880" i="35"/>
  <c r="K120" i="35"/>
  <c r="K388" i="35"/>
  <c r="K648" i="35"/>
  <c r="K532" i="35"/>
  <c r="K542" i="35"/>
  <c r="K483" i="35"/>
  <c r="K390" i="35"/>
  <c r="K374" i="35"/>
  <c r="K135" i="35"/>
  <c r="K730" i="35"/>
  <c r="K584" i="35"/>
  <c r="K231" i="35"/>
  <c r="K671" i="35"/>
  <c r="K540" i="35"/>
  <c r="K570" i="35"/>
  <c r="K369" i="35"/>
  <c r="K244" i="35"/>
  <c r="K1026" i="35"/>
  <c r="K79" i="35"/>
  <c r="K226" i="35"/>
  <c r="K832" i="35"/>
  <c r="K851" i="35"/>
  <c r="K558" i="35"/>
  <c r="K946" i="35"/>
  <c r="K653" i="35"/>
  <c r="K758" i="35"/>
  <c r="K125" i="35"/>
  <c r="K750" i="35"/>
  <c r="K590" i="35"/>
  <c r="K748" i="35"/>
  <c r="K50" i="35"/>
  <c r="K319" i="35"/>
  <c r="K645" i="35"/>
  <c r="K992" i="35"/>
  <c r="K262" i="35"/>
  <c r="K233" i="35"/>
  <c r="K821" i="35"/>
  <c r="K71" i="35"/>
  <c r="K326" i="35"/>
  <c r="K506" i="35"/>
  <c r="K456" i="35"/>
  <c r="K771" i="35"/>
  <c r="K638" i="35"/>
  <c r="K497" i="35"/>
  <c r="K441" i="35"/>
  <c r="K246" i="35"/>
  <c r="K463" i="35"/>
  <c r="K609" i="35"/>
  <c r="K301" i="35"/>
  <c r="K695" i="35"/>
  <c r="K375" i="35"/>
  <c r="K644" i="35"/>
  <c r="K727" i="35"/>
  <c r="K715" i="35"/>
  <c r="K377" i="35"/>
  <c r="K156" i="35"/>
  <c r="K791" i="35"/>
  <c r="K479" i="35"/>
  <c r="K235" i="35"/>
  <c r="K202" i="35"/>
  <c r="K817" i="35"/>
  <c r="K188" i="35"/>
  <c r="K310" i="35"/>
  <c r="K242" i="35"/>
  <c r="K937" i="35"/>
  <c r="K65" i="35"/>
  <c r="K572" i="35"/>
  <c r="K925" i="35"/>
  <c r="K385" i="35"/>
  <c r="K360" i="35"/>
  <c r="K514" i="35"/>
  <c r="K211" i="35"/>
  <c r="K358" i="35"/>
  <c r="K977" i="35"/>
  <c r="K382" i="35"/>
  <c r="K485" i="35"/>
  <c r="K413" i="35"/>
  <c r="K143" i="35"/>
  <c r="K222" i="35"/>
  <c r="K755" i="35"/>
  <c r="K943" i="35"/>
  <c r="K825" i="35"/>
  <c r="K190" i="35"/>
  <c r="K265" i="35"/>
  <c r="K555" i="35"/>
  <c r="K162" i="35"/>
  <c r="K799" i="35"/>
  <c r="K93" i="35"/>
  <c r="K200" i="35"/>
  <c r="K440" i="35"/>
  <c r="K130" i="35"/>
  <c r="K740" i="35"/>
  <c r="K131" i="35"/>
  <c r="K446" i="35"/>
  <c r="K933" i="35"/>
  <c r="K197" i="35"/>
  <c r="K186" i="35"/>
  <c r="K848" i="35"/>
  <c r="K92" i="35"/>
  <c r="K714" i="35"/>
  <c r="K224" i="35"/>
  <c r="K565" i="35"/>
  <c r="K567" i="35"/>
  <c r="K754" i="35"/>
  <c r="K833" i="35"/>
  <c r="K196" i="35"/>
  <c r="K917" i="35"/>
  <c r="K995" i="35"/>
  <c r="K722" i="35"/>
  <c r="K607" i="35"/>
  <c r="K897" i="35"/>
  <c r="K1027" i="35"/>
  <c r="K543" i="35"/>
  <c r="K111" i="35"/>
  <c r="K702" i="35"/>
  <c r="K841" i="35"/>
  <c r="K845" i="35"/>
  <c r="K142" i="35"/>
  <c r="K838" i="35"/>
  <c r="K716" i="35"/>
  <c r="K469" i="35"/>
  <c r="K260" i="35"/>
  <c r="K387" i="35"/>
  <c r="K217" i="35"/>
  <c r="K866" i="35"/>
  <c r="K657" i="35"/>
  <c r="K471" i="35"/>
  <c r="K986" i="35"/>
  <c r="K393" i="35"/>
  <c r="K337" i="35"/>
  <c r="K725" i="35"/>
  <c r="K862" i="35"/>
  <c r="K745" i="35"/>
  <c r="K62" i="35"/>
  <c r="K752" i="35"/>
  <c r="K990" i="35"/>
  <c r="K940" i="35"/>
  <c r="K978" i="35"/>
  <c r="K397" i="35"/>
  <c r="K392" i="35"/>
  <c r="K294" i="35"/>
  <c r="K738" i="35"/>
  <c r="K856" i="35"/>
  <c r="K520" i="35"/>
  <c r="K372" i="35"/>
  <c r="K121" i="35"/>
  <c r="K101" i="35"/>
  <c r="K353" i="35"/>
  <c r="K307" i="35"/>
  <c r="K316" i="35"/>
  <c r="K493" i="35"/>
  <c r="K552" i="35"/>
  <c r="K309" i="35"/>
  <c r="K927" i="35"/>
  <c r="K500" i="35"/>
  <c r="K1004" i="35"/>
  <c r="K956" i="35"/>
  <c r="K594" i="35"/>
  <c r="K422" i="35"/>
  <c r="K899" i="35"/>
  <c r="K774" i="35"/>
  <c r="K654" i="35"/>
  <c r="K302" i="35"/>
  <c r="K292" i="35"/>
  <c r="K448" i="35"/>
  <c r="K734" i="35"/>
  <c r="K676" i="35"/>
  <c r="K587" i="35"/>
  <c r="K685" i="35"/>
  <c r="K283" i="35"/>
  <c r="K582" i="35"/>
  <c r="K293" i="35"/>
  <c r="K400" i="35"/>
  <c r="K612" i="35"/>
  <c r="K836" i="35"/>
  <c r="K215" i="35"/>
  <c r="K355" i="35"/>
  <c r="K271" i="35"/>
  <c r="K298" i="35"/>
  <c r="K803" i="35"/>
  <c r="K544" i="35"/>
  <c r="K891" i="35"/>
  <c r="K329" i="35"/>
  <c r="K732" i="35"/>
  <c r="K815" i="35"/>
  <c r="K874" i="35"/>
  <c r="K473" i="35"/>
  <c r="K314" i="35"/>
  <c r="K883" i="35"/>
  <c r="K700" i="35"/>
  <c r="K313" i="35"/>
  <c r="K172" i="35"/>
  <c r="K662" i="35"/>
  <c r="K322" i="35"/>
  <c r="K938" i="35"/>
  <c r="K981" i="35"/>
  <c r="K517" i="35"/>
  <c r="K272" i="35"/>
  <c r="K290" i="35"/>
  <c r="K777" i="35"/>
  <c r="K153" i="35"/>
  <c r="K539" i="35"/>
  <c r="K982" i="35"/>
  <c r="K719" i="35"/>
  <c r="K924" i="35"/>
  <c r="K73" i="35"/>
  <c r="K426" i="35"/>
  <c r="K57" i="35"/>
  <c r="K410" i="35"/>
  <c r="K218" i="35"/>
  <c r="K869" i="35"/>
  <c r="K161" i="35"/>
  <c r="K348" i="35"/>
  <c r="K274" i="35"/>
  <c r="K133" i="35"/>
  <c r="K951" i="35"/>
  <c r="K334" i="35"/>
  <c r="K870" i="35"/>
  <c r="K523" i="35"/>
  <c r="K323" i="35"/>
  <c r="K849" i="35"/>
  <c r="K877" i="35"/>
  <c r="K306" i="35"/>
  <c r="K89" i="35"/>
  <c r="K249" i="35"/>
  <c r="K258" i="35"/>
  <c r="K652" i="35"/>
  <c r="K600" i="35"/>
  <c r="K236" i="35"/>
  <c r="K303" i="35"/>
  <c r="K72" i="35"/>
  <c r="K261" i="35"/>
  <c r="K1028" i="35"/>
  <c r="K768" i="35"/>
  <c r="K347" i="35"/>
  <c r="K137" i="35"/>
  <c r="K78" i="35"/>
  <c r="K66" i="35"/>
  <c r="K947" i="35"/>
  <c r="K993" i="35"/>
  <c r="K796" i="35"/>
  <c r="K423" i="35"/>
  <c r="K342" i="35"/>
  <c r="K141" i="35"/>
  <c r="K659" i="35"/>
  <c r="K282" i="35"/>
  <c r="K1016" i="35"/>
  <c r="K248" i="35"/>
  <c r="K175" i="35"/>
  <c r="K669" i="35"/>
  <c r="K721" i="35"/>
  <c r="K991" i="35"/>
  <c r="K611" i="35"/>
  <c r="K416" i="35"/>
  <c r="K551" i="35"/>
  <c r="K251" i="35"/>
  <c r="K350" i="35"/>
  <c r="K603" i="35"/>
  <c r="K808" i="35"/>
  <c r="K477" i="35"/>
  <c r="K305" i="35"/>
  <c r="K966" i="35"/>
  <c r="K766" i="35"/>
  <c r="K905" i="35"/>
  <c r="K304" i="35"/>
  <c r="K1030" i="35"/>
  <c r="K498" i="35"/>
  <c r="K763" i="35"/>
  <c r="K961" i="35"/>
  <c r="K480" i="35"/>
  <c r="K814" i="35"/>
  <c r="K729" i="35"/>
  <c r="K902" i="35"/>
  <c r="K154" i="35"/>
  <c r="K381" i="35"/>
  <c r="K663" i="35"/>
  <c r="K1010" i="35"/>
  <c r="K641" i="35"/>
  <c r="K884" i="35"/>
  <c r="K886" i="35"/>
  <c r="K214" i="35"/>
  <c r="K492" i="35"/>
  <c r="K289" i="35"/>
  <c r="K276" i="35"/>
  <c r="K367" i="35"/>
  <c r="K454" i="35"/>
  <c r="K944" i="35"/>
  <c r="K332" i="35"/>
  <c r="K919" i="35"/>
  <c r="K177" i="35"/>
  <c r="K573" i="35"/>
  <c r="K805" i="35"/>
  <c r="K853" i="35"/>
  <c r="H38" i="35"/>
  <c r="H41" i="35"/>
  <c r="H5" i="35"/>
  <c r="H18" i="35"/>
  <c r="I37" i="35"/>
  <c r="K26" i="35"/>
  <c r="J29" i="35"/>
  <c r="J36" i="35"/>
  <c r="J27" i="35"/>
  <c r="I24" i="35"/>
  <c r="J3" i="35"/>
  <c r="J5" i="35"/>
  <c r="K6" i="35"/>
  <c r="H6" i="35"/>
  <c r="H19" i="35"/>
  <c r="K32" i="35"/>
  <c r="J32" i="35"/>
  <c r="J30" i="35"/>
  <c r="K23" i="35"/>
  <c r="I4" i="35"/>
  <c r="J4" i="35"/>
  <c r="I18" i="35"/>
  <c r="J17" i="35"/>
  <c r="H23" i="35"/>
  <c r="J23" i="35"/>
  <c r="J38" i="35"/>
  <c r="K8" i="35"/>
  <c r="J21" i="35"/>
  <c r="H4" i="35"/>
  <c r="J26" i="35"/>
  <c r="K40" i="35"/>
  <c r="I28" i="35"/>
  <c r="K38" i="35"/>
  <c r="H36" i="35"/>
  <c r="H10" i="35"/>
  <c r="I40" i="35"/>
  <c r="K33" i="35"/>
  <c r="K16" i="35"/>
  <c r="J24" i="35"/>
  <c r="J20" i="35"/>
  <c r="K3" i="35"/>
  <c r="I5" i="35"/>
  <c r="H30" i="35"/>
  <c r="J11" i="35"/>
  <c r="J37" i="35"/>
  <c r="H27" i="35"/>
  <c r="H12" i="35"/>
  <c r="J34" i="35"/>
  <c r="J33" i="35"/>
  <c r="I29" i="35"/>
  <c r="K4" i="35"/>
  <c r="K18" i="35"/>
  <c r="J12" i="35"/>
  <c r="J13" i="35"/>
  <c r="K9" i="35"/>
  <c r="H33" i="35"/>
  <c r="H8" i="35"/>
  <c r="I33" i="35"/>
  <c r="H31" i="35"/>
  <c r="H34" i="35"/>
  <c r="H35" i="35"/>
  <c r="H25" i="35"/>
  <c r="I30" i="35"/>
  <c r="K34" i="35"/>
  <c r="K24" i="35"/>
  <c r="K13" i="35"/>
  <c r="J14" i="35"/>
  <c r="I23" i="35"/>
  <c r="H26" i="35"/>
  <c r="H14" i="35"/>
  <c r="I26" i="35"/>
  <c r="I27" i="35"/>
  <c r="I32" i="35"/>
  <c r="K39" i="35"/>
  <c r="J39" i="35"/>
  <c r="I35" i="35"/>
  <c r="I3" i="35"/>
  <c r="K25" i="35"/>
  <c r="J6" i="35"/>
  <c r="I21" i="35"/>
  <c r="H32" i="35"/>
  <c r="H40" i="35"/>
  <c r="H11" i="35"/>
  <c r="I39" i="35"/>
  <c r="K14" i="35"/>
  <c r="H37" i="35"/>
  <c r="H16" i="35"/>
  <c r="I36" i="35"/>
  <c r="K22" i="35"/>
  <c r="K20" i="35"/>
  <c r="J10" i="35"/>
  <c r="J19" i="35"/>
  <c r="H22" i="35"/>
  <c r="H3" i="35"/>
  <c r="K27" i="35"/>
  <c r="K31" i="35"/>
  <c r="J25" i="35"/>
  <c r="K11" i="35"/>
  <c r="K21" i="35"/>
  <c r="I8" i="35"/>
  <c r="J18" i="35"/>
  <c r="I17" i="35"/>
  <c r="K28" i="35"/>
  <c r="I20" i="35"/>
  <c r="K12" i="35"/>
  <c r="I25" i="35"/>
  <c r="H20" i="35"/>
  <c r="H9" i="35"/>
  <c r="I41" i="35"/>
  <c r="I34" i="35"/>
  <c r="K30" i="35"/>
  <c r="J16" i="35"/>
  <c r="K5" i="35"/>
  <c r="J15" i="35"/>
  <c r="I19" i="35"/>
  <c r="H21" i="35"/>
  <c r="H13" i="35"/>
  <c r="K36" i="35"/>
  <c r="K35" i="35"/>
  <c r="J28" i="35"/>
  <c r="I38" i="35"/>
  <c r="J7" i="35"/>
  <c r="I15" i="35"/>
  <c r="I12" i="35"/>
  <c r="K10" i="35"/>
  <c r="I13" i="35"/>
  <c r="K7" i="35"/>
  <c r="I14" i="35"/>
  <c r="J35" i="35"/>
  <c r="H28" i="35"/>
  <c r="H24" i="35"/>
  <c r="H15" i="35"/>
  <c r="J41" i="35"/>
  <c r="I31" i="35"/>
  <c r="I10" i="35"/>
  <c r="I22" i="35"/>
  <c r="I11" i="35"/>
  <c r="J8" i="35"/>
  <c r="H39" i="35"/>
  <c r="H29" i="35"/>
  <c r="H7" i="35"/>
  <c r="H17" i="35"/>
  <c r="J31" i="35"/>
  <c r="K41" i="35"/>
  <c r="J40" i="35"/>
  <c r="K37" i="35"/>
  <c r="K29" i="35"/>
  <c r="K17" i="35"/>
  <c r="I16" i="35"/>
  <c r="K19" i="35"/>
  <c r="I6" i="35"/>
  <c r="J9" i="35"/>
  <c r="J22" i="35"/>
  <c r="K15" i="35"/>
  <c r="I9" i="35"/>
  <c r="I7" i="35"/>
  <c r="E6" i="8" l="1"/>
  <c r="E8" i="8"/>
  <c r="E9" i="8"/>
  <c r="E10" i="8"/>
  <c r="E13" i="8"/>
  <c r="E14" i="8"/>
  <c r="E16" i="8"/>
  <c r="E17" i="8"/>
  <c r="E18" i="8"/>
  <c r="E21" i="8"/>
  <c r="E22" i="8"/>
  <c r="E25" i="8"/>
  <c r="E26" i="8"/>
  <c r="E29" i="8"/>
  <c r="E33" i="8"/>
  <c r="E36" i="8"/>
  <c r="E37" i="8"/>
  <c r="E38" i="8"/>
  <c r="E40" i="8"/>
  <c r="E41" i="8"/>
  <c r="E46" i="8"/>
  <c r="E49" i="8"/>
  <c r="E50" i="8"/>
  <c r="E52" i="8"/>
  <c r="E53" i="8"/>
  <c r="E54" i="8"/>
  <c r="E57" i="8"/>
  <c r="E58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47" i="8"/>
  <c r="E48" i="8"/>
  <c r="E51" i="8"/>
  <c r="E55" i="8"/>
  <c r="E56" i="8"/>
  <c r="A2" i="54"/>
  <c r="B2" i="54" s="1"/>
  <c r="I1" i="8" s="1"/>
  <c r="E534" i="8"/>
  <c r="E536" i="8"/>
  <c r="E537" i="8"/>
  <c r="E538" i="8"/>
  <c r="E539" i="8"/>
  <c r="E540" i="8"/>
  <c r="E541" i="8"/>
  <c r="E542" i="8"/>
  <c r="E543" i="8"/>
  <c r="E544" i="8"/>
  <c r="E545" i="8"/>
  <c r="E546" i="8"/>
  <c r="E550" i="8"/>
  <c r="E552" i="8"/>
  <c r="E555" i="8"/>
  <c r="E556" i="8"/>
  <c r="E557" i="8"/>
  <c r="E558" i="8"/>
  <c r="E562" i="8"/>
  <c r="E563" i="8"/>
  <c r="E565" i="8"/>
  <c r="E566" i="8"/>
  <c r="E567" i="8"/>
  <c r="E568" i="8"/>
  <c r="E571" i="8"/>
  <c r="E572" i="8"/>
  <c r="E573" i="8"/>
  <c r="E574" i="8"/>
  <c r="E575" i="8"/>
  <c r="E576" i="8"/>
  <c r="E577" i="8"/>
  <c r="E578" i="8"/>
  <c r="E579" i="8"/>
  <c r="E582" i="8"/>
  <c r="E583" i="8"/>
  <c r="E585" i="8"/>
  <c r="E587" i="8"/>
  <c r="E588" i="8"/>
  <c r="E590" i="8"/>
  <c r="E591" i="8"/>
  <c r="E593" i="8"/>
  <c r="E594" i="8"/>
  <c r="E595" i="8"/>
  <c r="E597" i="8"/>
  <c r="E600" i="8"/>
  <c r="E601" i="8"/>
  <c r="E603" i="8"/>
  <c r="E604" i="8"/>
  <c r="E605" i="8"/>
  <c r="E606" i="8"/>
  <c r="E607" i="8"/>
  <c r="E609" i="8"/>
  <c r="E610" i="8"/>
  <c r="E617" i="8"/>
  <c r="E619" i="8"/>
  <c r="E620" i="8"/>
  <c r="E621" i="8"/>
  <c r="E622" i="8"/>
  <c r="E625" i="8"/>
  <c r="E626" i="8"/>
  <c r="E627" i="8"/>
  <c r="E628" i="8"/>
  <c r="E633" i="8"/>
  <c r="E634" i="8"/>
  <c r="E635" i="8"/>
  <c r="E636" i="8"/>
  <c r="E638" i="8"/>
  <c r="E640" i="8"/>
  <c r="E641" i="8"/>
  <c r="E642" i="8"/>
  <c r="E643" i="8"/>
  <c r="E645" i="8"/>
  <c r="E646" i="8"/>
  <c r="E647" i="8"/>
  <c r="E648" i="8"/>
  <c r="E650" i="8"/>
  <c r="E651" i="8"/>
  <c r="E652" i="8"/>
  <c r="E653" i="8"/>
  <c r="E654" i="8"/>
  <c r="E657" i="8"/>
  <c r="E658" i="8"/>
  <c r="E659" i="8"/>
  <c r="E662" i="8"/>
  <c r="E664" i="8"/>
  <c r="E665" i="8"/>
  <c r="E667" i="8"/>
  <c r="E668" i="8"/>
  <c r="E670" i="8"/>
  <c r="E672" i="8"/>
  <c r="E673" i="8"/>
  <c r="E674" i="8"/>
  <c r="E675" i="8"/>
  <c r="E676" i="8"/>
  <c r="E679" i="8"/>
  <c r="E681" i="8"/>
  <c r="E682" i="8"/>
  <c r="E683" i="8"/>
  <c r="E684" i="8"/>
  <c r="E685" i="8"/>
  <c r="E686" i="8"/>
  <c r="E688" i="8"/>
  <c r="E689" i="8"/>
  <c r="E690" i="8"/>
  <c r="E691" i="8"/>
  <c r="E693" i="8"/>
  <c r="E694" i="8"/>
  <c r="E695" i="8"/>
  <c r="E696" i="8"/>
  <c r="E700" i="8"/>
  <c r="E702" i="8"/>
  <c r="E703" i="8"/>
  <c r="E704" i="8"/>
  <c r="E705" i="8"/>
  <c r="E706" i="8"/>
  <c r="E707" i="8"/>
  <c r="E710" i="8"/>
  <c r="E712" i="8"/>
  <c r="E713" i="8"/>
  <c r="E714" i="8"/>
  <c r="E715" i="8"/>
  <c r="E716" i="8"/>
  <c r="E718" i="8"/>
  <c r="E720" i="8"/>
  <c r="E721" i="8"/>
  <c r="E722" i="8"/>
  <c r="E723" i="8"/>
  <c r="E727" i="8"/>
  <c r="E728" i="8"/>
  <c r="E729" i="8"/>
  <c r="E731" i="8"/>
  <c r="E732" i="8"/>
  <c r="E733" i="8"/>
  <c r="E734" i="8"/>
  <c r="E735" i="8"/>
  <c r="E736" i="8"/>
  <c r="E737" i="8"/>
  <c r="E738" i="8"/>
  <c r="E739" i="8"/>
  <c r="E743" i="8"/>
  <c r="E744" i="8"/>
  <c r="E745" i="8"/>
  <c r="E746" i="8"/>
  <c r="E748" i="8"/>
  <c r="E749" i="8"/>
  <c r="E750" i="8"/>
  <c r="E751" i="8"/>
  <c r="E753" i="8"/>
  <c r="E754" i="8"/>
  <c r="E755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4" i="8"/>
  <c r="E775" i="8"/>
  <c r="E776" i="8"/>
  <c r="E777" i="8"/>
  <c r="E778" i="8"/>
  <c r="E779" i="8"/>
  <c r="E780" i="8"/>
  <c r="E781" i="8"/>
  <c r="E782" i="8"/>
  <c r="E785" i="8"/>
  <c r="E786" i="8"/>
  <c r="E787" i="8"/>
  <c r="E789" i="8"/>
  <c r="E791" i="8"/>
  <c r="E792" i="8"/>
  <c r="E793" i="8"/>
  <c r="E794" i="8"/>
  <c r="E795" i="8"/>
  <c r="E796" i="8"/>
  <c r="E798" i="8"/>
  <c r="E801" i="8"/>
  <c r="E802" i="8"/>
  <c r="E808" i="8"/>
  <c r="E809" i="8"/>
  <c r="E810" i="8"/>
  <c r="E812" i="8"/>
  <c r="E813" i="8"/>
  <c r="E814" i="8"/>
  <c r="E815" i="8"/>
  <c r="E816" i="8"/>
  <c r="E817" i="8"/>
  <c r="E818" i="8"/>
  <c r="E819" i="8"/>
  <c r="E823" i="8"/>
  <c r="E824" i="8"/>
  <c r="E825" i="8"/>
  <c r="E827" i="8"/>
  <c r="E828" i="8"/>
  <c r="E829" i="8"/>
  <c r="E830" i="8"/>
  <c r="E832" i="8"/>
  <c r="E833" i="8"/>
  <c r="E834" i="8"/>
  <c r="E835" i="8"/>
  <c r="E837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4" i="8"/>
  <c r="E855" i="8"/>
  <c r="E856" i="8"/>
  <c r="E857" i="8"/>
  <c r="E860" i="8"/>
  <c r="E862" i="8"/>
  <c r="E863" i="8"/>
  <c r="E864" i="8"/>
  <c r="E865" i="8"/>
  <c r="E866" i="8"/>
  <c r="E867" i="8"/>
  <c r="E870" i="8"/>
  <c r="E871" i="8"/>
  <c r="E872" i="8"/>
  <c r="E874" i="8"/>
  <c r="E875" i="8"/>
  <c r="E876" i="8"/>
  <c r="E877" i="8"/>
  <c r="E878" i="8"/>
  <c r="E880" i="8"/>
  <c r="E881" i="8"/>
  <c r="E882" i="8"/>
  <c r="E883" i="8"/>
  <c r="E885" i="8"/>
  <c r="E886" i="8"/>
  <c r="E887" i="8"/>
  <c r="E888" i="8"/>
  <c r="E889" i="8"/>
  <c r="E890" i="8"/>
  <c r="E891" i="8"/>
  <c r="E892" i="8"/>
  <c r="E893" i="8"/>
  <c r="E894" i="8"/>
  <c r="E896" i="8"/>
  <c r="E897" i="8"/>
  <c r="E898" i="8"/>
  <c r="E899" i="8"/>
  <c r="E902" i="8"/>
  <c r="E904" i="8"/>
  <c r="E905" i="8"/>
  <c r="E906" i="8"/>
  <c r="E907" i="8"/>
  <c r="E908" i="8"/>
  <c r="E910" i="8"/>
  <c r="E913" i="8"/>
  <c r="E914" i="8"/>
  <c r="E915" i="8"/>
  <c r="E917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3" i="8"/>
  <c r="E934" i="8"/>
  <c r="E936" i="8"/>
  <c r="E937" i="8"/>
  <c r="E939" i="8"/>
  <c r="E940" i="8"/>
  <c r="E942" i="8"/>
  <c r="E943" i="8"/>
  <c r="E944" i="8"/>
  <c r="E945" i="8"/>
  <c r="E946" i="8"/>
  <c r="E948" i="8"/>
  <c r="E949" i="8"/>
  <c r="E950" i="8"/>
  <c r="E952" i="8"/>
  <c r="E955" i="8"/>
  <c r="E956" i="8"/>
  <c r="E958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3" i="8"/>
  <c r="E984" i="8"/>
  <c r="E985" i="8"/>
  <c r="E987" i="8"/>
  <c r="E988" i="8"/>
  <c r="E989" i="8"/>
  <c r="E990" i="8"/>
  <c r="E992" i="8"/>
  <c r="E993" i="8"/>
  <c r="E994" i="8"/>
  <c r="E995" i="8"/>
  <c r="E996" i="8"/>
  <c r="E997" i="8"/>
  <c r="E998" i="8"/>
  <c r="E1001" i="8"/>
  <c r="E1002" i="8"/>
  <c r="E1003" i="8"/>
  <c r="E1004" i="8"/>
  <c r="E1006" i="8"/>
  <c r="E1007" i="8"/>
  <c r="E1008" i="8"/>
  <c r="E1009" i="8"/>
  <c r="E1010" i="8"/>
  <c r="E1011" i="8"/>
  <c r="E1013" i="8"/>
  <c r="E1014" i="8"/>
  <c r="E1015" i="8"/>
  <c r="E1016" i="8"/>
  <c r="E1017" i="8"/>
  <c r="E1018" i="8"/>
  <c r="E1019" i="8"/>
  <c r="E1020" i="8"/>
  <c r="E1021" i="8"/>
  <c r="E1022" i="8"/>
  <c r="E1025" i="8"/>
  <c r="E1026" i="8"/>
  <c r="E1027" i="8"/>
  <c r="E535" i="8"/>
  <c r="E547" i="8"/>
  <c r="E548" i="8"/>
  <c r="E549" i="8"/>
  <c r="E551" i="8"/>
  <c r="E553" i="8"/>
  <c r="E554" i="8"/>
  <c r="E559" i="8"/>
  <c r="E560" i="8"/>
  <c r="E561" i="8"/>
  <c r="E564" i="8"/>
  <c r="E569" i="8"/>
  <c r="E580" i="8"/>
  <c r="E581" i="8"/>
  <c r="E584" i="8"/>
  <c r="E586" i="8"/>
  <c r="E589" i="8"/>
  <c r="E592" i="8"/>
  <c r="E596" i="8"/>
  <c r="E598" i="8"/>
  <c r="E599" i="8"/>
  <c r="E602" i="8"/>
  <c r="E608" i="8"/>
  <c r="E611" i="8"/>
  <c r="E612" i="8"/>
  <c r="E613" i="8"/>
  <c r="E614" i="8"/>
  <c r="E615" i="8"/>
  <c r="E616" i="8"/>
  <c r="E623" i="8"/>
  <c r="E624" i="8"/>
  <c r="E629" i="8"/>
  <c r="E631" i="8"/>
  <c r="E632" i="8"/>
  <c r="E637" i="8"/>
  <c r="E639" i="8"/>
  <c r="E644" i="8"/>
  <c r="E649" i="8"/>
  <c r="E655" i="8"/>
  <c r="E656" i="8"/>
  <c r="E660" i="8"/>
  <c r="E661" i="8"/>
  <c r="E663" i="8"/>
  <c r="E666" i="8"/>
  <c r="E669" i="8"/>
  <c r="E671" i="8"/>
  <c r="E680" i="8"/>
  <c r="E687" i="8"/>
  <c r="E692" i="8"/>
  <c r="E697" i="8"/>
  <c r="E699" i="8"/>
  <c r="E701" i="8"/>
  <c r="E708" i="8"/>
  <c r="E709" i="8"/>
  <c r="E711" i="8"/>
  <c r="E717" i="8"/>
  <c r="E719" i="8"/>
  <c r="E724" i="8"/>
  <c r="E725" i="8"/>
  <c r="E726" i="8"/>
  <c r="E740" i="8"/>
  <c r="E741" i="8"/>
  <c r="E742" i="8"/>
  <c r="E747" i="8"/>
  <c r="E752" i="8"/>
  <c r="E756" i="8"/>
  <c r="E757" i="8"/>
  <c r="E771" i="8"/>
  <c r="E772" i="8"/>
  <c r="E773" i="8"/>
  <c r="E783" i="8"/>
  <c r="E784" i="8"/>
  <c r="E788" i="8"/>
  <c r="E790" i="8"/>
  <c r="E797" i="8"/>
  <c r="E799" i="8"/>
  <c r="E800" i="8"/>
  <c r="E803" i="8"/>
  <c r="E804" i="8"/>
  <c r="E805" i="8"/>
  <c r="E806" i="8"/>
  <c r="E807" i="8"/>
  <c r="E820" i="8"/>
  <c r="E821" i="8"/>
  <c r="E822" i="8"/>
  <c r="E826" i="8"/>
  <c r="E831" i="8"/>
  <c r="E836" i="8"/>
  <c r="E838" i="8"/>
  <c r="E853" i="8"/>
  <c r="E858" i="8"/>
  <c r="E859" i="8"/>
  <c r="E861" i="8"/>
  <c r="E868" i="8"/>
  <c r="E869" i="8"/>
  <c r="E873" i="8"/>
  <c r="E879" i="8"/>
  <c r="E884" i="8"/>
  <c r="E895" i="8"/>
  <c r="E900" i="8"/>
  <c r="E901" i="8"/>
  <c r="E903" i="8"/>
  <c r="E909" i="8"/>
  <c r="E911" i="8"/>
  <c r="E912" i="8"/>
  <c r="E916" i="8"/>
  <c r="E918" i="8"/>
  <c r="E932" i="8"/>
  <c r="E935" i="8"/>
  <c r="E938" i="8"/>
  <c r="E941" i="8"/>
  <c r="E947" i="8"/>
  <c r="E951" i="8"/>
  <c r="E953" i="8"/>
  <c r="E954" i="8"/>
  <c r="E957" i="8"/>
  <c r="E959" i="8"/>
  <c r="E981" i="8"/>
  <c r="E982" i="8"/>
  <c r="E986" i="8"/>
  <c r="E991" i="8"/>
  <c r="E999" i="8"/>
  <c r="E1000" i="8"/>
  <c r="E1005" i="8"/>
  <c r="E1012" i="8"/>
  <c r="E1023" i="8"/>
  <c r="E1024" i="8"/>
  <c r="E1028" i="8"/>
  <c r="E1029" i="8"/>
  <c r="E27" i="8"/>
  <c r="E43" i="8"/>
  <c r="E59" i="8"/>
  <c r="E1030" i="8"/>
  <c r="E3" i="8"/>
  <c r="E4" i="8"/>
  <c r="E5" i="8"/>
  <c r="E7" i="8"/>
  <c r="E11" i="8"/>
  <c r="E12" i="8"/>
  <c r="E15" i="8"/>
  <c r="E19" i="8"/>
  <c r="E20" i="8"/>
  <c r="E23" i="8"/>
  <c r="E24" i="8"/>
  <c r="E28" i="8"/>
  <c r="E30" i="8"/>
  <c r="E31" i="8"/>
  <c r="E32" i="8"/>
  <c r="E34" i="8"/>
  <c r="E35" i="8"/>
  <c r="E39" i="8"/>
  <c r="E42" i="8"/>
  <c r="E44" i="8"/>
  <c r="E45" i="8"/>
  <c r="E60" i="8"/>
  <c r="E570" i="8"/>
  <c r="E618" i="8"/>
  <c r="E630" i="8"/>
  <c r="E677" i="8"/>
  <c r="E678" i="8"/>
  <c r="E698" i="8"/>
  <c r="E730" i="8"/>
  <c r="E811" i="8"/>
  <c r="A1030" i="8"/>
  <c r="B1030" i="8"/>
  <c r="C1030" i="8"/>
  <c r="A2" i="8"/>
  <c r="B3" i="8"/>
  <c r="C3" i="8"/>
  <c r="B4" i="8"/>
  <c r="C4" i="8"/>
  <c r="B5" i="8"/>
  <c r="C5" i="8"/>
  <c r="B6" i="8"/>
  <c r="C6" i="8"/>
  <c r="B7" i="8"/>
  <c r="C7" i="8"/>
  <c r="B8" i="8"/>
  <c r="C8" i="8"/>
  <c r="B9" i="8"/>
  <c r="C9" i="8"/>
  <c r="B10" i="8"/>
  <c r="C10" i="8"/>
  <c r="B11" i="8"/>
  <c r="C11" i="8"/>
  <c r="B12" i="8"/>
  <c r="C12" i="8"/>
  <c r="B13" i="8"/>
  <c r="C13" i="8"/>
  <c r="B14" i="8"/>
  <c r="C14" i="8"/>
  <c r="B15" i="8"/>
  <c r="C15" i="8"/>
  <c r="B16" i="8"/>
  <c r="C16" i="8"/>
  <c r="B17" i="8"/>
  <c r="C17" i="8"/>
  <c r="B18" i="8"/>
  <c r="C18" i="8"/>
  <c r="B19" i="8"/>
  <c r="C19" i="8"/>
  <c r="B20" i="8"/>
  <c r="C20" i="8"/>
  <c r="B21" i="8"/>
  <c r="C21" i="8"/>
  <c r="B22" i="8"/>
  <c r="C22" i="8"/>
  <c r="B23" i="8"/>
  <c r="C23" i="8"/>
  <c r="B24" i="8"/>
  <c r="C24" i="8"/>
  <c r="B25" i="8"/>
  <c r="C25" i="8"/>
  <c r="B26" i="8"/>
  <c r="C26" i="8"/>
  <c r="B27" i="8"/>
  <c r="C27" i="8"/>
  <c r="B28" i="8"/>
  <c r="C28" i="8"/>
  <c r="B29" i="8"/>
  <c r="C29" i="8"/>
  <c r="B30" i="8"/>
  <c r="C30" i="8"/>
  <c r="B31" i="8"/>
  <c r="C31" i="8"/>
  <c r="B32" i="8"/>
  <c r="C32" i="8"/>
  <c r="B33" i="8"/>
  <c r="C33" i="8"/>
  <c r="B34" i="8"/>
  <c r="C34" i="8"/>
  <c r="B35" i="8"/>
  <c r="C35" i="8"/>
  <c r="B36" i="8"/>
  <c r="C36" i="8"/>
  <c r="B37" i="8"/>
  <c r="C37" i="8"/>
  <c r="B38" i="8"/>
  <c r="C38" i="8"/>
  <c r="B39" i="8"/>
  <c r="C39" i="8"/>
  <c r="B40" i="8"/>
  <c r="C40" i="8"/>
  <c r="B41" i="8"/>
  <c r="C41" i="8"/>
  <c r="B42" i="8"/>
  <c r="C42" i="8"/>
  <c r="B43" i="8"/>
  <c r="C43" i="8"/>
  <c r="B44" i="8"/>
  <c r="C44" i="8"/>
  <c r="B45" i="8"/>
  <c r="C45" i="8"/>
  <c r="B46" i="8"/>
  <c r="C46" i="8"/>
  <c r="B47" i="8"/>
  <c r="C47" i="8"/>
  <c r="B48" i="8"/>
  <c r="C48" i="8"/>
  <c r="B49" i="8"/>
  <c r="C49" i="8"/>
  <c r="B50" i="8"/>
  <c r="C50" i="8"/>
  <c r="B51" i="8"/>
  <c r="C51" i="8"/>
  <c r="B52" i="8"/>
  <c r="C52" i="8"/>
  <c r="B53" i="8"/>
  <c r="C53" i="8"/>
  <c r="B54" i="8"/>
  <c r="C54" i="8"/>
  <c r="B55" i="8"/>
  <c r="C55" i="8"/>
  <c r="B56" i="8"/>
  <c r="C56" i="8"/>
  <c r="B57" i="8"/>
  <c r="C57" i="8"/>
  <c r="B58" i="8"/>
  <c r="C58" i="8"/>
  <c r="B59" i="8"/>
  <c r="C59" i="8"/>
  <c r="B60" i="8"/>
  <c r="C60" i="8"/>
  <c r="B61" i="8"/>
  <c r="C61" i="8"/>
  <c r="B62" i="8"/>
  <c r="C62" i="8"/>
  <c r="B63" i="8"/>
  <c r="C63" i="8"/>
  <c r="B64" i="8"/>
  <c r="C64" i="8"/>
  <c r="B65" i="8"/>
  <c r="C65" i="8"/>
  <c r="B66" i="8"/>
  <c r="C66" i="8"/>
  <c r="B67" i="8"/>
  <c r="C67" i="8"/>
  <c r="B68" i="8"/>
  <c r="C68" i="8"/>
  <c r="B69" i="8"/>
  <c r="C69" i="8"/>
  <c r="B70" i="8"/>
  <c r="C70" i="8"/>
  <c r="B71" i="8"/>
  <c r="C71" i="8"/>
  <c r="B72" i="8"/>
  <c r="C72" i="8"/>
  <c r="B73" i="8"/>
  <c r="C73" i="8"/>
  <c r="B74" i="8"/>
  <c r="C74" i="8"/>
  <c r="B75" i="8"/>
  <c r="C75" i="8"/>
  <c r="B76" i="8"/>
  <c r="C76" i="8"/>
  <c r="B77" i="8"/>
  <c r="C77" i="8"/>
  <c r="B78" i="8"/>
  <c r="C78" i="8"/>
  <c r="B79" i="8"/>
  <c r="C79" i="8"/>
  <c r="B80" i="8"/>
  <c r="C80" i="8"/>
  <c r="B81" i="8"/>
  <c r="C81" i="8"/>
  <c r="B82" i="8"/>
  <c r="C82" i="8"/>
  <c r="B83" i="8"/>
  <c r="C83" i="8"/>
  <c r="B84" i="8"/>
  <c r="C84" i="8"/>
  <c r="B85" i="8"/>
  <c r="C85" i="8"/>
  <c r="B86" i="8"/>
  <c r="C86" i="8"/>
  <c r="B87" i="8"/>
  <c r="C87" i="8"/>
  <c r="B88" i="8"/>
  <c r="C88" i="8"/>
  <c r="B89" i="8"/>
  <c r="C89" i="8"/>
  <c r="B90" i="8"/>
  <c r="C90" i="8"/>
  <c r="B91" i="8"/>
  <c r="C91" i="8"/>
  <c r="B92" i="8"/>
  <c r="C92" i="8"/>
  <c r="B93" i="8"/>
  <c r="C93" i="8"/>
  <c r="B94" i="8"/>
  <c r="C94" i="8"/>
  <c r="B95" i="8"/>
  <c r="C95" i="8"/>
  <c r="B96" i="8"/>
  <c r="C96" i="8"/>
  <c r="B97" i="8"/>
  <c r="C97" i="8"/>
  <c r="B98" i="8"/>
  <c r="C98" i="8"/>
  <c r="B99" i="8"/>
  <c r="C99" i="8"/>
  <c r="B100" i="8"/>
  <c r="C100" i="8"/>
  <c r="B101" i="8"/>
  <c r="C101" i="8"/>
  <c r="B102" i="8"/>
  <c r="C102" i="8"/>
  <c r="B103" i="8"/>
  <c r="C103" i="8"/>
  <c r="B104" i="8"/>
  <c r="C104" i="8"/>
  <c r="B105" i="8"/>
  <c r="C105" i="8"/>
  <c r="B106" i="8"/>
  <c r="C106" i="8"/>
  <c r="B107" i="8"/>
  <c r="C107" i="8"/>
  <c r="B108" i="8"/>
  <c r="C108" i="8"/>
  <c r="B109" i="8"/>
  <c r="C109" i="8"/>
  <c r="B110" i="8"/>
  <c r="C110" i="8"/>
  <c r="B111" i="8"/>
  <c r="C111" i="8"/>
  <c r="B112" i="8"/>
  <c r="C112" i="8"/>
  <c r="B113" i="8"/>
  <c r="C113" i="8"/>
  <c r="B114" i="8"/>
  <c r="C114" i="8"/>
  <c r="B115" i="8"/>
  <c r="C115" i="8"/>
  <c r="B116" i="8"/>
  <c r="C116" i="8"/>
  <c r="B117" i="8"/>
  <c r="C117" i="8"/>
  <c r="B118" i="8"/>
  <c r="C118" i="8"/>
  <c r="B119" i="8"/>
  <c r="C119" i="8"/>
  <c r="B120" i="8"/>
  <c r="C120" i="8"/>
  <c r="B121" i="8"/>
  <c r="C121" i="8"/>
  <c r="B122" i="8"/>
  <c r="C122" i="8"/>
  <c r="B123" i="8"/>
  <c r="C123" i="8"/>
  <c r="B124" i="8"/>
  <c r="C124" i="8"/>
  <c r="B125" i="8"/>
  <c r="C125" i="8"/>
  <c r="B126" i="8"/>
  <c r="C126" i="8"/>
  <c r="B127" i="8"/>
  <c r="C127" i="8"/>
  <c r="B128" i="8"/>
  <c r="C128" i="8"/>
  <c r="B129" i="8"/>
  <c r="C129" i="8"/>
  <c r="B130" i="8"/>
  <c r="C130" i="8"/>
  <c r="B131" i="8"/>
  <c r="C131" i="8"/>
  <c r="B132" i="8"/>
  <c r="C132" i="8"/>
  <c r="B133" i="8"/>
  <c r="C133" i="8"/>
  <c r="B134" i="8"/>
  <c r="C134" i="8"/>
  <c r="B135" i="8"/>
  <c r="C135" i="8"/>
  <c r="B136" i="8"/>
  <c r="C136" i="8"/>
  <c r="B137" i="8"/>
  <c r="C137" i="8"/>
  <c r="B138" i="8"/>
  <c r="C138" i="8"/>
  <c r="B139" i="8"/>
  <c r="C139" i="8"/>
  <c r="B140" i="8"/>
  <c r="C140" i="8"/>
  <c r="B141" i="8"/>
  <c r="C141" i="8"/>
  <c r="B142" i="8"/>
  <c r="C142" i="8"/>
  <c r="B143" i="8"/>
  <c r="C143" i="8"/>
  <c r="B144" i="8"/>
  <c r="C144" i="8"/>
  <c r="B145" i="8"/>
  <c r="C145" i="8"/>
  <c r="B146" i="8"/>
  <c r="C146" i="8"/>
  <c r="B147" i="8"/>
  <c r="C147" i="8"/>
  <c r="B148" i="8"/>
  <c r="C148" i="8"/>
  <c r="B149" i="8"/>
  <c r="C149" i="8"/>
  <c r="B150" i="8"/>
  <c r="C150" i="8"/>
  <c r="B151" i="8"/>
  <c r="C151" i="8"/>
  <c r="B152" i="8"/>
  <c r="C152" i="8"/>
  <c r="B153" i="8"/>
  <c r="C153" i="8"/>
  <c r="B154" i="8"/>
  <c r="C154" i="8"/>
  <c r="B155" i="8"/>
  <c r="C155" i="8"/>
  <c r="B156" i="8"/>
  <c r="C156" i="8"/>
  <c r="B157" i="8"/>
  <c r="C157" i="8"/>
  <c r="B158" i="8"/>
  <c r="C158" i="8"/>
  <c r="B159" i="8"/>
  <c r="C159" i="8"/>
  <c r="B160" i="8"/>
  <c r="C160" i="8"/>
  <c r="B161" i="8"/>
  <c r="C161" i="8"/>
  <c r="B162" i="8"/>
  <c r="C162" i="8"/>
  <c r="B163" i="8"/>
  <c r="C163" i="8"/>
  <c r="B164" i="8"/>
  <c r="C164" i="8"/>
  <c r="B165" i="8"/>
  <c r="C165" i="8"/>
  <c r="B166" i="8"/>
  <c r="C166" i="8"/>
  <c r="B167" i="8"/>
  <c r="C167" i="8"/>
  <c r="B168" i="8"/>
  <c r="C168" i="8"/>
  <c r="B169" i="8"/>
  <c r="C169" i="8"/>
  <c r="B170" i="8"/>
  <c r="C170" i="8"/>
  <c r="B171" i="8"/>
  <c r="C171" i="8"/>
  <c r="B172" i="8"/>
  <c r="C172" i="8"/>
  <c r="B173" i="8"/>
  <c r="C173" i="8"/>
  <c r="B174" i="8"/>
  <c r="C174" i="8"/>
  <c r="B175" i="8"/>
  <c r="C175" i="8"/>
  <c r="B176" i="8"/>
  <c r="C176" i="8"/>
  <c r="B177" i="8"/>
  <c r="C177" i="8"/>
  <c r="B178" i="8"/>
  <c r="C178" i="8"/>
  <c r="B179" i="8"/>
  <c r="C179" i="8"/>
  <c r="B180" i="8"/>
  <c r="C180" i="8"/>
  <c r="B181" i="8"/>
  <c r="C181" i="8"/>
  <c r="B182" i="8"/>
  <c r="C182" i="8"/>
  <c r="B183" i="8"/>
  <c r="C183" i="8"/>
  <c r="B184" i="8"/>
  <c r="C184" i="8"/>
  <c r="B185" i="8"/>
  <c r="C185" i="8"/>
  <c r="B186" i="8"/>
  <c r="C186" i="8"/>
  <c r="B187" i="8"/>
  <c r="C187" i="8"/>
  <c r="B188" i="8"/>
  <c r="C188" i="8"/>
  <c r="B189" i="8"/>
  <c r="C189" i="8"/>
  <c r="B190" i="8"/>
  <c r="C190" i="8"/>
  <c r="B191" i="8"/>
  <c r="C191" i="8"/>
  <c r="B192" i="8"/>
  <c r="C192" i="8"/>
  <c r="B193" i="8"/>
  <c r="C193" i="8"/>
  <c r="B194" i="8"/>
  <c r="C194" i="8"/>
  <c r="B195" i="8"/>
  <c r="C195" i="8"/>
  <c r="B196" i="8"/>
  <c r="C196" i="8"/>
  <c r="B197" i="8"/>
  <c r="C197" i="8"/>
  <c r="B198" i="8"/>
  <c r="C198" i="8"/>
  <c r="B199" i="8"/>
  <c r="C199" i="8"/>
  <c r="B200" i="8"/>
  <c r="C200" i="8"/>
  <c r="B201" i="8"/>
  <c r="C201" i="8"/>
  <c r="B202" i="8"/>
  <c r="C202" i="8"/>
  <c r="B203" i="8"/>
  <c r="C203" i="8"/>
  <c r="B204" i="8"/>
  <c r="C204" i="8"/>
  <c r="B205" i="8"/>
  <c r="C205" i="8"/>
  <c r="B206" i="8"/>
  <c r="C206" i="8"/>
  <c r="B207" i="8"/>
  <c r="C207" i="8"/>
  <c r="B208" i="8"/>
  <c r="C208" i="8"/>
  <c r="B209" i="8"/>
  <c r="C209" i="8"/>
  <c r="B210" i="8"/>
  <c r="C210" i="8"/>
  <c r="B211" i="8"/>
  <c r="C211" i="8"/>
  <c r="B212" i="8"/>
  <c r="C212" i="8"/>
  <c r="B213" i="8"/>
  <c r="C213" i="8"/>
  <c r="B214" i="8"/>
  <c r="C214" i="8"/>
  <c r="B215" i="8"/>
  <c r="C215" i="8"/>
  <c r="B216" i="8"/>
  <c r="C216" i="8"/>
  <c r="B217" i="8"/>
  <c r="C217" i="8"/>
  <c r="B218" i="8"/>
  <c r="C218" i="8"/>
  <c r="B219" i="8"/>
  <c r="C219" i="8"/>
  <c r="B220" i="8"/>
  <c r="C220" i="8"/>
  <c r="B221" i="8"/>
  <c r="C221" i="8"/>
  <c r="B222" i="8"/>
  <c r="C222" i="8"/>
  <c r="B223" i="8"/>
  <c r="C223" i="8"/>
  <c r="B224" i="8"/>
  <c r="C224" i="8"/>
  <c r="B225" i="8"/>
  <c r="C225" i="8"/>
  <c r="B226" i="8"/>
  <c r="C226" i="8"/>
  <c r="B227" i="8"/>
  <c r="C227" i="8"/>
  <c r="B228" i="8"/>
  <c r="C228" i="8"/>
  <c r="B229" i="8"/>
  <c r="C229" i="8"/>
  <c r="B230" i="8"/>
  <c r="C230" i="8"/>
  <c r="B231" i="8"/>
  <c r="C231" i="8"/>
  <c r="B232" i="8"/>
  <c r="C232" i="8"/>
  <c r="B233" i="8"/>
  <c r="C233" i="8"/>
  <c r="B234" i="8"/>
  <c r="C234" i="8"/>
  <c r="B235" i="8"/>
  <c r="C235" i="8"/>
  <c r="B236" i="8"/>
  <c r="C236" i="8"/>
  <c r="B237" i="8"/>
  <c r="C237" i="8"/>
  <c r="B238" i="8"/>
  <c r="C238" i="8"/>
  <c r="B239" i="8"/>
  <c r="C239" i="8"/>
  <c r="B240" i="8"/>
  <c r="C240" i="8"/>
  <c r="B241" i="8"/>
  <c r="C241" i="8"/>
  <c r="B242" i="8"/>
  <c r="C242" i="8"/>
  <c r="B243" i="8"/>
  <c r="C243" i="8"/>
  <c r="B244" i="8"/>
  <c r="C244" i="8"/>
  <c r="B245" i="8"/>
  <c r="C245" i="8"/>
  <c r="B246" i="8"/>
  <c r="C246" i="8"/>
  <c r="B247" i="8"/>
  <c r="C247" i="8"/>
  <c r="B248" i="8"/>
  <c r="C248" i="8"/>
  <c r="B249" i="8"/>
  <c r="C249" i="8"/>
  <c r="B250" i="8"/>
  <c r="C250" i="8"/>
  <c r="B251" i="8"/>
  <c r="C251" i="8"/>
  <c r="B252" i="8"/>
  <c r="C252" i="8"/>
  <c r="B253" i="8"/>
  <c r="C253" i="8"/>
  <c r="B254" i="8"/>
  <c r="C254" i="8"/>
  <c r="B255" i="8"/>
  <c r="C255" i="8"/>
  <c r="B256" i="8"/>
  <c r="C256" i="8"/>
  <c r="B257" i="8"/>
  <c r="C257" i="8"/>
  <c r="B258" i="8"/>
  <c r="C258" i="8"/>
  <c r="B259" i="8"/>
  <c r="C259" i="8"/>
  <c r="B260" i="8"/>
  <c r="C260" i="8"/>
  <c r="B261" i="8"/>
  <c r="C261" i="8"/>
  <c r="B262" i="8"/>
  <c r="C262" i="8"/>
  <c r="B263" i="8"/>
  <c r="C263" i="8"/>
  <c r="B264" i="8"/>
  <c r="C264" i="8"/>
  <c r="B265" i="8"/>
  <c r="C265" i="8"/>
  <c r="B266" i="8"/>
  <c r="C266" i="8"/>
  <c r="B267" i="8"/>
  <c r="C267" i="8"/>
  <c r="B268" i="8"/>
  <c r="C268" i="8"/>
  <c r="B269" i="8"/>
  <c r="C269" i="8"/>
  <c r="B270" i="8"/>
  <c r="C270" i="8"/>
  <c r="B271" i="8"/>
  <c r="C271" i="8"/>
  <c r="B272" i="8"/>
  <c r="C272" i="8"/>
  <c r="B273" i="8"/>
  <c r="C273" i="8"/>
  <c r="B274" i="8"/>
  <c r="C274" i="8"/>
  <c r="B275" i="8"/>
  <c r="C275" i="8"/>
  <c r="B276" i="8"/>
  <c r="C276" i="8"/>
  <c r="B277" i="8"/>
  <c r="C277" i="8"/>
  <c r="B278" i="8"/>
  <c r="C278" i="8"/>
  <c r="B279" i="8"/>
  <c r="C279" i="8"/>
  <c r="B280" i="8"/>
  <c r="C280" i="8"/>
  <c r="B281" i="8"/>
  <c r="C281" i="8"/>
  <c r="B282" i="8"/>
  <c r="C282" i="8"/>
  <c r="B283" i="8"/>
  <c r="C283" i="8"/>
  <c r="B284" i="8"/>
  <c r="C284" i="8"/>
  <c r="B285" i="8"/>
  <c r="C285" i="8"/>
  <c r="B286" i="8"/>
  <c r="C286" i="8"/>
  <c r="B287" i="8"/>
  <c r="C287" i="8"/>
  <c r="B288" i="8"/>
  <c r="C288" i="8"/>
  <c r="B289" i="8"/>
  <c r="C289" i="8"/>
  <c r="B290" i="8"/>
  <c r="C290" i="8"/>
  <c r="B291" i="8"/>
  <c r="C291" i="8"/>
  <c r="B292" i="8"/>
  <c r="C292" i="8"/>
  <c r="B293" i="8"/>
  <c r="C293" i="8"/>
  <c r="B294" i="8"/>
  <c r="C294" i="8"/>
  <c r="B295" i="8"/>
  <c r="C295" i="8"/>
  <c r="B296" i="8"/>
  <c r="C296" i="8"/>
  <c r="B297" i="8"/>
  <c r="C297" i="8"/>
  <c r="B298" i="8"/>
  <c r="C298" i="8"/>
  <c r="B299" i="8"/>
  <c r="C299" i="8"/>
  <c r="B300" i="8"/>
  <c r="C300" i="8"/>
  <c r="B301" i="8"/>
  <c r="C301" i="8"/>
  <c r="B302" i="8"/>
  <c r="C302" i="8"/>
  <c r="B303" i="8"/>
  <c r="C303" i="8"/>
  <c r="B304" i="8"/>
  <c r="C304" i="8"/>
  <c r="B305" i="8"/>
  <c r="C305" i="8"/>
  <c r="B306" i="8"/>
  <c r="C306" i="8"/>
  <c r="B307" i="8"/>
  <c r="C307" i="8"/>
  <c r="B308" i="8"/>
  <c r="C308" i="8"/>
  <c r="B309" i="8"/>
  <c r="C309" i="8"/>
  <c r="B310" i="8"/>
  <c r="C310" i="8"/>
  <c r="B311" i="8"/>
  <c r="C311" i="8"/>
  <c r="B312" i="8"/>
  <c r="C312" i="8"/>
  <c r="B313" i="8"/>
  <c r="C313" i="8"/>
  <c r="B314" i="8"/>
  <c r="C314" i="8"/>
  <c r="B315" i="8"/>
  <c r="C315" i="8"/>
  <c r="B316" i="8"/>
  <c r="C316" i="8"/>
  <c r="B317" i="8"/>
  <c r="C317" i="8"/>
  <c r="B318" i="8"/>
  <c r="C318" i="8"/>
  <c r="B319" i="8"/>
  <c r="C319" i="8"/>
  <c r="B320" i="8"/>
  <c r="C320" i="8"/>
  <c r="B321" i="8"/>
  <c r="C321" i="8"/>
  <c r="B322" i="8"/>
  <c r="C322" i="8"/>
  <c r="B323" i="8"/>
  <c r="C323" i="8"/>
  <c r="B324" i="8"/>
  <c r="C324" i="8"/>
  <c r="B325" i="8"/>
  <c r="C325" i="8"/>
  <c r="B326" i="8"/>
  <c r="C326" i="8"/>
  <c r="B327" i="8"/>
  <c r="C327" i="8"/>
  <c r="B328" i="8"/>
  <c r="C328" i="8"/>
  <c r="B329" i="8"/>
  <c r="C329" i="8"/>
  <c r="B330" i="8"/>
  <c r="C330" i="8"/>
  <c r="B331" i="8"/>
  <c r="C331" i="8"/>
  <c r="B332" i="8"/>
  <c r="C332" i="8"/>
  <c r="B333" i="8"/>
  <c r="C333" i="8"/>
  <c r="B334" i="8"/>
  <c r="C334" i="8"/>
  <c r="B335" i="8"/>
  <c r="C335" i="8"/>
  <c r="B336" i="8"/>
  <c r="C336" i="8"/>
  <c r="B337" i="8"/>
  <c r="C337" i="8"/>
  <c r="B338" i="8"/>
  <c r="C338" i="8"/>
  <c r="B339" i="8"/>
  <c r="C339" i="8"/>
  <c r="B340" i="8"/>
  <c r="C340" i="8"/>
  <c r="B341" i="8"/>
  <c r="C341" i="8"/>
  <c r="B342" i="8"/>
  <c r="C342" i="8"/>
  <c r="B343" i="8"/>
  <c r="C343" i="8"/>
  <c r="B344" i="8"/>
  <c r="C344" i="8"/>
  <c r="B345" i="8"/>
  <c r="C345" i="8"/>
  <c r="B346" i="8"/>
  <c r="C346" i="8"/>
  <c r="B347" i="8"/>
  <c r="C347" i="8"/>
  <c r="B348" i="8"/>
  <c r="C348" i="8"/>
  <c r="B349" i="8"/>
  <c r="C349" i="8"/>
  <c r="B350" i="8"/>
  <c r="C350" i="8"/>
  <c r="B351" i="8"/>
  <c r="C351" i="8"/>
  <c r="B352" i="8"/>
  <c r="C352" i="8"/>
  <c r="B353" i="8"/>
  <c r="C353" i="8"/>
  <c r="B354" i="8"/>
  <c r="C354" i="8"/>
  <c r="B355" i="8"/>
  <c r="C355" i="8"/>
  <c r="B356" i="8"/>
  <c r="C356" i="8"/>
  <c r="B357" i="8"/>
  <c r="C357" i="8"/>
  <c r="B358" i="8"/>
  <c r="C358" i="8"/>
  <c r="B359" i="8"/>
  <c r="C359" i="8"/>
  <c r="B360" i="8"/>
  <c r="C360" i="8"/>
  <c r="B361" i="8"/>
  <c r="C361" i="8"/>
  <c r="B362" i="8"/>
  <c r="C362" i="8"/>
  <c r="B363" i="8"/>
  <c r="C363" i="8"/>
  <c r="B364" i="8"/>
  <c r="C364" i="8"/>
  <c r="B365" i="8"/>
  <c r="C365" i="8"/>
  <c r="B366" i="8"/>
  <c r="C366" i="8"/>
  <c r="B367" i="8"/>
  <c r="C367" i="8"/>
  <c r="B368" i="8"/>
  <c r="C368" i="8"/>
  <c r="B369" i="8"/>
  <c r="C369" i="8"/>
  <c r="B370" i="8"/>
  <c r="C370" i="8"/>
  <c r="B371" i="8"/>
  <c r="C371" i="8"/>
  <c r="B372" i="8"/>
  <c r="C372" i="8"/>
  <c r="B373" i="8"/>
  <c r="C373" i="8"/>
  <c r="B374" i="8"/>
  <c r="C374" i="8"/>
  <c r="B375" i="8"/>
  <c r="C375" i="8"/>
  <c r="B376" i="8"/>
  <c r="C376" i="8"/>
  <c r="B377" i="8"/>
  <c r="C377" i="8"/>
  <c r="B378" i="8"/>
  <c r="C378" i="8"/>
  <c r="B379" i="8"/>
  <c r="C379" i="8"/>
  <c r="B380" i="8"/>
  <c r="C380" i="8"/>
  <c r="B381" i="8"/>
  <c r="C381" i="8"/>
  <c r="B382" i="8"/>
  <c r="C382" i="8"/>
  <c r="B383" i="8"/>
  <c r="C383" i="8"/>
  <c r="B384" i="8"/>
  <c r="C384" i="8"/>
  <c r="B385" i="8"/>
  <c r="C385" i="8"/>
  <c r="B386" i="8"/>
  <c r="C386" i="8"/>
  <c r="B387" i="8"/>
  <c r="C387" i="8"/>
  <c r="B388" i="8"/>
  <c r="C388" i="8"/>
  <c r="B389" i="8"/>
  <c r="C389" i="8"/>
  <c r="B390" i="8"/>
  <c r="C390" i="8"/>
  <c r="B391" i="8"/>
  <c r="C391" i="8"/>
  <c r="B392" i="8"/>
  <c r="C392" i="8"/>
  <c r="B393" i="8"/>
  <c r="C393" i="8"/>
  <c r="B394" i="8"/>
  <c r="C394" i="8"/>
  <c r="B395" i="8"/>
  <c r="C395" i="8"/>
  <c r="B396" i="8"/>
  <c r="C396" i="8"/>
  <c r="B397" i="8"/>
  <c r="C397" i="8"/>
  <c r="B398" i="8"/>
  <c r="C398" i="8"/>
  <c r="B399" i="8"/>
  <c r="C399" i="8"/>
  <c r="B400" i="8"/>
  <c r="C400" i="8"/>
  <c r="B401" i="8"/>
  <c r="C401" i="8"/>
  <c r="B402" i="8"/>
  <c r="C402" i="8"/>
  <c r="B403" i="8"/>
  <c r="C403" i="8"/>
  <c r="B404" i="8"/>
  <c r="C404" i="8"/>
  <c r="B405" i="8"/>
  <c r="C405" i="8"/>
  <c r="B406" i="8"/>
  <c r="C406" i="8"/>
  <c r="B407" i="8"/>
  <c r="C407" i="8"/>
  <c r="B408" i="8"/>
  <c r="C408" i="8"/>
  <c r="B409" i="8"/>
  <c r="C409" i="8"/>
  <c r="B410" i="8"/>
  <c r="C410" i="8"/>
  <c r="B411" i="8"/>
  <c r="C411" i="8"/>
  <c r="B412" i="8"/>
  <c r="C412" i="8"/>
  <c r="B413" i="8"/>
  <c r="C413" i="8"/>
  <c r="B414" i="8"/>
  <c r="C414" i="8"/>
  <c r="B415" i="8"/>
  <c r="C415" i="8"/>
  <c r="B416" i="8"/>
  <c r="C416" i="8"/>
  <c r="B417" i="8"/>
  <c r="C417" i="8"/>
  <c r="B418" i="8"/>
  <c r="C418" i="8"/>
  <c r="B419" i="8"/>
  <c r="C419" i="8"/>
  <c r="B420" i="8"/>
  <c r="C420" i="8"/>
  <c r="B421" i="8"/>
  <c r="C421" i="8"/>
  <c r="B422" i="8"/>
  <c r="C422" i="8"/>
  <c r="B423" i="8"/>
  <c r="C423" i="8"/>
  <c r="B424" i="8"/>
  <c r="C424" i="8"/>
  <c r="B425" i="8"/>
  <c r="C425" i="8"/>
  <c r="B426" i="8"/>
  <c r="C426" i="8"/>
  <c r="B427" i="8"/>
  <c r="C427" i="8"/>
  <c r="B428" i="8"/>
  <c r="C428" i="8"/>
  <c r="B429" i="8"/>
  <c r="C429" i="8"/>
  <c r="B430" i="8"/>
  <c r="C430" i="8"/>
  <c r="B431" i="8"/>
  <c r="C431" i="8"/>
  <c r="B432" i="8"/>
  <c r="C432" i="8"/>
  <c r="B433" i="8"/>
  <c r="C433" i="8"/>
  <c r="B434" i="8"/>
  <c r="C434" i="8"/>
  <c r="B435" i="8"/>
  <c r="C435" i="8"/>
  <c r="B436" i="8"/>
  <c r="C436" i="8"/>
  <c r="B437" i="8"/>
  <c r="C437" i="8"/>
  <c r="B438" i="8"/>
  <c r="C438" i="8"/>
  <c r="B439" i="8"/>
  <c r="C439" i="8"/>
  <c r="B440" i="8"/>
  <c r="C440" i="8"/>
  <c r="B441" i="8"/>
  <c r="C441" i="8"/>
  <c r="B442" i="8"/>
  <c r="C442" i="8"/>
  <c r="B443" i="8"/>
  <c r="C443" i="8"/>
  <c r="B444" i="8"/>
  <c r="C444" i="8"/>
  <c r="B445" i="8"/>
  <c r="C445" i="8"/>
  <c r="B446" i="8"/>
  <c r="C446" i="8"/>
  <c r="B447" i="8"/>
  <c r="C447" i="8"/>
  <c r="B448" i="8"/>
  <c r="C448" i="8"/>
  <c r="B449" i="8"/>
  <c r="C449" i="8"/>
  <c r="B450" i="8"/>
  <c r="C450" i="8"/>
  <c r="B451" i="8"/>
  <c r="C451" i="8"/>
  <c r="B452" i="8"/>
  <c r="C452" i="8"/>
  <c r="B453" i="8"/>
  <c r="C453" i="8"/>
  <c r="B454" i="8"/>
  <c r="C454" i="8"/>
  <c r="B455" i="8"/>
  <c r="C455" i="8"/>
  <c r="B456" i="8"/>
  <c r="C456" i="8"/>
  <c r="B457" i="8"/>
  <c r="C457" i="8"/>
  <c r="B458" i="8"/>
  <c r="C458" i="8"/>
  <c r="B459" i="8"/>
  <c r="C459" i="8"/>
  <c r="B460" i="8"/>
  <c r="C460" i="8"/>
  <c r="B461" i="8"/>
  <c r="C461" i="8"/>
  <c r="B462" i="8"/>
  <c r="C462" i="8"/>
  <c r="B463" i="8"/>
  <c r="C463" i="8"/>
  <c r="B464" i="8"/>
  <c r="C464" i="8"/>
  <c r="B465" i="8"/>
  <c r="C465" i="8"/>
  <c r="B466" i="8"/>
  <c r="C466" i="8"/>
  <c r="B467" i="8"/>
  <c r="C467" i="8"/>
  <c r="B468" i="8"/>
  <c r="C468" i="8"/>
  <c r="B469" i="8"/>
  <c r="C469" i="8"/>
  <c r="B470" i="8"/>
  <c r="C470" i="8"/>
  <c r="B471" i="8"/>
  <c r="C471" i="8"/>
  <c r="B472" i="8"/>
  <c r="C472" i="8"/>
  <c r="B473" i="8"/>
  <c r="C473" i="8"/>
  <c r="B474" i="8"/>
  <c r="C474" i="8"/>
  <c r="B475" i="8"/>
  <c r="C475" i="8"/>
  <c r="B476" i="8"/>
  <c r="C476" i="8"/>
  <c r="B477" i="8"/>
  <c r="C477" i="8"/>
  <c r="B478" i="8"/>
  <c r="C478" i="8"/>
  <c r="B479" i="8"/>
  <c r="C479" i="8"/>
  <c r="B480" i="8"/>
  <c r="C480" i="8"/>
  <c r="B481" i="8"/>
  <c r="C481" i="8"/>
  <c r="B482" i="8"/>
  <c r="C482" i="8"/>
  <c r="B483" i="8"/>
  <c r="C483" i="8"/>
  <c r="B484" i="8"/>
  <c r="C484" i="8"/>
  <c r="B485" i="8"/>
  <c r="C485" i="8"/>
  <c r="B486" i="8"/>
  <c r="C486" i="8"/>
  <c r="B487" i="8"/>
  <c r="C487" i="8"/>
  <c r="B488" i="8"/>
  <c r="C488" i="8"/>
  <c r="B489" i="8"/>
  <c r="C489" i="8"/>
  <c r="B490" i="8"/>
  <c r="C490" i="8"/>
  <c r="B491" i="8"/>
  <c r="C491" i="8"/>
  <c r="B492" i="8"/>
  <c r="C492" i="8"/>
  <c r="B493" i="8"/>
  <c r="C493" i="8"/>
  <c r="B494" i="8"/>
  <c r="C494" i="8"/>
  <c r="B495" i="8"/>
  <c r="C495" i="8"/>
  <c r="B496" i="8"/>
  <c r="C496" i="8"/>
  <c r="B497" i="8"/>
  <c r="C497" i="8"/>
  <c r="B498" i="8"/>
  <c r="C498" i="8"/>
  <c r="B499" i="8"/>
  <c r="C499" i="8"/>
  <c r="B500" i="8"/>
  <c r="C500" i="8"/>
  <c r="B501" i="8"/>
  <c r="C501" i="8"/>
  <c r="B502" i="8"/>
  <c r="C502" i="8"/>
  <c r="B503" i="8"/>
  <c r="C503" i="8"/>
  <c r="B504" i="8"/>
  <c r="C504" i="8"/>
  <c r="B505" i="8"/>
  <c r="C505" i="8"/>
  <c r="B506" i="8"/>
  <c r="C506" i="8"/>
  <c r="B507" i="8"/>
  <c r="C507" i="8"/>
  <c r="B508" i="8"/>
  <c r="C508" i="8"/>
  <c r="B509" i="8"/>
  <c r="C509" i="8"/>
  <c r="B510" i="8"/>
  <c r="C510" i="8"/>
  <c r="B511" i="8"/>
  <c r="C511" i="8"/>
  <c r="B512" i="8"/>
  <c r="C512" i="8"/>
  <c r="B513" i="8"/>
  <c r="C513" i="8"/>
  <c r="B514" i="8"/>
  <c r="C514" i="8"/>
  <c r="B515" i="8"/>
  <c r="C515" i="8"/>
  <c r="B516" i="8"/>
  <c r="C516" i="8"/>
  <c r="B517" i="8"/>
  <c r="C517" i="8"/>
  <c r="B518" i="8"/>
  <c r="C518" i="8"/>
  <c r="B519" i="8"/>
  <c r="C519" i="8"/>
  <c r="B520" i="8"/>
  <c r="C520" i="8"/>
  <c r="B521" i="8"/>
  <c r="C521" i="8"/>
  <c r="B522" i="8"/>
  <c r="C522" i="8"/>
  <c r="B523" i="8"/>
  <c r="C523" i="8"/>
  <c r="B524" i="8"/>
  <c r="C524" i="8"/>
  <c r="B525" i="8"/>
  <c r="C525" i="8"/>
  <c r="B526" i="8"/>
  <c r="C526" i="8"/>
  <c r="B527" i="8"/>
  <c r="C527" i="8"/>
  <c r="B528" i="8"/>
  <c r="C528" i="8"/>
  <c r="B529" i="8"/>
  <c r="C529" i="8"/>
  <c r="B530" i="8"/>
  <c r="C530" i="8"/>
  <c r="B531" i="8"/>
  <c r="C531" i="8"/>
  <c r="B532" i="8"/>
  <c r="C532" i="8"/>
  <c r="B533" i="8"/>
  <c r="C533" i="8"/>
  <c r="B534" i="8"/>
  <c r="C534" i="8"/>
  <c r="B535" i="8"/>
  <c r="C535" i="8"/>
  <c r="B536" i="8"/>
  <c r="C536" i="8"/>
  <c r="B537" i="8"/>
  <c r="C537" i="8"/>
  <c r="B538" i="8"/>
  <c r="C538" i="8"/>
  <c r="B539" i="8"/>
  <c r="C539" i="8"/>
  <c r="B540" i="8"/>
  <c r="C540" i="8"/>
  <c r="B541" i="8"/>
  <c r="C541" i="8"/>
  <c r="B542" i="8"/>
  <c r="C542" i="8"/>
  <c r="B543" i="8"/>
  <c r="C543" i="8"/>
  <c r="B544" i="8"/>
  <c r="C544" i="8"/>
  <c r="B545" i="8"/>
  <c r="C545" i="8"/>
  <c r="B546" i="8"/>
  <c r="C546" i="8"/>
  <c r="B547" i="8"/>
  <c r="C547" i="8"/>
  <c r="B548" i="8"/>
  <c r="C548" i="8"/>
  <c r="B549" i="8"/>
  <c r="C549" i="8"/>
  <c r="B550" i="8"/>
  <c r="C550" i="8"/>
  <c r="B551" i="8"/>
  <c r="C551" i="8"/>
  <c r="B552" i="8"/>
  <c r="C552" i="8"/>
  <c r="B553" i="8"/>
  <c r="C553" i="8"/>
  <c r="B554" i="8"/>
  <c r="C554" i="8"/>
  <c r="B555" i="8"/>
  <c r="C555" i="8"/>
  <c r="B556" i="8"/>
  <c r="C556" i="8"/>
  <c r="B557" i="8"/>
  <c r="C557" i="8"/>
  <c r="B558" i="8"/>
  <c r="C558" i="8"/>
  <c r="B559" i="8"/>
  <c r="C559" i="8"/>
  <c r="B560" i="8"/>
  <c r="C560" i="8"/>
  <c r="B561" i="8"/>
  <c r="C561" i="8"/>
  <c r="B562" i="8"/>
  <c r="C562" i="8"/>
  <c r="B563" i="8"/>
  <c r="C563" i="8"/>
  <c r="B564" i="8"/>
  <c r="C564" i="8"/>
  <c r="B565" i="8"/>
  <c r="C565" i="8"/>
  <c r="B566" i="8"/>
  <c r="C566" i="8"/>
  <c r="B567" i="8"/>
  <c r="C567" i="8"/>
  <c r="B568" i="8"/>
  <c r="C568" i="8"/>
  <c r="B569" i="8"/>
  <c r="C569" i="8"/>
  <c r="B570" i="8"/>
  <c r="C570" i="8"/>
  <c r="B571" i="8"/>
  <c r="C571" i="8"/>
  <c r="B572" i="8"/>
  <c r="C572" i="8"/>
  <c r="B573" i="8"/>
  <c r="C573" i="8"/>
  <c r="B574" i="8"/>
  <c r="C574" i="8"/>
  <c r="B575" i="8"/>
  <c r="C575" i="8"/>
  <c r="B576" i="8"/>
  <c r="C576" i="8"/>
  <c r="B577" i="8"/>
  <c r="C577" i="8"/>
  <c r="B578" i="8"/>
  <c r="C578" i="8"/>
  <c r="B579" i="8"/>
  <c r="C579" i="8"/>
  <c r="B580" i="8"/>
  <c r="C580" i="8"/>
  <c r="B581" i="8"/>
  <c r="C581" i="8"/>
  <c r="B582" i="8"/>
  <c r="C582" i="8"/>
  <c r="B583" i="8"/>
  <c r="C583" i="8"/>
  <c r="B584" i="8"/>
  <c r="C584" i="8"/>
  <c r="B585" i="8"/>
  <c r="C585" i="8"/>
  <c r="B586" i="8"/>
  <c r="C586" i="8"/>
  <c r="B587" i="8"/>
  <c r="C587" i="8"/>
  <c r="B588" i="8"/>
  <c r="C588" i="8"/>
  <c r="B589" i="8"/>
  <c r="C589" i="8"/>
  <c r="B590" i="8"/>
  <c r="C590" i="8"/>
  <c r="B591" i="8"/>
  <c r="C591" i="8"/>
  <c r="B592" i="8"/>
  <c r="C592" i="8"/>
  <c r="B593" i="8"/>
  <c r="C593" i="8"/>
  <c r="B594" i="8"/>
  <c r="C594" i="8"/>
  <c r="B595" i="8"/>
  <c r="C595" i="8"/>
  <c r="B596" i="8"/>
  <c r="C596" i="8"/>
  <c r="B597" i="8"/>
  <c r="C597" i="8"/>
  <c r="B598" i="8"/>
  <c r="C598" i="8"/>
  <c r="B599" i="8"/>
  <c r="C599" i="8"/>
  <c r="B600" i="8"/>
  <c r="C600" i="8"/>
  <c r="B601" i="8"/>
  <c r="C601" i="8"/>
  <c r="B602" i="8"/>
  <c r="C602" i="8"/>
  <c r="B603" i="8"/>
  <c r="C603" i="8"/>
  <c r="B604" i="8"/>
  <c r="C604" i="8"/>
  <c r="B605" i="8"/>
  <c r="C605" i="8"/>
  <c r="B606" i="8"/>
  <c r="C606" i="8"/>
  <c r="B607" i="8"/>
  <c r="C607" i="8"/>
  <c r="B608" i="8"/>
  <c r="C608" i="8"/>
  <c r="B609" i="8"/>
  <c r="C609" i="8"/>
  <c r="B610" i="8"/>
  <c r="C610" i="8"/>
  <c r="B611" i="8"/>
  <c r="C611" i="8"/>
  <c r="B612" i="8"/>
  <c r="C612" i="8"/>
  <c r="B613" i="8"/>
  <c r="C613" i="8"/>
  <c r="B614" i="8"/>
  <c r="C614" i="8"/>
  <c r="B615" i="8"/>
  <c r="C615" i="8"/>
  <c r="B616" i="8"/>
  <c r="C616" i="8"/>
  <c r="B617" i="8"/>
  <c r="C617" i="8"/>
  <c r="B618" i="8"/>
  <c r="C618" i="8"/>
  <c r="B619" i="8"/>
  <c r="C619" i="8"/>
  <c r="B620" i="8"/>
  <c r="C620" i="8"/>
  <c r="B621" i="8"/>
  <c r="C621" i="8"/>
  <c r="B622" i="8"/>
  <c r="C622" i="8"/>
  <c r="B623" i="8"/>
  <c r="C623" i="8"/>
  <c r="B624" i="8"/>
  <c r="C624" i="8"/>
  <c r="B625" i="8"/>
  <c r="C625" i="8"/>
  <c r="B626" i="8"/>
  <c r="C626" i="8"/>
  <c r="B627" i="8"/>
  <c r="C627" i="8"/>
  <c r="B628" i="8"/>
  <c r="C628" i="8"/>
  <c r="B629" i="8"/>
  <c r="C629" i="8"/>
  <c r="B630" i="8"/>
  <c r="C630" i="8"/>
  <c r="B631" i="8"/>
  <c r="C631" i="8"/>
  <c r="B632" i="8"/>
  <c r="C632" i="8"/>
  <c r="B633" i="8"/>
  <c r="C633" i="8"/>
  <c r="B634" i="8"/>
  <c r="C634" i="8"/>
  <c r="B635" i="8"/>
  <c r="C635" i="8"/>
  <c r="B636" i="8"/>
  <c r="C636" i="8"/>
  <c r="B637" i="8"/>
  <c r="C637" i="8"/>
  <c r="B638" i="8"/>
  <c r="C638" i="8"/>
  <c r="B639" i="8"/>
  <c r="C639" i="8"/>
  <c r="B640" i="8"/>
  <c r="C640" i="8"/>
  <c r="B641" i="8"/>
  <c r="C641" i="8"/>
  <c r="B642" i="8"/>
  <c r="C642" i="8"/>
  <c r="B643" i="8"/>
  <c r="C643" i="8"/>
  <c r="B644" i="8"/>
  <c r="C644" i="8"/>
  <c r="B645" i="8"/>
  <c r="C645" i="8"/>
  <c r="B646" i="8"/>
  <c r="C646" i="8"/>
  <c r="B647" i="8"/>
  <c r="C647" i="8"/>
  <c r="B648" i="8"/>
  <c r="C648" i="8"/>
  <c r="B649" i="8"/>
  <c r="C649" i="8"/>
  <c r="B650" i="8"/>
  <c r="C650" i="8"/>
  <c r="B651" i="8"/>
  <c r="C651" i="8"/>
  <c r="B652" i="8"/>
  <c r="C652" i="8"/>
  <c r="B653" i="8"/>
  <c r="C653" i="8"/>
  <c r="B654" i="8"/>
  <c r="C654" i="8"/>
  <c r="B655" i="8"/>
  <c r="C655" i="8"/>
  <c r="B656" i="8"/>
  <c r="C656" i="8"/>
  <c r="B657" i="8"/>
  <c r="C657" i="8"/>
  <c r="B658" i="8"/>
  <c r="C658" i="8"/>
  <c r="B659" i="8"/>
  <c r="C659" i="8"/>
  <c r="B660" i="8"/>
  <c r="C660" i="8"/>
  <c r="B661" i="8"/>
  <c r="C661" i="8"/>
  <c r="B662" i="8"/>
  <c r="C662" i="8"/>
  <c r="B663" i="8"/>
  <c r="C663" i="8"/>
  <c r="B664" i="8"/>
  <c r="C664" i="8"/>
  <c r="B665" i="8"/>
  <c r="C665" i="8"/>
  <c r="B666" i="8"/>
  <c r="C666" i="8"/>
  <c r="B667" i="8"/>
  <c r="C667" i="8"/>
  <c r="B668" i="8"/>
  <c r="C668" i="8"/>
  <c r="B669" i="8"/>
  <c r="C669" i="8"/>
  <c r="B670" i="8"/>
  <c r="C670" i="8"/>
  <c r="B671" i="8"/>
  <c r="C671" i="8"/>
  <c r="B672" i="8"/>
  <c r="C672" i="8"/>
  <c r="B673" i="8"/>
  <c r="C673" i="8"/>
  <c r="B674" i="8"/>
  <c r="C674" i="8"/>
  <c r="B675" i="8"/>
  <c r="C675" i="8"/>
  <c r="B676" i="8"/>
  <c r="C676" i="8"/>
  <c r="B677" i="8"/>
  <c r="C677" i="8"/>
  <c r="B678" i="8"/>
  <c r="C678" i="8"/>
  <c r="B679" i="8"/>
  <c r="C679" i="8"/>
  <c r="B680" i="8"/>
  <c r="C680" i="8"/>
  <c r="B681" i="8"/>
  <c r="C681" i="8"/>
  <c r="B682" i="8"/>
  <c r="C682" i="8"/>
  <c r="B683" i="8"/>
  <c r="C683" i="8"/>
  <c r="B684" i="8"/>
  <c r="C684" i="8"/>
  <c r="B685" i="8"/>
  <c r="C685" i="8"/>
  <c r="B686" i="8"/>
  <c r="C686" i="8"/>
  <c r="B687" i="8"/>
  <c r="C687" i="8"/>
  <c r="B688" i="8"/>
  <c r="C688" i="8"/>
  <c r="B689" i="8"/>
  <c r="C689" i="8"/>
  <c r="B690" i="8"/>
  <c r="C690" i="8"/>
  <c r="B691" i="8"/>
  <c r="C691" i="8"/>
  <c r="B692" i="8"/>
  <c r="C692" i="8"/>
  <c r="B693" i="8"/>
  <c r="C693" i="8"/>
  <c r="B694" i="8"/>
  <c r="C694" i="8"/>
  <c r="B695" i="8"/>
  <c r="C695" i="8"/>
  <c r="B696" i="8"/>
  <c r="C696" i="8"/>
  <c r="B697" i="8"/>
  <c r="C697" i="8"/>
  <c r="B698" i="8"/>
  <c r="C698" i="8"/>
  <c r="B699" i="8"/>
  <c r="C699" i="8"/>
  <c r="B700" i="8"/>
  <c r="C700" i="8"/>
  <c r="B701" i="8"/>
  <c r="C701" i="8"/>
  <c r="B702" i="8"/>
  <c r="C702" i="8"/>
  <c r="B703" i="8"/>
  <c r="C703" i="8"/>
  <c r="B704" i="8"/>
  <c r="C704" i="8"/>
  <c r="B705" i="8"/>
  <c r="C705" i="8"/>
  <c r="B706" i="8"/>
  <c r="C706" i="8"/>
  <c r="B707" i="8"/>
  <c r="C707" i="8"/>
  <c r="B708" i="8"/>
  <c r="C708" i="8"/>
  <c r="B709" i="8"/>
  <c r="C709" i="8"/>
  <c r="B710" i="8"/>
  <c r="C710" i="8"/>
  <c r="B711" i="8"/>
  <c r="C711" i="8"/>
  <c r="B712" i="8"/>
  <c r="C712" i="8"/>
  <c r="B713" i="8"/>
  <c r="C713" i="8"/>
  <c r="B714" i="8"/>
  <c r="C714" i="8"/>
  <c r="B715" i="8"/>
  <c r="C715" i="8"/>
  <c r="B716" i="8"/>
  <c r="C716" i="8"/>
  <c r="B717" i="8"/>
  <c r="C717" i="8"/>
  <c r="B718" i="8"/>
  <c r="C718" i="8"/>
  <c r="B719" i="8"/>
  <c r="C719" i="8"/>
  <c r="B720" i="8"/>
  <c r="C720" i="8"/>
  <c r="B721" i="8"/>
  <c r="C721" i="8"/>
  <c r="B722" i="8"/>
  <c r="C722" i="8"/>
  <c r="B723" i="8"/>
  <c r="C723" i="8"/>
  <c r="B724" i="8"/>
  <c r="C724" i="8"/>
  <c r="B725" i="8"/>
  <c r="C725" i="8"/>
  <c r="B726" i="8"/>
  <c r="C726" i="8"/>
  <c r="B727" i="8"/>
  <c r="C727" i="8"/>
  <c r="B728" i="8"/>
  <c r="C728" i="8"/>
  <c r="B729" i="8"/>
  <c r="C729" i="8"/>
  <c r="B730" i="8"/>
  <c r="C730" i="8"/>
  <c r="B731" i="8"/>
  <c r="C731" i="8"/>
  <c r="B732" i="8"/>
  <c r="C732" i="8"/>
  <c r="B733" i="8"/>
  <c r="C733" i="8"/>
  <c r="B734" i="8"/>
  <c r="C734" i="8"/>
  <c r="B735" i="8"/>
  <c r="C735" i="8"/>
  <c r="B736" i="8"/>
  <c r="C736" i="8"/>
  <c r="B737" i="8"/>
  <c r="C737" i="8"/>
  <c r="B738" i="8"/>
  <c r="C738" i="8"/>
  <c r="B739" i="8"/>
  <c r="C739" i="8"/>
  <c r="B740" i="8"/>
  <c r="C740" i="8"/>
  <c r="B741" i="8"/>
  <c r="C741" i="8"/>
  <c r="B742" i="8"/>
  <c r="C742" i="8"/>
  <c r="B743" i="8"/>
  <c r="C743" i="8"/>
  <c r="B744" i="8"/>
  <c r="C744" i="8"/>
  <c r="B745" i="8"/>
  <c r="C745" i="8"/>
  <c r="B746" i="8"/>
  <c r="C746" i="8"/>
  <c r="B747" i="8"/>
  <c r="C747" i="8"/>
  <c r="B748" i="8"/>
  <c r="C748" i="8"/>
  <c r="B749" i="8"/>
  <c r="C749" i="8"/>
  <c r="B750" i="8"/>
  <c r="C750" i="8"/>
  <c r="B751" i="8"/>
  <c r="C751" i="8"/>
  <c r="B752" i="8"/>
  <c r="C752" i="8"/>
  <c r="B753" i="8"/>
  <c r="C753" i="8"/>
  <c r="B754" i="8"/>
  <c r="C754" i="8"/>
  <c r="B755" i="8"/>
  <c r="C755" i="8"/>
  <c r="B756" i="8"/>
  <c r="C756" i="8"/>
  <c r="B757" i="8"/>
  <c r="C757" i="8"/>
  <c r="B758" i="8"/>
  <c r="C758" i="8"/>
  <c r="B759" i="8"/>
  <c r="C759" i="8"/>
  <c r="B760" i="8"/>
  <c r="C760" i="8"/>
  <c r="B761" i="8"/>
  <c r="C761" i="8"/>
  <c r="B762" i="8"/>
  <c r="C762" i="8"/>
  <c r="B763" i="8"/>
  <c r="C763" i="8"/>
  <c r="B764" i="8"/>
  <c r="C764" i="8"/>
  <c r="B765" i="8"/>
  <c r="C765" i="8"/>
  <c r="B766" i="8"/>
  <c r="C766" i="8"/>
  <c r="B767" i="8"/>
  <c r="C767" i="8"/>
  <c r="B768" i="8"/>
  <c r="C768" i="8"/>
  <c r="B769" i="8"/>
  <c r="C769" i="8"/>
  <c r="B770" i="8"/>
  <c r="C770" i="8"/>
  <c r="B771" i="8"/>
  <c r="C771" i="8"/>
  <c r="B772" i="8"/>
  <c r="C772" i="8"/>
  <c r="B773" i="8"/>
  <c r="C773" i="8"/>
  <c r="B774" i="8"/>
  <c r="C774" i="8"/>
  <c r="B775" i="8"/>
  <c r="C775" i="8"/>
  <c r="B776" i="8"/>
  <c r="C776" i="8"/>
  <c r="B777" i="8"/>
  <c r="C777" i="8"/>
  <c r="B778" i="8"/>
  <c r="C778" i="8"/>
  <c r="B779" i="8"/>
  <c r="C779" i="8"/>
  <c r="B780" i="8"/>
  <c r="C780" i="8"/>
  <c r="B781" i="8"/>
  <c r="C781" i="8"/>
  <c r="B782" i="8"/>
  <c r="C782" i="8"/>
  <c r="B783" i="8"/>
  <c r="C783" i="8"/>
  <c r="B784" i="8"/>
  <c r="C784" i="8"/>
  <c r="B785" i="8"/>
  <c r="C785" i="8"/>
  <c r="B786" i="8"/>
  <c r="C786" i="8"/>
  <c r="B787" i="8"/>
  <c r="C787" i="8"/>
  <c r="B788" i="8"/>
  <c r="C788" i="8"/>
  <c r="B789" i="8"/>
  <c r="C789" i="8"/>
  <c r="B790" i="8"/>
  <c r="C790" i="8"/>
  <c r="B791" i="8"/>
  <c r="C791" i="8"/>
  <c r="B792" i="8"/>
  <c r="C792" i="8"/>
  <c r="B793" i="8"/>
  <c r="C793" i="8"/>
  <c r="B794" i="8"/>
  <c r="C794" i="8"/>
  <c r="B795" i="8"/>
  <c r="C795" i="8"/>
  <c r="B796" i="8"/>
  <c r="C796" i="8"/>
  <c r="B797" i="8"/>
  <c r="C797" i="8"/>
  <c r="B798" i="8"/>
  <c r="C798" i="8"/>
  <c r="B799" i="8"/>
  <c r="C799" i="8"/>
  <c r="B800" i="8"/>
  <c r="C800" i="8"/>
  <c r="B801" i="8"/>
  <c r="C801" i="8"/>
  <c r="B802" i="8"/>
  <c r="C802" i="8"/>
  <c r="B803" i="8"/>
  <c r="C803" i="8"/>
  <c r="B804" i="8"/>
  <c r="C804" i="8"/>
  <c r="B805" i="8"/>
  <c r="C805" i="8"/>
  <c r="B806" i="8"/>
  <c r="C806" i="8"/>
  <c r="B807" i="8"/>
  <c r="C807" i="8"/>
  <c r="B808" i="8"/>
  <c r="C808" i="8"/>
  <c r="B809" i="8"/>
  <c r="C809" i="8"/>
  <c r="B810" i="8"/>
  <c r="C810" i="8"/>
  <c r="B811" i="8"/>
  <c r="C811" i="8"/>
  <c r="B812" i="8"/>
  <c r="C812" i="8"/>
  <c r="B813" i="8"/>
  <c r="C813" i="8"/>
  <c r="B814" i="8"/>
  <c r="C814" i="8"/>
  <c r="B815" i="8"/>
  <c r="C815" i="8"/>
  <c r="B816" i="8"/>
  <c r="C816" i="8"/>
  <c r="B817" i="8"/>
  <c r="C817" i="8"/>
  <c r="B818" i="8"/>
  <c r="C818" i="8"/>
  <c r="B819" i="8"/>
  <c r="C819" i="8"/>
  <c r="B820" i="8"/>
  <c r="C820" i="8"/>
  <c r="B821" i="8"/>
  <c r="C821" i="8"/>
  <c r="B822" i="8"/>
  <c r="C822" i="8"/>
  <c r="B823" i="8"/>
  <c r="C823" i="8"/>
  <c r="B824" i="8"/>
  <c r="C824" i="8"/>
  <c r="B825" i="8"/>
  <c r="C825" i="8"/>
  <c r="B826" i="8"/>
  <c r="C826" i="8"/>
  <c r="B827" i="8"/>
  <c r="C827" i="8"/>
  <c r="B828" i="8"/>
  <c r="C828" i="8"/>
  <c r="B829" i="8"/>
  <c r="C829" i="8"/>
  <c r="B830" i="8"/>
  <c r="C830" i="8"/>
  <c r="B831" i="8"/>
  <c r="C831" i="8"/>
  <c r="B832" i="8"/>
  <c r="C832" i="8"/>
  <c r="B833" i="8"/>
  <c r="C833" i="8"/>
  <c r="B834" i="8"/>
  <c r="C834" i="8"/>
  <c r="B835" i="8"/>
  <c r="C835" i="8"/>
  <c r="B836" i="8"/>
  <c r="C836" i="8"/>
  <c r="B837" i="8"/>
  <c r="C837" i="8"/>
  <c r="B838" i="8"/>
  <c r="C838" i="8"/>
  <c r="B839" i="8"/>
  <c r="C839" i="8"/>
  <c r="B840" i="8"/>
  <c r="C840" i="8"/>
  <c r="B841" i="8"/>
  <c r="C841" i="8"/>
  <c r="B842" i="8"/>
  <c r="C842" i="8"/>
  <c r="B843" i="8"/>
  <c r="C843" i="8"/>
  <c r="B844" i="8"/>
  <c r="C844" i="8"/>
  <c r="B845" i="8"/>
  <c r="C845" i="8"/>
  <c r="B846" i="8"/>
  <c r="C846" i="8"/>
  <c r="B847" i="8"/>
  <c r="C847" i="8"/>
  <c r="B848" i="8"/>
  <c r="C848" i="8"/>
  <c r="B849" i="8"/>
  <c r="C849" i="8"/>
  <c r="B850" i="8"/>
  <c r="C850" i="8"/>
  <c r="B851" i="8"/>
  <c r="C851" i="8"/>
  <c r="B852" i="8"/>
  <c r="C852" i="8"/>
  <c r="B853" i="8"/>
  <c r="C853" i="8"/>
  <c r="B854" i="8"/>
  <c r="C854" i="8"/>
  <c r="B855" i="8"/>
  <c r="C855" i="8"/>
  <c r="B856" i="8"/>
  <c r="C856" i="8"/>
  <c r="B857" i="8"/>
  <c r="C857" i="8"/>
  <c r="B858" i="8"/>
  <c r="C858" i="8"/>
  <c r="B859" i="8"/>
  <c r="C859" i="8"/>
  <c r="B860" i="8"/>
  <c r="C860" i="8"/>
  <c r="B861" i="8"/>
  <c r="C861" i="8"/>
  <c r="B862" i="8"/>
  <c r="C862" i="8"/>
  <c r="B863" i="8"/>
  <c r="C863" i="8"/>
  <c r="B864" i="8"/>
  <c r="C864" i="8"/>
  <c r="B865" i="8"/>
  <c r="C865" i="8"/>
  <c r="B866" i="8"/>
  <c r="C866" i="8"/>
  <c r="B867" i="8"/>
  <c r="C867" i="8"/>
  <c r="B868" i="8"/>
  <c r="C868" i="8"/>
  <c r="B869" i="8"/>
  <c r="C869" i="8"/>
  <c r="B870" i="8"/>
  <c r="C870" i="8"/>
  <c r="B871" i="8"/>
  <c r="C871" i="8"/>
  <c r="B872" i="8"/>
  <c r="C872" i="8"/>
  <c r="B873" i="8"/>
  <c r="C873" i="8"/>
  <c r="B874" i="8"/>
  <c r="C874" i="8"/>
  <c r="B875" i="8"/>
  <c r="C875" i="8"/>
  <c r="B876" i="8"/>
  <c r="C876" i="8"/>
  <c r="B877" i="8"/>
  <c r="C877" i="8"/>
  <c r="B878" i="8"/>
  <c r="C878" i="8"/>
  <c r="B879" i="8"/>
  <c r="C879" i="8"/>
  <c r="B880" i="8"/>
  <c r="C880" i="8"/>
  <c r="B881" i="8"/>
  <c r="C881" i="8"/>
  <c r="B882" i="8"/>
  <c r="C882" i="8"/>
  <c r="B883" i="8"/>
  <c r="C883" i="8"/>
  <c r="B884" i="8"/>
  <c r="C884" i="8"/>
  <c r="B885" i="8"/>
  <c r="C885" i="8"/>
  <c r="B886" i="8"/>
  <c r="C886" i="8"/>
  <c r="B887" i="8"/>
  <c r="C887" i="8"/>
  <c r="B888" i="8"/>
  <c r="C888" i="8"/>
  <c r="B889" i="8"/>
  <c r="C889" i="8"/>
  <c r="B890" i="8"/>
  <c r="C890" i="8"/>
  <c r="B891" i="8"/>
  <c r="C891" i="8"/>
  <c r="B892" i="8"/>
  <c r="C892" i="8"/>
  <c r="B893" i="8"/>
  <c r="C893" i="8"/>
  <c r="B894" i="8"/>
  <c r="C894" i="8"/>
  <c r="B895" i="8"/>
  <c r="C895" i="8"/>
  <c r="B896" i="8"/>
  <c r="C896" i="8"/>
  <c r="B897" i="8"/>
  <c r="C897" i="8"/>
  <c r="B898" i="8"/>
  <c r="C898" i="8"/>
  <c r="B899" i="8"/>
  <c r="C899" i="8"/>
  <c r="B900" i="8"/>
  <c r="C900" i="8"/>
  <c r="B901" i="8"/>
  <c r="C901" i="8"/>
  <c r="B902" i="8"/>
  <c r="C902" i="8"/>
  <c r="B903" i="8"/>
  <c r="C903" i="8"/>
  <c r="B904" i="8"/>
  <c r="C904" i="8"/>
  <c r="B905" i="8"/>
  <c r="C905" i="8"/>
  <c r="B906" i="8"/>
  <c r="C906" i="8"/>
  <c r="B907" i="8"/>
  <c r="C907" i="8"/>
  <c r="B908" i="8"/>
  <c r="C908" i="8"/>
  <c r="B909" i="8"/>
  <c r="C909" i="8"/>
  <c r="B910" i="8"/>
  <c r="C910" i="8"/>
  <c r="B911" i="8"/>
  <c r="C911" i="8"/>
  <c r="B912" i="8"/>
  <c r="C912" i="8"/>
  <c r="B913" i="8"/>
  <c r="C913" i="8"/>
  <c r="B914" i="8"/>
  <c r="C914" i="8"/>
  <c r="B915" i="8"/>
  <c r="C915" i="8"/>
  <c r="B916" i="8"/>
  <c r="C916" i="8"/>
  <c r="B917" i="8"/>
  <c r="C917" i="8"/>
  <c r="B918" i="8"/>
  <c r="C918" i="8"/>
  <c r="B919" i="8"/>
  <c r="C919" i="8"/>
  <c r="B920" i="8"/>
  <c r="C920" i="8"/>
  <c r="B921" i="8"/>
  <c r="C921" i="8"/>
  <c r="B922" i="8"/>
  <c r="C922" i="8"/>
  <c r="B923" i="8"/>
  <c r="C923" i="8"/>
  <c r="B924" i="8"/>
  <c r="C924" i="8"/>
  <c r="B925" i="8"/>
  <c r="C925" i="8"/>
  <c r="B926" i="8"/>
  <c r="C926" i="8"/>
  <c r="B927" i="8"/>
  <c r="C927" i="8"/>
  <c r="B928" i="8"/>
  <c r="C928" i="8"/>
  <c r="B929" i="8"/>
  <c r="C929" i="8"/>
  <c r="B930" i="8"/>
  <c r="C930" i="8"/>
  <c r="B931" i="8"/>
  <c r="C931" i="8"/>
  <c r="B932" i="8"/>
  <c r="C932" i="8"/>
  <c r="B933" i="8"/>
  <c r="C933" i="8"/>
  <c r="B934" i="8"/>
  <c r="C934" i="8"/>
  <c r="B935" i="8"/>
  <c r="C935" i="8"/>
  <c r="B936" i="8"/>
  <c r="C936" i="8"/>
  <c r="B937" i="8"/>
  <c r="C937" i="8"/>
  <c r="B938" i="8"/>
  <c r="C938" i="8"/>
  <c r="B939" i="8"/>
  <c r="C939" i="8"/>
  <c r="B940" i="8"/>
  <c r="C940" i="8"/>
  <c r="B941" i="8"/>
  <c r="C941" i="8"/>
  <c r="B942" i="8"/>
  <c r="C942" i="8"/>
  <c r="B943" i="8"/>
  <c r="C943" i="8"/>
  <c r="B944" i="8"/>
  <c r="C944" i="8"/>
  <c r="B945" i="8"/>
  <c r="C945" i="8"/>
  <c r="B946" i="8"/>
  <c r="C946" i="8"/>
  <c r="B947" i="8"/>
  <c r="C947" i="8"/>
  <c r="B948" i="8"/>
  <c r="C948" i="8"/>
  <c r="B949" i="8"/>
  <c r="C949" i="8"/>
  <c r="B950" i="8"/>
  <c r="C950" i="8"/>
  <c r="B951" i="8"/>
  <c r="C951" i="8"/>
  <c r="B952" i="8"/>
  <c r="C952" i="8"/>
  <c r="B953" i="8"/>
  <c r="C953" i="8"/>
  <c r="B954" i="8"/>
  <c r="C954" i="8"/>
  <c r="B955" i="8"/>
  <c r="C955" i="8"/>
  <c r="B956" i="8"/>
  <c r="C956" i="8"/>
  <c r="B957" i="8"/>
  <c r="C957" i="8"/>
  <c r="B958" i="8"/>
  <c r="C958" i="8"/>
  <c r="B959" i="8"/>
  <c r="C959" i="8"/>
  <c r="B960" i="8"/>
  <c r="C960" i="8"/>
  <c r="B961" i="8"/>
  <c r="C961" i="8"/>
  <c r="B962" i="8"/>
  <c r="C962" i="8"/>
  <c r="B963" i="8"/>
  <c r="C963" i="8"/>
  <c r="B964" i="8"/>
  <c r="C964" i="8"/>
  <c r="B965" i="8"/>
  <c r="C965" i="8"/>
  <c r="B966" i="8"/>
  <c r="C966" i="8"/>
  <c r="B967" i="8"/>
  <c r="C967" i="8"/>
  <c r="B968" i="8"/>
  <c r="C968" i="8"/>
  <c r="B969" i="8"/>
  <c r="C969" i="8"/>
  <c r="B970" i="8"/>
  <c r="C970" i="8"/>
  <c r="B971" i="8"/>
  <c r="C971" i="8"/>
  <c r="B972" i="8"/>
  <c r="C972" i="8"/>
  <c r="B973" i="8"/>
  <c r="C973" i="8"/>
  <c r="B974" i="8"/>
  <c r="C974" i="8"/>
  <c r="B975" i="8"/>
  <c r="C975" i="8"/>
  <c r="B976" i="8"/>
  <c r="C976" i="8"/>
  <c r="B977" i="8"/>
  <c r="C977" i="8"/>
  <c r="B978" i="8"/>
  <c r="C978" i="8"/>
  <c r="B979" i="8"/>
  <c r="C979" i="8"/>
  <c r="B980" i="8"/>
  <c r="C980" i="8"/>
  <c r="B981" i="8"/>
  <c r="C981" i="8"/>
  <c r="B982" i="8"/>
  <c r="C982" i="8"/>
  <c r="B983" i="8"/>
  <c r="C983" i="8"/>
  <c r="B984" i="8"/>
  <c r="C984" i="8"/>
  <c r="B985" i="8"/>
  <c r="C985" i="8"/>
  <c r="B986" i="8"/>
  <c r="C986" i="8"/>
  <c r="B987" i="8"/>
  <c r="C987" i="8"/>
  <c r="B988" i="8"/>
  <c r="C988" i="8"/>
  <c r="B989" i="8"/>
  <c r="C989" i="8"/>
  <c r="B990" i="8"/>
  <c r="C990" i="8"/>
  <c r="B991" i="8"/>
  <c r="C991" i="8"/>
  <c r="B992" i="8"/>
  <c r="C992" i="8"/>
  <c r="B993" i="8"/>
  <c r="C993" i="8"/>
  <c r="B994" i="8"/>
  <c r="C994" i="8"/>
  <c r="B995" i="8"/>
  <c r="C995" i="8"/>
  <c r="B996" i="8"/>
  <c r="C996" i="8"/>
  <c r="B997" i="8"/>
  <c r="C997" i="8"/>
  <c r="B998" i="8"/>
  <c r="C998" i="8"/>
  <c r="B999" i="8"/>
  <c r="C999" i="8"/>
  <c r="B1000" i="8"/>
  <c r="C1000" i="8"/>
  <c r="B1001" i="8"/>
  <c r="C1001" i="8"/>
  <c r="B1002" i="8"/>
  <c r="C1002" i="8"/>
  <c r="B1003" i="8"/>
  <c r="C1003" i="8"/>
  <c r="B1004" i="8"/>
  <c r="C1004" i="8"/>
  <c r="B1005" i="8"/>
  <c r="C1005" i="8"/>
  <c r="B1006" i="8"/>
  <c r="C1006" i="8"/>
  <c r="B1007" i="8"/>
  <c r="C1007" i="8"/>
  <c r="B1008" i="8"/>
  <c r="C1008" i="8"/>
  <c r="B1009" i="8"/>
  <c r="C1009" i="8"/>
  <c r="B1010" i="8"/>
  <c r="C1010" i="8"/>
  <c r="B1011" i="8"/>
  <c r="C1011" i="8"/>
  <c r="B1012" i="8"/>
  <c r="C1012" i="8"/>
  <c r="B1013" i="8"/>
  <c r="C1013" i="8"/>
  <c r="B1014" i="8"/>
  <c r="C1014" i="8"/>
  <c r="B1015" i="8"/>
  <c r="C1015" i="8"/>
  <c r="B1016" i="8"/>
  <c r="C1016" i="8"/>
  <c r="B1017" i="8"/>
  <c r="C1017" i="8"/>
  <c r="B1018" i="8"/>
  <c r="C1018" i="8"/>
  <c r="B1019" i="8"/>
  <c r="C1019" i="8"/>
  <c r="B1020" i="8"/>
  <c r="C1020" i="8"/>
  <c r="B1021" i="8"/>
  <c r="C1021" i="8"/>
  <c r="B1022" i="8"/>
  <c r="C1022" i="8"/>
  <c r="B1023" i="8"/>
  <c r="C1023" i="8"/>
  <c r="B1024" i="8"/>
  <c r="C1024" i="8"/>
  <c r="B1025" i="8"/>
  <c r="C1025" i="8"/>
  <c r="B1026" i="8"/>
  <c r="C1026" i="8"/>
  <c r="B1027" i="8"/>
  <c r="C1027" i="8"/>
  <c r="B1028" i="8"/>
  <c r="C1028" i="8"/>
  <c r="B1029" i="8"/>
  <c r="C1029" i="8"/>
  <c r="C2" i="8"/>
  <c r="B2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E2" i="8" l="1"/>
  <c r="G4" i="18"/>
  <c r="G3" i="18"/>
  <c r="G2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tc={7696D0C7-F131-462F-BE43-CF3C5F317099}</author>
    <author>tc={0A0986A9-8041-49B7-B7AB-B61E8E900BE9}</author>
    <author>tc={FF8080CA-BA7C-44AA-922C-52F7A4A089A3}</author>
    <author>tc={9308DF0E-F5CA-4172-9ACD-901C7FF1A8EF}</author>
    <author>tc={D0AE5345-08C0-4061-9FF3-3CF48F18AFB6}</author>
    <author>tc={B258CF3D-B385-4CB3-B1A5-CD16789251A4}</author>
    <author>tc={3C565153-DF31-4E3D-8437-4D706EE74943}</author>
    <author>tc={8562721E-A539-47E1-92EA-C438A924145F}</author>
    <author>tc={072D3DA9-4105-44F4-9CF8-36BF0235FA8E}</author>
  </authors>
  <commentList>
    <comment ref="D6" authorId="0" shapeId="0" xr:uid="{7696D0C7-F131-462F-BE43-CF3C5F31709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"1" If you want to read WEAP Data for all periods
"0" If you want to select Start and End years</t>
      </text>
    </comment>
    <comment ref="H19" authorId="1" shapeId="0" xr:uid="{0A0986A9-8041-49B7-B7AB-B61E8E900B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I19" authorId="2" shapeId="0" xr:uid="{FF8080CA-BA7C-44AA-922C-52F7A4A089A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I21" authorId="3" shapeId="0" xr:uid="{9308DF0E-F5CA-4172-9ACD-901C7FF1A8E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H39" authorId="4" shapeId="0" xr:uid="{D0AE5345-08C0-4061-9FF3-3CF48F18AFB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I39" authorId="5" shapeId="0" xr:uid="{B258CF3D-B385-4CB3-B1A5-CD16789251A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I41" authorId="6" shapeId="0" xr:uid="{3C565153-DF31-4E3D-8437-4D706EE7494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H42" authorId="7" shapeId="0" xr:uid="{8562721E-A539-47E1-92EA-C438A924145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  <comment ref="I42" authorId="8" shapeId="0" xr:uid="{072D3DA9-4105-44F4-9CF8-36BF0235FA8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Use SemiColon (;) to separate scenarios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tc={B0FFB3B0-AEA5-4612-8929-A166AA228AB2}</author>
  </authors>
  <commentList>
    <comment ref="D1" authorId="0" shapeId="0" xr:uid="{B0FFB3B0-AEA5-4612-8929-A166AA228AB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 this example, we are accumulating the number of cells of each catchment directly associated to the river reach</t>
      </text>
    </comment>
  </commentList>
</comments>
</file>

<file path=xl/sharedStrings.xml><?xml version="1.0" encoding="utf-8"?>
<sst xmlns="http://schemas.openxmlformats.org/spreadsheetml/2006/main" count="1839" uniqueCount="1006">
  <si>
    <t>FromNode</t>
  </si>
  <si>
    <t>ToNode</t>
  </si>
  <si>
    <t>X_ini</t>
  </si>
  <si>
    <t>Y_ini</t>
  </si>
  <si>
    <t>X2</t>
  </si>
  <si>
    <t>Y2</t>
  </si>
  <si>
    <t>Shape_Leng</t>
  </si>
  <si>
    <t>Shape_Area</t>
  </si>
  <si>
    <t>ReachBelowID</t>
  </si>
  <si>
    <t>NodeBelowID</t>
  </si>
  <si>
    <t>NodeBelowName</t>
  </si>
  <si>
    <t>NodeBelowTypeID</t>
  </si>
  <si>
    <t>NodeAboveID</t>
  </si>
  <si>
    <t>RiverReachID</t>
  </si>
  <si>
    <t>VarToAccumulate</t>
  </si>
  <si>
    <t>Variable</t>
  </si>
  <si>
    <t>&lt; -- Basin outlet</t>
  </si>
  <si>
    <t>{"extentsLinked":false,"version":2}</t>
  </si>
  <si>
    <t>Barrier</t>
  </si>
  <si>
    <t>networkIDs</t>
  </si>
  <si>
    <t>Outlet RiverReachID</t>
  </si>
  <si>
    <t>Eta</t>
  </si>
  <si>
    <t>Unimpaired</t>
  </si>
  <si>
    <t>Management</t>
  </si>
  <si>
    <t>Irrigation</t>
  </si>
  <si>
    <t>Streamflow</t>
  </si>
  <si>
    <t>Natural</t>
  </si>
  <si>
    <t>Natural managed</t>
  </si>
  <si>
    <t>Productive</t>
  </si>
  <si>
    <t>ETA_U_NLC</t>
  </si>
  <si>
    <t>ETA_M_NLC</t>
  </si>
  <si>
    <t>ETA_U_NMLC</t>
  </si>
  <si>
    <t>ETA_M_NMLC</t>
  </si>
  <si>
    <t>ETA_U_PLC</t>
  </si>
  <si>
    <t>ETA_M_PLC</t>
  </si>
  <si>
    <t>Population</t>
  </si>
  <si>
    <t>Q_U</t>
  </si>
  <si>
    <t>Q_M</t>
  </si>
  <si>
    <t>I_U</t>
  </si>
  <si>
    <t>I_M</t>
  </si>
  <si>
    <t>P</t>
  </si>
  <si>
    <t>Unit</t>
  </si>
  <si>
    <t>m^3/yr</t>
  </si>
  <si>
    <t>People</t>
  </si>
  <si>
    <t>Acum_ETA_U_NMLC</t>
  </si>
  <si>
    <t>Acum_ETA_U_PLC</t>
  </si>
  <si>
    <t>…</t>
  </si>
  <si>
    <t>ET appropiation</t>
  </si>
  <si>
    <t>How much of the system ETA we are using for production (includes all the management insfrastructure)</t>
  </si>
  <si>
    <t>How much of the system ETA we are using for ecosystems (includes all the management insfrastructure)</t>
  </si>
  <si>
    <t>Changes in Water availability</t>
  </si>
  <si>
    <t>Q_M / Q_U</t>
  </si>
  <si>
    <t>Groundwater recharge</t>
  </si>
  <si>
    <t>G_U</t>
  </si>
  <si>
    <t>G_M</t>
  </si>
  <si>
    <t>How water is being allocated</t>
  </si>
  <si>
    <r>
      <rPr>
        <sz val="11"/>
        <color rgb="FF7030A0"/>
        <rFont val="Calibri"/>
        <family val="2"/>
        <scheme val="minor"/>
      </rPr>
      <t>Acum_</t>
    </r>
    <r>
      <rPr>
        <sz val="11"/>
        <color theme="1"/>
        <rFont val="Calibri"/>
        <family val="2"/>
        <scheme val="minor"/>
      </rPr>
      <t>ETA_U_NLC</t>
    </r>
  </si>
  <si>
    <r>
      <rPr>
        <sz val="11"/>
        <color rgb="FFFF0000"/>
        <rFont val="Calibri"/>
        <family val="2"/>
        <scheme val="minor"/>
      </rPr>
      <t>Acum_ETA_M_PLC</t>
    </r>
    <r>
      <rPr>
        <sz val="11"/>
        <color theme="1"/>
        <rFont val="Calibri"/>
        <family val="2"/>
        <scheme val="minor"/>
      </rPr>
      <t xml:space="preserve"> / Acum_</t>
    </r>
    <r>
      <rPr>
        <sz val="11"/>
        <color rgb="FF00B050"/>
        <rFont val="Calibri"/>
        <family val="2"/>
        <scheme val="minor"/>
      </rPr>
      <t>ETA_UNLC</t>
    </r>
  </si>
  <si>
    <r>
      <t>(Acum_</t>
    </r>
    <r>
      <rPr>
        <b/>
        <sz val="11"/>
        <color rgb="FF92D050"/>
        <rFont val="Calibri"/>
        <family val="2"/>
        <scheme val="minor"/>
      </rPr>
      <t>ETA_M_NLC</t>
    </r>
    <r>
      <rPr>
        <b/>
        <sz val="11"/>
        <color theme="7" tint="0.39997558519241921"/>
        <rFont val="Calibri"/>
        <family val="2"/>
        <scheme val="minor"/>
      </rPr>
      <t>+Acum_ETA_M_NMLC</t>
    </r>
    <r>
      <rPr>
        <sz val="11"/>
        <color theme="1"/>
        <rFont val="Calibri"/>
        <family val="2"/>
        <scheme val="minor"/>
      </rPr>
      <t>) /</t>
    </r>
    <r>
      <rPr>
        <sz val="11"/>
        <color rgb="FFFF0000"/>
        <rFont val="Calibri"/>
        <family val="2"/>
        <scheme val="minor"/>
      </rPr>
      <t xml:space="preserve"> Acum_</t>
    </r>
    <r>
      <rPr>
        <sz val="11"/>
        <color rgb="FF00B050"/>
        <rFont val="Calibri"/>
        <family val="2"/>
        <scheme val="minor"/>
      </rPr>
      <t>ETA_U_NLC</t>
    </r>
  </si>
  <si>
    <t>Acum_I_M/ (Q_U+Acum_G_U)</t>
  </si>
  <si>
    <t>STEP 2. For each reach/the area of influence of a reach</t>
  </si>
  <si>
    <t>STEP 3. Run accumulations</t>
  </si>
  <si>
    <t>STEP 4. Calculated resource appropriation indexes</t>
  </si>
  <si>
    <t>Productivity</t>
  </si>
  <si>
    <t>Ton/yr</t>
  </si>
  <si>
    <t>Y_NLC</t>
  </si>
  <si>
    <t>Y_NMLC</t>
  </si>
  <si>
    <t>Y_PLC</t>
  </si>
  <si>
    <t>STEP 5. Cumulative resource demands</t>
  </si>
  <si>
    <t>Food consumption</t>
  </si>
  <si>
    <t>Accumulation of Eta_demands upstream of a given reach</t>
  </si>
  <si>
    <t>STEP 6. Compare resource availability with demands</t>
  </si>
  <si>
    <t>Food exports</t>
  </si>
  <si>
    <t>Acum_Eta demand</t>
  </si>
  <si>
    <t>Acum_Eta demand / Eta appropriation</t>
  </si>
  <si>
    <t>Acum_Eta exports / Eta appropriation</t>
  </si>
  <si>
    <t>WEAP Area</t>
  </si>
  <si>
    <t>1. WEAP model</t>
  </si>
  <si>
    <t>Branch</t>
  </si>
  <si>
    <t>Object type</t>
  </si>
  <si>
    <t>Catchment</t>
  </si>
  <si>
    <t>Variable Name</t>
  </si>
  <si>
    <t>EndReaches</t>
  </si>
  <si>
    <t>AcumVars</t>
  </si>
  <si>
    <t>FragVars</t>
  </si>
  <si>
    <t>Atribute</t>
  </si>
  <si>
    <t>Mean</t>
  </si>
  <si>
    <t>Tag</t>
  </si>
  <si>
    <t>River Reach</t>
  </si>
  <si>
    <t>OutputID</t>
  </si>
  <si>
    <t>Version Beta 1 (2020)</t>
  </si>
  <si>
    <t>Beta version. Please do not share without permission of the author</t>
  </si>
  <si>
    <t>Herramienta que calcula operaciones topológicas: Fragmentación, Acumulación y Propagación en una red fluvial topológica de WEAP. 
Estos análisis permiten caracterizar espacialmente los impactos acumulativos de intervenciones territoriales (i.e. efectos uso del suelo: minería, servicios ambientales, etc), o de intervención de la red fluvial (infrastructura como embalses, diques, etc.)...</t>
  </si>
  <si>
    <t>WEAP WaTT (WEAP Watershed Topology Tool)</t>
  </si>
  <si>
    <t>mean</t>
  </si>
  <si>
    <t>AttAcumVars</t>
  </si>
  <si>
    <t>RiverLength</t>
  </si>
  <si>
    <t>AttenuationID</t>
  </si>
  <si>
    <t>BOD_Load</t>
  </si>
  <si>
    <t>BOD_AssimilationFactor</t>
  </si>
  <si>
    <t>WEAP objects to report Source to User topology</t>
  </si>
  <si>
    <t>2. List River_Reaches at WEAP Basins mouth</t>
  </si>
  <si>
    <t>WaterUser_Name</t>
  </si>
  <si>
    <t>WaterUser_Fullname</t>
  </si>
  <si>
    <t>WaterUser_Type</t>
  </si>
  <si>
    <t>WaterUser_ID</t>
  </si>
  <si>
    <t>WaterSource_FullName</t>
  </si>
  <si>
    <t>WaterSource_Type</t>
  </si>
  <si>
    <t>WaterSource_RiverID</t>
  </si>
  <si>
    <t>WaterSource_X1</t>
  </si>
  <si>
    <t>WaterSource_Y1</t>
  </si>
  <si>
    <t>Source_Catchment</t>
  </si>
  <si>
    <t>Destination_RiverReach</t>
  </si>
  <si>
    <t>BranchFullName</t>
  </si>
  <si>
    <t>RiverReachName</t>
  </si>
  <si>
    <t>NodeAboveName</t>
  </si>
  <si>
    <t>NodeAboveTypeID</t>
  </si>
  <si>
    <t>WEAP_ObjectID</t>
  </si>
  <si>
    <t>WEAP_BranchID</t>
  </si>
  <si>
    <t>ReachBelowName</t>
  </si>
  <si>
    <t>C 2101706</t>
  </si>
  <si>
    <t>C 2101703</t>
  </si>
  <si>
    <t>C 2101702</t>
  </si>
  <si>
    <t>C 2101704</t>
  </si>
  <si>
    <t>C 2101705</t>
  </si>
  <si>
    <t>C 2103702</t>
  </si>
  <si>
    <t>C 2103701</t>
  </si>
  <si>
    <t>C 2105705</t>
  </si>
  <si>
    <t>C 2105706</t>
  </si>
  <si>
    <t>C 2110703</t>
  </si>
  <si>
    <t>C 1000001</t>
  </si>
  <si>
    <t>C 1000206</t>
  </si>
  <si>
    <t>C 2109707</t>
  </si>
  <si>
    <t>C 2102701</t>
  </si>
  <si>
    <t>C 2111708</t>
  </si>
  <si>
    <t>C 1000199</t>
  </si>
  <si>
    <t>C 2105704</t>
  </si>
  <si>
    <t>C 1000201</t>
  </si>
  <si>
    <t>C 2104701</t>
  </si>
  <si>
    <t>C 1000222</t>
  </si>
  <si>
    <t>C 2108707</t>
  </si>
  <si>
    <t>C 1000002</t>
  </si>
  <si>
    <t>C 2112702</t>
  </si>
  <si>
    <t>C 2113703</t>
  </si>
  <si>
    <t>C 2114705</t>
  </si>
  <si>
    <t>C 2114703</t>
  </si>
  <si>
    <t>C 2114701</t>
  </si>
  <si>
    <t>C 2113705</t>
  </si>
  <si>
    <t>C 2601702</t>
  </si>
  <si>
    <t>C 2601704</t>
  </si>
  <si>
    <t>C 2602721</t>
  </si>
  <si>
    <t>C 2602725</t>
  </si>
  <si>
    <t>C 2602709</t>
  </si>
  <si>
    <t>C 1000204</t>
  </si>
  <si>
    <t>C 2601706</t>
  </si>
  <si>
    <t>C 2502759</t>
  </si>
  <si>
    <t>C 2603701</t>
  </si>
  <si>
    <t>C 2604702</t>
  </si>
  <si>
    <t>C 1000157</t>
  </si>
  <si>
    <t>C 2605703</t>
  </si>
  <si>
    <t>C 2202702</t>
  </si>
  <si>
    <t>C 2202701</t>
  </si>
  <si>
    <t>C 2201702</t>
  </si>
  <si>
    <t>C 2201701</t>
  </si>
  <si>
    <t>C 2205706</t>
  </si>
  <si>
    <t>C 1000107</t>
  </si>
  <si>
    <t>C 2204701</t>
  </si>
  <si>
    <t>C 2205707</t>
  </si>
  <si>
    <t>C 2206701</t>
  </si>
  <si>
    <t>C 2207704</t>
  </si>
  <si>
    <t>C 1000230</t>
  </si>
  <si>
    <t>C 2207703</t>
  </si>
  <si>
    <t>C 2207706</t>
  </si>
  <si>
    <t>C 2118703</t>
  </si>
  <si>
    <t>C 2118702</t>
  </si>
  <si>
    <t>C 2116709</t>
  </si>
  <si>
    <t>C 1000225</t>
  </si>
  <si>
    <t>C 2116708</t>
  </si>
  <si>
    <t>C 2116702</t>
  </si>
  <si>
    <t>C 2113702</t>
  </si>
  <si>
    <t>C 2113704</t>
  </si>
  <si>
    <t>C 2113701</t>
  </si>
  <si>
    <t>C 2119711</t>
  </si>
  <si>
    <t>C 1000072</t>
  </si>
  <si>
    <t>C 2119703</t>
  </si>
  <si>
    <t>C 2122701</t>
  </si>
  <si>
    <t>C 2120796</t>
  </si>
  <si>
    <t>C 2120881</t>
  </si>
  <si>
    <t>C 1000243</t>
  </si>
  <si>
    <t>C 2120788</t>
  </si>
  <si>
    <t>C 2120768</t>
  </si>
  <si>
    <t>C 2120767</t>
  </si>
  <si>
    <t>C 2120764</t>
  </si>
  <si>
    <t>C 1000241</t>
  </si>
  <si>
    <t>C 2123704</t>
  </si>
  <si>
    <t>C 2124705</t>
  </si>
  <si>
    <t>C 1000231</t>
  </si>
  <si>
    <t>C 1000103</t>
  </si>
  <si>
    <t>C 1000232</t>
  </si>
  <si>
    <t>C 2121712</t>
  </si>
  <si>
    <t>C 2125702</t>
  </si>
  <si>
    <t>C 2125708</t>
  </si>
  <si>
    <t>C 2125707</t>
  </si>
  <si>
    <t>C 1000097</t>
  </si>
  <si>
    <t>C 2301708</t>
  </si>
  <si>
    <t>C 2301703</t>
  </si>
  <si>
    <t>C 2302706</t>
  </si>
  <si>
    <t>C 2305701</t>
  </si>
  <si>
    <t>C 2305714</t>
  </si>
  <si>
    <t>C 2306707</t>
  </si>
  <si>
    <t>C 2306705</t>
  </si>
  <si>
    <t>C 2306708</t>
  </si>
  <si>
    <t>C 2306706</t>
  </si>
  <si>
    <t>C 2403741</t>
  </si>
  <si>
    <t>C 1000217</t>
  </si>
  <si>
    <t>C 2403709</t>
  </si>
  <si>
    <t>C 2403727</t>
  </si>
  <si>
    <t>C 1000219</t>
  </si>
  <si>
    <t>C 2403704</t>
  </si>
  <si>
    <t>C 2403737</t>
  </si>
  <si>
    <t>C 2401760</t>
  </si>
  <si>
    <t>C 2401759</t>
  </si>
  <si>
    <t>C 2401757</t>
  </si>
  <si>
    <t>C 2402703</t>
  </si>
  <si>
    <t>C 2402705</t>
  </si>
  <si>
    <t>C 2402706</t>
  </si>
  <si>
    <t>C 2401758</t>
  </si>
  <si>
    <t>C 2402707</t>
  </si>
  <si>
    <t>C 2402704</t>
  </si>
  <si>
    <t>C 1000108</t>
  </si>
  <si>
    <t>C 1000109</t>
  </si>
  <si>
    <t>C 2403739</t>
  </si>
  <si>
    <t>C 1000046</t>
  </si>
  <si>
    <t>C 2406701</t>
  </si>
  <si>
    <t>C 2405705</t>
  </si>
  <si>
    <t>C 1000111</t>
  </si>
  <si>
    <t>C 1000034</t>
  </si>
  <si>
    <t>C 2312701</t>
  </si>
  <si>
    <t>C 2312706</t>
  </si>
  <si>
    <t>C 2312702</t>
  </si>
  <si>
    <t>C 1000038</t>
  </si>
  <si>
    <t>C 2314704</t>
  </si>
  <si>
    <t>C 2314702</t>
  </si>
  <si>
    <t>C 2316701</t>
  </si>
  <si>
    <t>C 1000312</t>
  </si>
  <si>
    <t>C 2308719</t>
  </si>
  <si>
    <t>C 2308715</t>
  </si>
  <si>
    <t>C 1000083</t>
  </si>
  <si>
    <t>C 2308718</t>
  </si>
  <si>
    <t>C 2308716</t>
  </si>
  <si>
    <t>C 2308723</t>
  </si>
  <si>
    <t>C 1000127</t>
  </si>
  <si>
    <t>C 2310704</t>
  </si>
  <si>
    <t>C 2310702</t>
  </si>
  <si>
    <t>C 2623710</t>
  </si>
  <si>
    <t>C 2618704</t>
  </si>
  <si>
    <t>C 2618711</t>
  </si>
  <si>
    <t>C 2616709</t>
  </si>
  <si>
    <t>C 2617701</t>
  </si>
  <si>
    <t>C 2616708</t>
  </si>
  <si>
    <t>C 2616701</t>
  </si>
  <si>
    <t>C 2616707</t>
  </si>
  <si>
    <t>C 2615710</t>
  </si>
  <si>
    <t>C 2615708</t>
  </si>
  <si>
    <t>C 2615702</t>
  </si>
  <si>
    <t>C 2614704</t>
  </si>
  <si>
    <t>C 2614713</t>
  </si>
  <si>
    <t>C 2614714</t>
  </si>
  <si>
    <t>C 2617703</t>
  </si>
  <si>
    <t>C 2613711</t>
  </si>
  <si>
    <t>C 2612701</t>
  </si>
  <si>
    <t>C 2612704</t>
  </si>
  <si>
    <t>C 2610713</t>
  </si>
  <si>
    <t>C 2609704</t>
  </si>
  <si>
    <t>C 2608710</t>
  </si>
  <si>
    <t>C 1000164</t>
  </si>
  <si>
    <t>C 1000168</t>
  </si>
  <si>
    <t>C 2501701</t>
  </si>
  <si>
    <t>C 2502712</t>
  </si>
  <si>
    <t>C 2703702</t>
  </si>
  <si>
    <t>C 2319740</t>
  </si>
  <si>
    <t>C 2319737</t>
  </si>
  <si>
    <t>C 2318728</t>
  </si>
  <si>
    <t>C 2315708</t>
  </si>
  <si>
    <t>C 2317701</t>
  </si>
  <si>
    <t>C 1000025</t>
  </si>
  <si>
    <t>C 1000020</t>
  </si>
  <si>
    <t>C 2703701</t>
  </si>
  <si>
    <t>C 2502727</t>
  </si>
  <si>
    <t>C 2801708</t>
  </si>
  <si>
    <t>C 2803703</t>
  </si>
  <si>
    <t>C 1000047</t>
  </si>
  <si>
    <t>C 2804701</t>
  </si>
  <si>
    <t>C 2804704</t>
  </si>
  <si>
    <t>C 2801711</t>
  </si>
  <si>
    <t>C 2906704</t>
  </si>
  <si>
    <t>C 2906705</t>
  </si>
  <si>
    <t>C 2906714</t>
  </si>
  <si>
    <t>C 2906715</t>
  </si>
  <si>
    <t>C 2906706</t>
  </si>
  <si>
    <t>C 2621701</t>
  </si>
  <si>
    <t>C 2619702</t>
  </si>
  <si>
    <t>C 2619701</t>
  </si>
  <si>
    <t>C 2620703</t>
  </si>
  <si>
    <t>C 2624705</t>
  </si>
  <si>
    <t>C 2702708</t>
  </si>
  <si>
    <t>C 2702706</t>
  </si>
  <si>
    <t>C 2623705</t>
  </si>
  <si>
    <t>C 2623704</t>
  </si>
  <si>
    <t>C 2624703</t>
  </si>
  <si>
    <t>C 2623711</t>
  </si>
  <si>
    <t>C 2307702</t>
  </si>
  <si>
    <t>C 2306702</t>
  </si>
  <si>
    <t>C 2624702</t>
  </si>
  <si>
    <t>C 2123701</t>
  </si>
  <si>
    <t>C 2123702</t>
  </si>
  <si>
    <t>C 2602705</t>
  </si>
  <si>
    <t>C 2319746</t>
  </si>
  <si>
    <t>C 2319743</t>
  </si>
  <si>
    <t>C 1000221</t>
  </si>
  <si>
    <t>C 1000006</t>
  </si>
  <si>
    <t>C 1000013</t>
  </si>
  <si>
    <t>C 2309703</t>
  </si>
  <si>
    <t>C 2303701</t>
  </si>
  <si>
    <t>C 1000007</t>
  </si>
  <si>
    <t>C 1000009</t>
  </si>
  <si>
    <t>C 1000010</t>
  </si>
  <si>
    <t>C 1000011</t>
  </si>
  <si>
    <t>C 1000008</t>
  </si>
  <si>
    <t>C 1000014</t>
  </si>
  <si>
    <t>C 1000016</t>
  </si>
  <si>
    <t>C 1000017</t>
  </si>
  <si>
    <t>C 1000018</t>
  </si>
  <si>
    <t>C 2120715</t>
  </si>
  <si>
    <t>C 1000134</t>
  </si>
  <si>
    <t>C 1000057</t>
  </si>
  <si>
    <t>C 1000058</t>
  </si>
  <si>
    <t>C 1000059</t>
  </si>
  <si>
    <t>C 1000054</t>
  </si>
  <si>
    <t>C 1000021</t>
  </si>
  <si>
    <t>C 1000062</t>
  </si>
  <si>
    <t>C 1000055</t>
  </si>
  <si>
    <t>C 2319729</t>
  </si>
  <si>
    <t>C 1000053</t>
  </si>
  <si>
    <t>C 1000052</t>
  </si>
  <si>
    <t>C 1000050</t>
  </si>
  <si>
    <t>C 1000060</t>
  </si>
  <si>
    <t>C 1000061</t>
  </si>
  <si>
    <t>C 1000063</t>
  </si>
  <si>
    <t>C 1000064</t>
  </si>
  <si>
    <t>C 1000068</t>
  </si>
  <si>
    <t>C 1000197</t>
  </si>
  <si>
    <t>C 1000198</t>
  </si>
  <si>
    <t>C 1000200</t>
  </si>
  <si>
    <t>C 1000203</t>
  </si>
  <si>
    <t>C 1000202</t>
  </si>
  <si>
    <t>C 1000173</t>
  </si>
  <si>
    <t>C 1000175</t>
  </si>
  <si>
    <t>C 1000176</t>
  </si>
  <si>
    <t>C 1000174</t>
  </si>
  <si>
    <t>C 1000223</t>
  </si>
  <si>
    <t>C 1000177</t>
  </si>
  <si>
    <t>C 1000178</t>
  </si>
  <si>
    <t>C 1000224</t>
  </si>
  <si>
    <t>C 1000226</t>
  </si>
  <si>
    <t>C 1000227</t>
  </si>
  <si>
    <t>C 1000106</t>
  </si>
  <si>
    <t>C 1000228</t>
  </si>
  <si>
    <t>C 1000229</t>
  </si>
  <si>
    <t>C 1000179</t>
  </si>
  <si>
    <t>C 2206702</t>
  </si>
  <si>
    <t>C 2207705</t>
  </si>
  <si>
    <t>C 1000104</t>
  </si>
  <si>
    <t>C 1000077</t>
  </si>
  <si>
    <t>C 1000073</t>
  </si>
  <si>
    <t>C 1000071</t>
  </si>
  <si>
    <t>C 1000075</t>
  </si>
  <si>
    <t>C 1000233</t>
  </si>
  <si>
    <t>C 1000234</t>
  </si>
  <si>
    <t>C 1000102</t>
  </si>
  <si>
    <t>C 1000236</t>
  </si>
  <si>
    <t>C 1000237</t>
  </si>
  <si>
    <t>C 1000238</t>
  </si>
  <si>
    <t>C 1000239</t>
  </si>
  <si>
    <t>C 1000240</t>
  </si>
  <si>
    <t>C 1000242</t>
  </si>
  <si>
    <t>C 1000066</t>
  </si>
  <si>
    <t>C 1000212</t>
  </si>
  <si>
    <t>C 1000070</t>
  </si>
  <si>
    <t>C 1000069</t>
  </si>
  <si>
    <t>C 1000005</t>
  </si>
  <si>
    <t>C 1000105</t>
  </si>
  <si>
    <t>C 1000096</t>
  </si>
  <si>
    <t>C 2123705</t>
  </si>
  <si>
    <t>C 1000098</t>
  </si>
  <si>
    <t>C 1000095</t>
  </si>
  <si>
    <t>C 1000093</t>
  </si>
  <si>
    <t>C 1000012</t>
  </si>
  <si>
    <t>C 1000080</t>
  </si>
  <si>
    <t>C 1000079</t>
  </si>
  <si>
    <t>C 1000078</t>
  </si>
  <si>
    <t>C 1000081</t>
  </si>
  <si>
    <t>C 1000082</t>
  </si>
  <si>
    <t>C 1000092</t>
  </si>
  <si>
    <t>C 1000090</t>
  </si>
  <si>
    <t>C 1000182</t>
  </si>
  <si>
    <t>C 2308720</t>
  </si>
  <si>
    <t>C 1000313</t>
  </si>
  <si>
    <t>C 1000084</t>
  </si>
  <si>
    <t>C 1000086</t>
  </si>
  <si>
    <t>C 1000085</t>
  </si>
  <si>
    <t>C 1000087</t>
  </si>
  <si>
    <t>C 1000089</t>
  </si>
  <si>
    <t>C 1000088</t>
  </si>
  <si>
    <t>C 1000091</t>
  </si>
  <si>
    <t>C 1000117</t>
  </si>
  <si>
    <t>C 1000128</t>
  </si>
  <si>
    <t>C 1000035</t>
  </si>
  <si>
    <t>C 1000036</t>
  </si>
  <si>
    <t>C 1000037</t>
  </si>
  <si>
    <t>C 1000115</t>
  </si>
  <si>
    <t>C 1000116</t>
  </si>
  <si>
    <t>C 1000119</t>
  </si>
  <si>
    <t>C 1000118</t>
  </si>
  <si>
    <t>C 1000112</t>
  </si>
  <si>
    <t>C 1000216</t>
  </si>
  <si>
    <t>C 2401764</t>
  </si>
  <si>
    <t>C 1000218</t>
  </si>
  <si>
    <t>C 1000029</t>
  </si>
  <si>
    <t>C 1000220</t>
  </si>
  <si>
    <t>C 1000306</t>
  </si>
  <si>
    <t>C 1000045</t>
  </si>
  <si>
    <t>C 1000043</t>
  </si>
  <si>
    <t>C 1000210</t>
  </si>
  <si>
    <t>C 1000040</t>
  </si>
  <si>
    <t>C 1000129</t>
  </si>
  <si>
    <t>C 1000120</t>
  </si>
  <si>
    <t>C 1000185</t>
  </si>
  <si>
    <t>C 1000030</t>
  </si>
  <si>
    <t>C 1000031</t>
  </si>
  <si>
    <t>C 1000032</t>
  </si>
  <si>
    <t>C 1000033</t>
  </si>
  <si>
    <t>C 1000215</t>
  </si>
  <si>
    <t>C 1000026</t>
  </si>
  <si>
    <t>C 1000308</t>
  </si>
  <si>
    <t>C 1000027</t>
  </si>
  <si>
    <t>C 2803709</t>
  </si>
  <si>
    <t>C 1000184</t>
  </si>
  <si>
    <t>C 1000024</t>
  </si>
  <si>
    <t>C 1000051</t>
  </si>
  <si>
    <t>C 1000130</t>
  </si>
  <si>
    <t>C 1000124</t>
  </si>
  <si>
    <t>C 1000207</t>
  </si>
  <si>
    <t>C 1000131</t>
  </si>
  <si>
    <t>C 1000132</t>
  </si>
  <si>
    <t>C 1000133</t>
  </si>
  <si>
    <t>C 1000123</t>
  </si>
  <si>
    <t>C 1000028</t>
  </si>
  <si>
    <t>C 1000125</t>
  </si>
  <si>
    <t>C 1000188</t>
  </si>
  <si>
    <t>C 1000189</t>
  </si>
  <si>
    <t>C 1000192</t>
  </si>
  <si>
    <t>C 1000193</t>
  </si>
  <si>
    <t>C 1000191</t>
  </si>
  <si>
    <t>C 1000155</t>
  </si>
  <si>
    <t>C 1000154</t>
  </si>
  <si>
    <t>C 1000159</t>
  </si>
  <si>
    <t>C 1000162</t>
  </si>
  <si>
    <t>C 1000309</t>
  </si>
  <si>
    <t>C 1000166</t>
  </si>
  <si>
    <t>C 1000165</t>
  </si>
  <si>
    <t>C 1000310</t>
  </si>
  <si>
    <t>C 1000167</t>
  </si>
  <si>
    <t>C 1000161</t>
  </si>
  <si>
    <t>C 1000160</t>
  </si>
  <si>
    <t>C 1000169</t>
  </si>
  <si>
    <t>C 1000172</t>
  </si>
  <si>
    <t>C 1000171</t>
  </si>
  <si>
    <t>C 1000139</t>
  </si>
  <si>
    <t>C 1000141</t>
  </si>
  <si>
    <t>C 1000142</t>
  </si>
  <si>
    <t>C 1000140</t>
  </si>
  <si>
    <t>C 1000137</t>
  </si>
  <si>
    <t>C 1000138</t>
  </si>
  <si>
    <t>C 1000136</t>
  </si>
  <si>
    <t>C 1000311</t>
  </si>
  <si>
    <t>C 1000143</t>
  </si>
  <si>
    <t>C 1000144</t>
  </si>
  <si>
    <t>C 1000146</t>
  </si>
  <si>
    <t>C 1000145</t>
  </si>
  <si>
    <t>C 1000148</t>
  </si>
  <si>
    <t>C 1000149</t>
  </si>
  <si>
    <t>C 1000150</t>
  </si>
  <si>
    <t>C 1000065</t>
  </si>
  <si>
    <t>C 1000151</t>
  </si>
  <si>
    <t>C 1000056</t>
  </si>
  <si>
    <t>C 2502794</t>
  </si>
  <si>
    <t>C 1000302</t>
  </si>
  <si>
    <t>C 1000304</t>
  </si>
  <si>
    <t>C 1000190</t>
  </si>
  <si>
    <t>C 1000300</t>
  </si>
  <si>
    <t>C 1000305</t>
  </si>
  <si>
    <t>C 1000181</t>
  </si>
  <si>
    <t>C 1000180</t>
  </si>
  <si>
    <t>C 1000301</t>
  </si>
  <si>
    <t>C 1000076</t>
  </si>
  <si>
    <t>C 1000158</t>
  </si>
  <si>
    <t>C 1000042A</t>
  </si>
  <si>
    <t>C 1000042B</t>
  </si>
  <si>
    <t>C 1000101A</t>
  </si>
  <si>
    <t>C 1000101B</t>
  </si>
  <si>
    <t>C 1000121A</t>
  </si>
  <si>
    <t>C 1000121B</t>
  </si>
  <si>
    <t>C 1000153A</t>
  </si>
  <si>
    <t>C 1000153B</t>
  </si>
  <si>
    <t>FRAG_BARRIER_ID</t>
  </si>
  <si>
    <t>BarrierName</t>
  </si>
  <si>
    <t>BarrierID</t>
  </si>
  <si>
    <t>3. WEAP variables to export directly</t>
  </si>
  <si>
    <t>4. WEAP objects to perform fragmentation (river barriers)</t>
  </si>
  <si>
    <t>5. WEAP variables to perform accumulation</t>
  </si>
  <si>
    <t>6. WEAP variables to perform attenuated accumulation</t>
  </si>
  <si>
    <t>Pop-2012</t>
  </si>
  <si>
    <t>Pop-2005</t>
  </si>
  <si>
    <t>Pop-1993</t>
  </si>
  <si>
    <t>ETa-non-productive</t>
  </si>
  <si>
    <t>ETa-productive</t>
  </si>
  <si>
    <t>ETa-Total</t>
  </si>
  <si>
    <t>Pop-2020</t>
  </si>
  <si>
    <t>WaTT Set up the WEAP data requirements</t>
  </si>
  <si>
    <t>Read system topology</t>
  </si>
  <si>
    <t>Reference</t>
  </si>
  <si>
    <t>Sub-networkIDs</t>
  </si>
  <si>
    <t>Key\WASH\Lluvia\Numero\Monte Rico</t>
  </si>
  <si>
    <t>Tamque 500 m3</t>
  </si>
  <si>
    <t>Key\WASH\Almacenamiento\Volumen\Monte Rico</t>
  </si>
  <si>
    <t>Key\WASH\Lluvia\Numero\Tupiza</t>
  </si>
  <si>
    <t>Key\WASH\Almacenamiento\Volumen\Tupiza</t>
  </si>
  <si>
    <t>Key\WASH\Lluvia\Numero\Palala Alta</t>
  </si>
  <si>
    <t>Key\WASH\Almacenamiento\Volumen\Palala Alta</t>
  </si>
  <si>
    <t>Key\WASH\Lluvia\Numero\Palala Baja</t>
  </si>
  <si>
    <t>Key\WASH\Almacenamiento\Volumen\Palala Baja</t>
  </si>
  <si>
    <t>Key\WASH\Lluvia\Numero\Yurcuma</t>
  </si>
  <si>
    <t>Key\WASH\Almacenamiento\Volumen\Yurcuma</t>
  </si>
  <si>
    <t>Key\WASH\Lluvia\Numero\Tholomayu</t>
  </si>
  <si>
    <t>Key\WASH\Almacenamiento\Volumen\Tholomayu</t>
  </si>
  <si>
    <t>Key\WASH\Lluvia\Numero\Caracota</t>
  </si>
  <si>
    <t>Key\WASH\Almacenamiento\Volumen\Caracota</t>
  </si>
  <si>
    <t>Key\WASH\Lluvia\Numero\Angostura</t>
  </si>
  <si>
    <t>Key\WASH\Almacenamiento\Volumen\Angostura</t>
  </si>
  <si>
    <t>Key\WASH\Lluvia\Numero\Almona</t>
  </si>
  <si>
    <t>Key\WASH\Almacenamiento\Volumen\Almona</t>
  </si>
  <si>
    <t>Key\WASH\Lluvia\Numero\La Torre</t>
  </si>
  <si>
    <t>Key\WASH\Almacenamiento\Volumen\La Torre</t>
  </si>
  <si>
    <t>Key\WASH\Lluvia\Numero\Gallego</t>
  </si>
  <si>
    <t>Key\WASH\Almacenamiento\Volumen\Gallego</t>
  </si>
  <si>
    <t>Key\WASH\Lluvia\Numero\Villa Providencia</t>
  </si>
  <si>
    <t>Key\WASH\Almacenamiento\Volumen\Villa Providencia</t>
  </si>
  <si>
    <t>Key\WASH\Lluvia\Numero\Bolivar</t>
  </si>
  <si>
    <t>Key\WASH\Almacenamiento\Volumen\Bolivar</t>
  </si>
  <si>
    <t>Key\WASH\Lluvia\Numero\Chillco</t>
  </si>
  <si>
    <t>Key\WASH\Almacenamiento\Volumen\Chillco</t>
  </si>
  <si>
    <t>Key\WASH\Lluvia\Numero\Tambillo Bajo</t>
  </si>
  <si>
    <t>Key\WASH\Almacenamiento\Volumen\Tambillo Bajo</t>
  </si>
  <si>
    <t>Key\WASH\Lluvia\Numero\Salo</t>
  </si>
  <si>
    <t>Key\WASH\Almacenamiento\Volumen\Salo</t>
  </si>
  <si>
    <t>Key\WASH\Lluvia\Numero\Torre Chica</t>
  </si>
  <si>
    <t>Key\WASH\Almacenamiento\Volumen\Torre Chica</t>
  </si>
  <si>
    <t>Key\WASH\Lluvia\Numero\Cruz Pampa</t>
  </si>
  <si>
    <t>Key\WASH\Almacenamiento\Volumen\Cruz Pampa</t>
  </si>
  <si>
    <t>Key\WASH\Lluvia\Numero\Oploca</t>
  </si>
  <si>
    <t>Key\WASH\Almacenamiento\Volumen\Oploca</t>
  </si>
  <si>
    <t>Key\WASH\Lluvia\Numero\San Miguel</t>
  </si>
  <si>
    <t>Key\WASH\Almacenamiento\Volumen\San Miguel</t>
  </si>
  <si>
    <t>Key\WASH\Lluvia\Numero\TambilloAlto</t>
  </si>
  <si>
    <t>Key\WASH\Almacenamiento\Volumen\TambilloAlto</t>
  </si>
  <si>
    <t>Key\WASH\Lluvia\Numero\Charahota</t>
  </si>
  <si>
    <t>Tanque 500 m3</t>
  </si>
  <si>
    <t>Key\WASH\Almacenamiento\Volumen\Charahota</t>
  </si>
  <si>
    <t>Si</t>
  </si>
  <si>
    <t>Key\WASH\Pozo\Monte Rico</t>
  </si>
  <si>
    <t>Key\WASH\Lluvia\Monte Rico</t>
  </si>
  <si>
    <t>Key\WASH\Almacenamiento\Monte Rico</t>
  </si>
  <si>
    <t>Key\WASH\Pozo\Tupiza</t>
  </si>
  <si>
    <t>Key\WASH\Lluvia\Tupiza</t>
  </si>
  <si>
    <t>Key\WASH\Almacenamiento\Tupiza</t>
  </si>
  <si>
    <t>Key\WASH\Pozo\Palala Alta</t>
  </si>
  <si>
    <t>Key\WASH\Lluvia\Palala Alta</t>
  </si>
  <si>
    <t>Key\WASH\Almacenamiento\Palala Alta</t>
  </si>
  <si>
    <t>Key\WASH\Pozo\Palala Baja</t>
  </si>
  <si>
    <t>Key\WASH\Lluvia\Palala Baja</t>
  </si>
  <si>
    <t>Key\WASH\Almacenamiento\Palala Baja</t>
  </si>
  <si>
    <t>Key\WASH\Pozo\Yurcuma</t>
  </si>
  <si>
    <t>Key\WASH\Lluvia\Yurcuma</t>
  </si>
  <si>
    <t>Key\WASH\Almacenamiento\Yurcuma</t>
  </si>
  <si>
    <t>Key\WASH\Pozo\Tholomayu</t>
  </si>
  <si>
    <t>Key\WASH\Lluvia\Tholomayu</t>
  </si>
  <si>
    <t>Key\WASH\Almacenamiento\Tholomayu</t>
  </si>
  <si>
    <t>Key\WASH\Pozo\Caracota</t>
  </si>
  <si>
    <t>Key\WASH\Lluvia\Caracota</t>
  </si>
  <si>
    <t>Key\WASH\Almacenamiento\Caracota</t>
  </si>
  <si>
    <t>Key\WASH\Pozo\Angostura</t>
  </si>
  <si>
    <t>Key\WASH\Lluvia\Angostura</t>
  </si>
  <si>
    <t>Key\WASH\Almacenamiento\Angostura</t>
  </si>
  <si>
    <t>Key\WASH\Pozo\Almona</t>
  </si>
  <si>
    <t>Key\WASH\Lluvia\Almona</t>
  </si>
  <si>
    <t>Key\WASH\Almacenamiento\Almona</t>
  </si>
  <si>
    <t>Key\WASH\Pozo\La Torre</t>
  </si>
  <si>
    <t>Key\WASH\Lluvia\La Torre</t>
  </si>
  <si>
    <t>Key\WASH\Almacenamiento\La Torre</t>
  </si>
  <si>
    <t>Key\WASH\Pozo\Gallego</t>
  </si>
  <si>
    <t>Key\WASH\Lluvia\Gallego</t>
  </si>
  <si>
    <t>Key\WASH\Almacenamiento\Gallego</t>
  </si>
  <si>
    <t>Key\WASH\Pozo\Villa Providencia</t>
  </si>
  <si>
    <t>Key\WASH\Lluvia\Villa Providencia</t>
  </si>
  <si>
    <t>Key\WASH\Almacenamiento\Villa Providencia</t>
  </si>
  <si>
    <t>Key\WASH\Pozo\Bolivar</t>
  </si>
  <si>
    <t>Key\WASH\Lluvia\Bolivar</t>
  </si>
  <si>
    <t>Key\WASH\Almacenamiento\Bolivar</t>
  </si>
  <si>
    <t>Key\WASH\Pozo\Chillco</t>
  </si>
  <si>
    <t>Key\WASH\Lluvia\Chillco</t>
  </si>
  <si>
    <t>Key\WASH\Almacenamiento\Chillco</t>
  </si>
  <si>
    <t>Key\WASH\Pozo\Tambillo Bajo</t>
  </si>
  <si>
    <t>Key\WASH\Lluvia\Tambillo Bajo</t>
  </si>
  <si>
    <t>Key\WASH\Almacenamiento\Tambillo Bajo</t>
  </si>
  <si>
    <t>Key\WASH\Pozo\Salo</t>
  </si>
  <si>
    <t>Key\WASH\Lluvia\Salo</t>
  </si>
  <si>
    <t>Key\WASH\Almacenamiento\Salo</t>
  </si>
  <si>
    <t>Key\WASH\Pozo\Torre Chica</t>
  </si>
  <si>
    <t>Key\WASH\Lluvia\Torre Chica</t>
  </si>
  <si>
    <t>Key\WASH\Almacenamiento\Torre Chica</t>
  </si>
  <si>
    <t>Key\WASH\Pozo\Cruz Pampa</t>
  </si>
  <si>
    <t>Key\WASH\Lluvia\Cruz Pampa</t>
  </si>
  <si>
    <t>Key\WASH\Almacenamiento\Cruz Pampa</t>
  </si>
  <si>
    <t>Key\WASH\Pozo\Oploca</t>
  </si>
  <si>
    <t>Key\WASH\Lluvia\Oploca</t>
  </si>
  <si>
    <t>Key\WASH\Almacenamiento\Oploca</t>
  </si>
  <si>
    <t>Key\WASH\Pozo\San Miguel</t>
  </si>
  <si>
    <t>Key\WASH\Lluvia\San Miguel</t>
  </si>
  <si>
    <t>Key\WASH\Almacenamiento\San Miguel</t>
  </si>
  <si>
    <t>Key\WASH\Pozo\Tambillo Alto</t>
  </si>
  <si>
    <t>Key\WASH\Lluvia\Tambillo Alto</t>
  </si>
  <si>
    <t>Key\WASH\Almacenamiento\Tambillo Alto</t>
  </si>
  <si>
    <t>Key\WASH\Pozo\Charahota</t>
  </si>
  <si>
    <t>Key\WASH\Lluvia\Charahota</t>
  </si>
  <si>
    <t>Key\WASH\Almacenamiento\Charahota</t>
  </si>
  <si>
    <t>Actual</t>
  </si>
  <si>
    <t>Key\Demanda\Percapita\MonteRico\Saneamiento</t>
  </si>
  <si>
    <t>Key\Demanda\Percapita\Tupiza\Saneamiento</t>
  </si>
  <si>
    <t>Key\Demanda\Percapita\PalalaAlta\Saneamiento</t>
  </si>
  <si>
    <t>Key\Demanda\Percapita\PalalaBaja\Saneamiento</t>
  </si>
  <si>
    <t>Key\Demanda\Percapita\Yurcuma\Saneamiento</t>
  </si>
  <si>
    <t>Key\Demanda\Percapita\Tholomayu\Saneamiento</t>
  </si>
  <si>
    <t>Key\Demanda\Percapita\Caracota\Saneamiento</t>
  </si>
  <si>
    <t>Key\Demanda\Percapita\Angostura\Saneamiento</t>
  </si>
  <si>
    <t>Key\Demanda\Percapita\Almona\Saneamiento</t>
  </si>
  <si>
    <t>Key\Demanda\Percapita\LaTorre\Saneamiento</t>
  </si>
  <si>
    <t>Key\Demanda\Percapita\Gallego\Saneamiento</t>
  </si>
  <si>
    <t>Key\Demanda\Percapita\VillaProvidencia\Saneamiento</t>
  </si>
  <si>
    <t>Key\Demanda\Percapita\Bolivar\Saneamiento</t>
  </si>
  <si>
    <t>Key\Demanda\Percapita\Chillco\Saneamiento</t>
  </si>
  <si>
    <t>Key\Demanda\Percapita\TambilloBajo\Saneamiento</t>
  </si>
  <si>
    <t>Key\Demanda\Percapita\Salo\Saneamiento</t>
  </si>
  <si>
    <t>Key\Demanda\Percapita\TorreChica\Saneamiento</t>
  </si>
  <si>
    <t>Key\Demanda\Percapita\CruzPampa\Saneamiento</t>
  </si>
  <si>
    <t>Key\Demanda\Percapita\Oploca\Saneamiento</t>
  </si>
  <si>
    <t>Key\Demanda\Percapita\SanMiguel\Saneamiento</t>
  </si>
  <si>
    <t>Key\Demanda\Percapita\TambilloAlto\Saneamiento</t>
  </si>
  <si>
    <t>Key\Demanda\Percapita\Charahota\Saneamiento</t>
  </si>
  <si>
    <t>Key\Demanda\Percapita\MonteRico\Suministro</t>
  </si>
  <si>
    <t>Key\Demanda\Percapita\Tupiza\Suministro</t>
  </si>
  <si>
    <t>Key\Demanda\Percapita\PalalaAlta\Suministro</t>
  </si>
  <si>
    <t>Key\Demanda\Percapita\PalalaBaja\Suministro</t>
  </si>
  <si>
    <t>Key\Demanda\Percapita\Yurcuma\Suministro</t>
  </si>
  <si>
    <t>Key\Demanda\Percapita\Tholomayu\Suministro</t>
  </si>
  <si>
    <t>Key\Demanda\Percapita\Caracota\Suministro</t>
  </si>
  <si>
    <t>Key\Demanda\Percapita\Angostura\Suministro</t>
  </si>
  <si>
    <t>Key\Demanda\Percapita\Almona\Suministro</t>
  </si>
  <si>
    <t>Key\Demanda\Percapita\LaTorre\Suministro</t>
  </si>
  <si>
    <t>Key\Demanda\Percapita\Gallego\Suministro</t>
  </si>
  <si>
    <t>Key\Demanda\Percapita\VillaProvidencia\Suministro</t>
  </si>
  <si>
    <t>Key\Demanda\Percapita\Bolivar\Suministro</t>
  </si>
  <si>
    <t>Key\Demanda\Percapita\Chillco\Suministro</t>
  </si>
  <si>
    <t>Key\Demanda\Percapita\TambilloBajo\Suministro</t>
  </si>
  <si>
    <t>Key\Demanda\Percapita\Salo\Suministro</t>
  </si>
  <si>
    <t>Key\Demanda\Percapita\TorreChica\Suministro</t>
  </si>
  <si>
    <t>Key\Demanda\Percapita\CruzPampa\Suministro</t>
  </si>
  <si>
    <t>Key\Demanda\Percapita\Oploca\Suministro</t>
  </si>
  <si>
    <t>Key\Demanda\Percapita\SanMiguel\Suministro</t>
  </si>
  <si>
    <t>Key\Demanda\Percapita\TambilloAlto\Suministro</t>
  </si>
  <si>
    <t>Key\Demanda\Percapita\Charahota\Suministro</t>
  </si>
  <si>
    <t>No</t>
  </si>
  <si>
    <t>Key\New Branch</t>
  </si>
  <si>
    <t>Actual-Granos y Tuberculo</t>
  </si>
  <si>
    <t>Key\XLRM\Acciones\Cedula Cultivos\Yurcuma y Bolivar</t>
  </si>
  <si>
    <t>Key\XLRM\Acciones\Cedula Cultivos\Villa Providencia Oploca y Torre Chica</t>
  </si>
  <si>
    <t>Key\XLRM\Acciones\Cedula Cultivos\Tocloca Angostura y Yurcuma</t>
  </si>
  <si>
    <t>Key\XLRM\Acciones\Cedula Cultivos\San Miguel</t>
  </si>
  <si>
    <t>Key\XLRM\Acciones\Cedula Cultivos\San Jose de Hornos</t>
  </si>
  <si>
    <t>Key\XLRM\Acciones\Cedula Cultivos\Salo</t>
  </si>
  <si>
    <t>Key\XLRM\Acciones\Cedula Cultivos\Pilquiza</t>
  </si>
  <si>
    <t>Key\XLRM\Acciones\Cedula Cultivos\Palala Alta</t>
  </si>
  <si>
    <t>Key\XLRM\Acciones\Cedula Cultivos\Oro Ingenio</t>
  </si>
  <si>
    <t>Key\XLRM\Acciones\Cedula Cultivos\Monte Rico Tambillo Bajo y Tambillo Alto</t>
  </si>
  <si>
    <t>Key\XLRM\Acciones\Cedula Cultivos\La Torre</t>
  </si>
  <si>
    <t>Key\XLRM\Acciones\Cedula Cultivos\Entre Rios</t>
  </si>
  <si>
    <t>Key\XLRM\Acciones\Cedula Cultivos\Charahota</t>
  </si>
  <si>
    <t>Key\XLRM\Acciones\Cedula Cultivos\Caracota</t>
  </si>
  <si>
    <t>Key\XLRM\Acciones\Cedula Cultivos\Almona</t>
  </si>
  <si>
    <t>Key\XLRM\Acciones\Revitalizacion\Yurcuma Bolivar</t>
  </si>
  <si>
    <t>Key\XLRM\Acciones\Revitalizacion\VillaProvidencia Oploca TorreChica</t>
  </si>
  <si>
    <t>Key\XLRM\Acciones\Revitalizacion\Tocloca Angostura Yurcuma</t>
  </si>
  <si>
    <t>Key\XLRM\Acciones\Revitalizacion\San Miguel</t>
  </si>
  <si>
    <t>Key\XLRM\Acciones\Revitalizacion\San Jose de Hornos</t>
  </si>
  <si>
    <t>Key\XLRM\Acciones\Revitalizacion\Salo</t>
  </si>
  <si>
    <t>Key\XLRM\Acciones\Revitalizacion\Pilquiza</t>
  </si>
  <si>
    <t>Key\XLRM\Acciones\Revitalizacion\Palala Alta</t>
  </si>
  <si>
    <t>Key\XLRM\Acciones\Revitalizacion\Oro Ingenio</t>
  </si>
  <si>
    <t>Key\XLRM\Acciones\Revitalizacion\Monte Rico Tambillo BajoAlto</t>
  </si>
  <si>
    <t>Key\XLRM\Acciones\Revitalizacion\La Torre</t>
  </si>
  <si>
    <t>Key\XLRM\Acciones\Revitalizacion\Entre Rios</t>
  </si>
  <si>
    <t>Key\XLRM\Acciones\Revitalizacion\Charahota</t>
  </si>
  <si>
    <t>Key\XLRM\Acciones\Revitalizacion\Caracota</t>
  </si>
  <si>
    <t>Key\XLRM\Acciones\Revitalizacion\Almona</t>
  </si>
  <si>
    <t>Key\XLRM\Acciones\Revitalizacion</t>
  </si>
  <si>
    <t>Key\XLRM\Acciones\Reduccion Perdidas Urbano</t>
  </si>
  <si>
    <t>Key\XLRM\Acciones\Caracota</t>
  </si>
  <si>
    <t>Key\XLRM\Acciones\Prioridades Suministro Estarca\Superficiales</t>
  </si>
  <si>
    <t>Key\XLRM\Acciones\Prioridades Suministro Estarca\GW</t>
  </si>
  <si>
    <t>Key\XLRM\Acciones\Prioridades Suministro Estarca\Caracota</t>
  </si>
  <si>
    <t>Key\XLRM\Acciones\Prioridades Suministro Estarca\Estarca</t>
  </si>
  <si>
    <t>Key\XLRM\Acciones\Prioridades Demanda Estarca\Comunidades</t>
  </si>
  <si>
    <t>Key\XLRM\Acciones\Prioridades Demanda Estarca\Riego</t>
  </si>
  <si>
    <t>Key\XLRM\Acciones\Prioridades Demanda Estarca\EMPSAT</t>
  </si>
  <si>
    <t>Key\XLRM\Acciones\Estarca\Salo</t>
  </si>
  <si>
    <t>Key\XLRM\Acciones\Estarca\TambilloAlto</t>
  </si>
  <si>
    <t>Key\XLRM\Acciones\Estarca\Oploca</t>
  </si>
  <si>
    <t>Key\XLRM\Acciones\Estarca\EMPSAT</t>
  </si>
  <si>
    <t>Key\NumRun</t>
  </si>
  <si>
    <t>Opcion</t>
  </si>
  <si>
    <t>Valor</t>
  </si>
  <si>
    <t>Key assumption</t>
  </si>
  <si>
    <t>N</t>
  </si>
  <si>
    <t>Key\Mineria\ControlVertimientos\SanVicente</t>
  </si>
  <si>
    <t>Key\Mineria\ControlVertimientos\Chilco</t>
  </si>
  <si>
    <t>Key\Mineria\ControlVertimientos\Tatasi</t>
  </si>
  <si>
    <t>Key\Mineria\ControlVertimientos\Lambol</t>
  </si>
  <si>
    <t>Key\Mineria\Ordenamiento\ReservaEstarca</t>
  </si>
  <si>
    <t>Key\Mineria\ManejoPasivos\Tatasi</t>
  </si>
  <si>
    <t>Key\Mineria\BarrerasnivelUsuario\Chilco</t>
  </si>
  <si>
    <t>Clima</t>
  </si>
  <si>
    <t>CedulaCultivos</t>
  </si>
  <si>
    <t>UsoSuelo</t>
  </si>
  <si>
    <t>POP</t>
  </si>
  <si>
    <t>YearPop</t>
  </si>
  <si>
    <t>Prefix</t>
  </si>
  <si>
    <t>Name</t>
  </si>
  <si>
    <t>Topology</t>
  </si>
  <si>
    <t>ObjectType</t>
  </si>
  <si>
    <t>Year Filter</t>
  </si>
  <si>
    <t xml:space="preserve"> TimeStep Filter</t>
  </si>
  <si>
    <t xml:space="preserve"> TagFilter</t>
  </si>
  <si>
    <t xml:space="preserve"> Stat </t>
  </si>
  <si>
    <t>Value</t>
  </si>
  <si>
    <t>CatchmentImpact</t>
  </si>
  <si>
    <t>DiversionName</t>
  </si>
  <si>
    <t>Escenarios</t>
  </si>
  <si>
    <t>S2U</t>
  </si>
  <si>
    <t>Barrier FullName</t>
  </si>
  <si>
    <t>DirectVars</t>
  </si>
  <si>
    <t>Reference; Reference1</t>
  </si>
  <si>
    <t>Reference; Reference8</t>
  </si>
  <si>
    <t>Reference; Reference9</t>
  </si>
  <si>
    <t>TypeOf Variable</t>
  </si>
  <si>
    <t>Object</t>
  </si>
  <si>
    <t>Stat</t>
  </si>
  <si>
    <t>Escenario</t>
  </si>
  <si>
    <t>Caso de Uso: Usar wat en un entorno de DSS</t>
  </si>
  <si>
    <t>Caso de uso: Configurar  uns instancia de WaTT, para un modelo WEAP específico</t>
  </si>
  <si>
    <t>En WEAP Query setup, incluir la lista de variables que se quieren obtener del modelo, en cada una de las categorias: Exporación directa, Acumulación, Fragmentación, etc</t>
  </si>
  <si>
    <t>Leer la topología del modelo, desde la hoja "II. Read Topology"</t>
  </si>
  <si>
    <t>ACCUMULATION</t>
  </si>
  <si>
    <t>Configurar las formulas para postprocesar los resultados crudos de Watt: WaTT_RAW_Output -&gt; WaTT Processed ouputs</t>
  </si>
  <si>
    <t>Configurar las formulas para postprocesar los resultados crudos de Watt: WaTT_RAW_Output -&gt; WaTT Processed ouputs -&gt; WaTT Processed output_USERS</t>
  </si>
  <si>
    <r>
      <t xml:space="preserve">En </t>
    </r>
    <r>
      <rPr>
        <b/>
        <sz val="11"/>
        <color theme="1"/>
        <rFont val="Calibri"/>
        <family val="2"/>
        <scheme val="minor"/>
      </rPr>
      <t>I.WEAP Query Setup:</t>
    </r>
    <r>
      <rPr>
        <sz val="11"/>
        <color theme="1"/>
        <rFont val="Calibri"/>
        <family val="2"/>
        <scheme val="minor"/>
      </rPr>
      <t xml:space="preserve"> Read WEAP Data</t>
    </r>
  </si>
  <si>
    <t>Actualizar las formulas de la hoja de excel</t>
  </si>
  <si>
    <t>Leer o exportar los datos para Shiny</t>
  </si>
  <si>
    <r>
      <t xml:space="preserve">Configurar la hoja </t>
    </r>
    <r>
      <rPr>
        <b/>
        <sz val="11"/>
        <color theme="1"/>
        <rFont val="Calibri"/>
        <family val="2"/>
        <scheme val="minor"/>
      </rPr>
      <t>III. Watt Main</t>
    </r>
    <r>
      <rPr>
        <sz val="11"/>
        <color theme="1"/>
        <rFont val="Calibri"/>
        <family val="2"/>
        <scheme val="minor"/>
      </rPr>
      <t>, leyendo los datos de la tabla dinámica:TD_WEAP_RAW</t>
    </r>
  </si>
  <si>
    <t>Escenarios_bk</t>
  </si>
  <si>
    <t>Configurar la Tabla dinámica que hace la lectura de las salidas creadas de WEAP (WEAP_RAW -&gt; TD_WEAP_RAW)</t>
  </si>
  <si>
    <t>Start Year</t>
  </si>
  <si>
    <t>End Year</t>
  </si>
  <si>
    <t>Etiquetas de columna</t>
  </si>
  <si>
    <t>Etiquetas de fila</t>
  </si>
  <si>
    <t>Suma de Value</t>
  </si>
  <si>
    <t>Total general</t>
  </si>
  <si>
    <t>Supply and Resources\River\</t>
  </si>
  <si>
    <t>ARMA\Reservoirs\CHP_AGUADAS</t>
  </si>
  <si>
    <t>SALDANA\Reservoirs\CHP_ALTO_SALDANA</t>
  </si>
  <si>
    <t>MAGDALENA_MEDIO_T1\Reservoirs\CHP_AMBALEMA</t>
  </si>
  <si>
    <t>CAUCA_BAJO\Reservoirs\CHP_APAVI</t>
  </si>
  <si>
    <t>PAEZ\Reservoirs\CHP_ARANZAZU</t>
  </si>
  <si>
    <t>ATA\Reservoirs\CHP_ATA</t>
  </si>
  <si>
    <t>TIGUI\Reservoirs\CHP_BASILIO</t>
  </si>
  <si>
    <t>MAGDALENA_ALTO_T2\Reservoirs\CHP_BASILLAS</t>
  </si>
  <si>
    <t>MAGDALENA_ALTO_T2\Reservoirs\CHP_BATEAS</t>
  </si>
  <si>
    <t>TIGUI\Reservoirs\CHP_BELLAVISTA</t>
  </si>
  <si>
    <t>SUMAPAZ\Reservoirs\CHP_BOQUERON</t>
  </si>
  <si>
    <t>CABRERA\Reservoirs\CHP_BUENOS_AIRES</t>
  </si>
  <si>
    <t>SAMANA\Reservoirs\CHP_BUTANTAN</t>
  </si>
  <si>
    <t>SUAREZ\Reservoirs\CHP_CABRERA</t>
  </si>
  <si>
    <t>MAGDALENA_MEDIO_T1\Reservoirs\CHP_CAMBAO</t>
  </si>
  <si>
    <t>CAUCA_MEDIO\Reservoirs\CHP_CANAFISTO</t>
  </si>
  <si>
    <t>MAGDALENA_MEDIO_T3\Reservoirs\CHP_CARARE</t>
  </si>
  <si>
    <t>MAGDALENA_MEDIO_T3\Reservoirs\CHP_CARBONERO</t>
  </si>
  <si>
    <t>MAGDALENA_MEDIO_T3\Reservoirs\CHP_CAROLINA</t>
  </si>
  <si>
    <t>MAGDALENA_ALTO_T2\Reservoirs\CHP_CARRASPOSO</t>
  </si>
  <si>
    <t>CHICAMOCHA\Reservoirs\CHP_CEPITA</t>
  </si>
  <si>
    <t>MINERO\Reservoirs\CHP_CHACIPAY</t>
  </si>
  <si>
    <t>NECHI\Reservoirs\CHP_CHAGUALO</t>
  </si>
  <si>
    <t>MAGDALENA_ALTO\Reservoirs\CHP_CHILLURCO</t>
  </si>
  <si>
    <t>SAN_JORGE\Reservoirs\CHP_CHIMURRO</t>
  </si>
  <si>
    <t>COCORNA A\Reservoirs\CHP_COCORNA</t>
  </si>
  <si>
    <t>SALDANA\Reservoirs\CHP_COYAIMA</t>
  </si>
  <si>
    <t>SAN_ANDRES\Reservoirs\CHP_CUERQUIA</t>
  </si>
  <si>
    <t>OPON\Reservoirs\CHP_EL_INDIO</t>
  </si>
  <si>
    <t>MAGDALENA_ALTO\Reservoirs\CHP_EL_JUNCAL</t>
  </si>
  <si>
    <t>MAGDALENA_ALTO\Reservoirs\CHP_EL_MANSO</t>
  </si>
  <si>
    <t>SALDANA\Reservoirs\CHP_EL_NEME</t>
  </si>
  <si>
    <t>CHICAMOCHA\Reservoirs\CHP_EL_TABLON</t>
  </si>
  <si>
    <t>CAUCA_BAJO\Reservoirs\CHP_ESPIRITU SANTO</t>
  </si>
  <si>
    <t>CAUCA_MEDIO\Reservoirs\CHP_FARALLONES</t>
  </si>
  <si>
    <t>SOGAMOSO\Reservoirs\CHP_FILO_CRISTAL</t>
  </si>
  <si>
    <t>FONCE\Reservoirs\CHP_FONCE</t>
  </si>
  <si>
    <t>MINERO\Reservoirs\CHP_FURATENA</t>
  </si>
  <si>
    <t>SAN_BARTOLO\Reservoirs\CHP_GUAIRA</t>
  </si>
  <si>
    <t>SUAREZ\Reservoirs\CHP_GUANE</t>
  </si>
  <si>
    <t>MAGDALENA_ALTO\Reservoirs\CHP_GUARAPO</t>
  </si>
  <si>
    <t>SAN_BARTOLO\Reservoirs\CHP_GUARQUINA</t>
  </si>
  <si>
    <t>SAN_JUAN\Reservoirs\CHP_HISPANIA</t>
  </si>
  <si>
    <t>MAGDALENA_MEDIO_T1\Reservoirs\CHP_HONDA</t>
  </si>
  <si>
    <t>HORTA\Reservoirs\CHP_HORTA</t>
  </si>
  <si>
    <t>SUMAPAZ\Reservoirs\CHP_ICONONZO</t>
  </si>
  <si>
    <t>NARANJOS\Reservoirs\CHP_ISNOS</t>
  </si>
  <si>
    <t>CAUCA_ALTO\Reservoirs\CHP_JULUMITO</t>
  </si>
  <si>
    <t>LA_VIEJA\Reservoirs\CHP_LA VIEJA</t>
  </si>
  <si>
    <t>LAGUNILLAS\Reservoirs\CHP_LAGUNILLA</t>
  </si>
  <si>
    <t>MAGDALENA_MEDIO_T1\Reservoirs\CHP_LAME</t>
  </si>
  <si>
    <t>SUMAPAZ\Reservoirs\CHP_LA_CASCADA</t>
  </si>
  <si>
    <t>MAGDALENA_MEDIO_T1\Reservoirs\CHP_LA_CHAMBA</t>
  </si>
  <si>
    <t>MAGDALENA_MEDIO_T3\Reservoirs\CHP_LA_DORADA</t>
  </si>
  <si>
    <t>MIEL\Reservoirs\CHP_LA_MIEL_II</t>
  </si>
  <si>
    <t>LA_PLATA\Reservoirs\CHP_LA_PLATA</t>
  </si>
  <si>
    <t>SUMAPAZ\Reservoirs\CHP_LA_PLAYA</t>
  </si>
  <si>
    <t>GUARINO\Reservoirs\CHP_LA_SUECIA</t>
  </si>
  <si>
    <t>LEBRIJA\Reservoirs\CHP_LEBRIJA</t>
  </si>
  <si>
    <t>SUAREZ\Reservoirs\CHP_MAMARUCO</t>
  </si>
  <si>
    <t>MAGDALENA_MEDIO_T3\Reservoirs\CHP_MARANAL</t>
  </si>
  <si>
    <t>PORCE\Reservoirs\CHP_MAYABA</t>
  </si>
  <si>
    <t>MAGDALENA_MEDIO_T1\Reservoirs\CHP_NARINO</t>
  </si>
  <si>
    <t>MAGDALENA_MEDIO_T1\Reservoirs\CHP_NATAGAIMA</t>
  </si>
  <si>
    <t>NUS\Reservoirs\CHP_NUS</t>
  </si>
  <si>
    <t>SALDANA\Reservoirs\CHP_OMBALE</t>
  </si>
  <si>
    <t>MAGDALENA_ALTO\Reservoirs\CHP_OPORAPA</t>
  </si>
  <si>
    <t>PAEZ\Reservoirs\CHP_PAEZ</t>
  </si>
  <si>
    <t>PAEZ\Reservoirs\CHP_PAICOL</t>
  </si>
  <si>
    <t>SALDANA\Reservoirs\CHP_PALMALARGA</t>
  </si>
  <si>
    <t>SAN_BARTOLO\Reservoirs\CHP_PALMERA</t>
  </si>
  <si>
    <t>MAGDALENA_MEDIO_T3\Reservoirs\CHP_PATAGON</t>
  </si>
  <si>
    <t>MAGDALENA_ALTO\Reservoirs\CHP_PERICONGO</t>
  </si>
  <si>
    <t>FONCE\Reservoirs\CHP_PIEDRA DEL SOL</t>
  </si>
  <si>
    <t>MAGDALENA_MEDIO_T3\Reservoirs\CHP_PIEDRAS_NEGRAS</t>
  </si>
  <si>
    <t>PORCE\Reservoirs\CHP_PORCE_4</t>
  </si>
  <si>
    <t>CALDERA_SAMANA NORTE\Reservoirs\CHP_PORVENIR 1</t>
  </si>
  <si>
    <t>CALDERA_SAMANA NORTE\Reservoirs\CHP_PORVENIR 2</t>
  </si>
  <si>
    <t>SAMANA\Reservoirs\CHP_PUENTE_LINDA</t>
  </si>
  <si>
    <t>RIACHON\Reservoirs\CHP_RIACHON</t>
  </si>
  <si>
    <t>MAGDALENA_MEDIO_T1\Reservoirs\CHP_RICAURTE</t>
  </si>
  <si>
    <t>RISARALDA\Reservoirs\CHP_RISARALDA</t>
  </si>
  <si>
    <t>MINERO\Reservoirs\CHP_SAMAL</t>
  </si>
  <si>
    <t>SAMANA\Reservoirs\CHP_SAMANA_MEDIO</t>
  </si>
  <si>
    <t>SANTO_DOMINGO\Reservoirs\CHP_SANTO_DOMINGO</t>
  </si>
  <si>
    <t>MANSO\Reservoirs\CHP_SAN_DIEGO</t>
  </si>
  <si>
    <t>SAN_JUAN\Reservoirs\CHP_SAN_JUAN</t>
  </si>
  <si>
    <t>SUAREZ\Reservoirs\CHP_SIMACOTA</t>
  </si>
  <si>
    <t>CHICAMOCHA\Reservoirs\CHP_SOCOTA</t>
  </si>
  <si>
    <t>TAMAR\Reservoirs\CHP_TAMAR</t>
  </si>
  <si>
    <t>CAUCA_ALTO\Reservoirs\CHP_TIMBA</t>
  </si>
  <si>
    <t>CAUCA_BAJO\Reservoirs\CHP_TOLOSO</t>
  </si>
  <si>
    <t>OPON\Reservoirs\CHP_TROYA</t>
  </si>
  <si>
    <t>NECHI\Reservoirs\CHP_VALDIVIA</t>
  </si>
  <si>
    <t>MAGDALENA_ALTO_T2\Reservoirs\CHP_VERAGUAS</t>
  </si>
  <si>
    <t>MAGDALENA_MEDIO_T1\Reservoirs\CHP_VIGUA</t>
  </si>
  <si>
    <t>MAGDALENA_MEDIO_T3\Reservoirs\CHP_WILCHES</t>
  </si>
  <si>
    <t>CAUCA_MEDIO\Reservoirs\CHP_XARRAPA</t>
  </si>
  <si>
    <t>MAGDALENA_MEDIO_T3\Reservoirs\CHP_YONDO</t>
  </si>
  <si>
    <t>MINERO\Reservoirs\CHP_YUTARO</t>
  </si>
  <si>
    <t>MAGDALENA_ALTO\Reservoirs\CH_BETANIA</t>
  </si>
  <si>
    <t>CALDERA\Reservoirs\CH_CALDERAS</t>
  </si>
  <si>
    <t>CAUCA_ALTO\Reservoirs\CH_FLORIDA 2</t>
  </si>
  <si>
    <t>CAUCA_BAJO\Reservoirs\CH_ITUANGO</t>
  </si>
  <si>
    <t>NARE\Reservoirs\CH_JAGUAS_SAN LORENZO</t>
  </si>
  <si>
    <t>MIEL\Reservoirs\CH_MIEL</t>
  </si>
  <si>
    <t>LEBRIJA\Reservoirs\CH_PALMAS</t>
  </si>
  <si>
    <t>NEGRO_GUATAP\Reservoirs\CH_PENOL_GUATAPE</t>
  </si>
  <si>
    <t>GUATAPE\Reservoirs\CH_PLAYAS</t>
  </si>
  <si>
    <t>MEDELLIN\Reservoirs\CH_PORCE_2</t>
  </si>
  <si>
    <t>PORCE\Reservoirs\CH_PORCE_3</t>
  </si>
  <si>
    <t>PRADO\Reservoirs\CH_PRADO</t>
  </si>
  <si>
    <t>MAGDALENA_ALTO\Reservoirs\CH_QUIMBO</t>
  </si>
  <si>
    <t>CAUCA_ALTO\Reservoirs\CH_SALVAJINA</t>
  </si>
  <si>
    <t>GUATAPE\Reservoirs\CH_SAN CARLOS_PUNCHINA</t>
  </si>
  <si>
    <t>DV_SAN_FRANCISCO\Reservoirs\CH_SAN_FRANCISCO</t>
  </si>
  <si>
    <t>CALDERA\Reservoirs\CH_SAN_MIGUEL</t>
  </si>
  <si>
    <t>SOGAMOSO\Reservoirs\CH_SOGAMOSO</t>
  </si>
  <si>
    <t>PORCE\Reservoirs\CH_TRONERAS</t>
  </si>
  <si>
    <t>TENCHE\Reservoirs\E_MIRAFLORES</t>
  </si>
  <si>
    <t>MUNA\Reservoirs\E_MUNA</t>
  </si>
  <si>
    <t>EL_BOSQUE\Reservoirs\E_NEUSA</t>
  </si>
  <si>
    <t>GRANDE\Reservoirs\E_RIOGRANDE_2</t>
  </si>
  <si>
    <t>SAN_RAFAEL\Reservoirs\E_SAN RAFAEL</t>
  </si>
  <si>
    <t>GRANADILLO\Reservoirs\E_SISGA</t>
  </si>
  <si>
    <t>AVES\Reservoirs\E_TOMINE</t>
  </si>
  <si>
    <t>SAN_ANDRES\Run of River Hydro\CHP_EL PALMAR</t>
  </si>
  <si>
    <t>AMOYA\Run of River Hydro\CH_AMOYA</t>
  </si>
  <si>
    <t>DV_CADENA1\Run of River Hydro\CH_CADENA1_CASALACO</t>
  </si>
  <si>
    <t>DV_PAGUA\Run of River Hydro\CH_CADENA2_PAGUA</t>
  </si>
  <si>
    <t>ARMA\Run of River Hydro\CH_CANAVERAL</t>
  </si>
  <si>
    <t>MEDELLIN\Run of River Hydro\CH_CARLOS LLERAS</t>
  </si>
  <si>
    <t>CUCUANA\Run of River Hydro\CH_CUCUANA</t>
  </si>
  <si>
    <t>ARMA\Run of River Hydro\CH_ENCIMADAS</t>
  </si>
  <si>
    <t>NEGRO_GUATAP\Run of River Hydro\CH_ESCUELA_MINAS</t>
  </si>
  <si>
    <t>GRANDE\Run of River Hydro\CH_RIOGRANDE1</t>
  </si>
  <si>
    <t>NEGRO_M\Run of River Hydro\CH_RIONEGRO</t>
  </si>
  <si>
    <t>DV TASAJERA\Run of River Hydro\CH_TASAJERA</t>
  </si>
  <si>
    <t>ET Actual</t>
  </si>
  <si>
    <t>Average</t>
  </si>
  <si>
    <t>Base flow</t>
  </si>
  <si>
    <t>Surface Runoff</t>
  </si>
  <si>
    <t>Interflow</t>
  </si>
  <si>
    <t>Total Base flow</t>
  </si>
  <si>
    <t>Total Surface Runoff</t>
  </si>
  <si>
    <t>Total Interflow</t>
  </si>
  <si>
    <t>BaseFlow_Index</t>
  </si>
  <si>
    <t>UserType</t>
  </si>
  <si>
    <t>Sum</t>
  </si>
  <si>
    <t>Min</t>
  </si>
  <si>
    <t>Max</t>
  </si>
  <si>
    <t>Read data for all periods?</t>
  </si>
  <si>
    <t>Precipitation</t>
  </si>
  <si>
    <t>Percentile X</t>
  </si>
  <si>
    <t>DirectExport</t>
  </si>
  <si>
    <t>Total Precipitation</t>
  </si>
  <si>
    <t>Percentile 10</t>
  </si>
  <si>
    <t>Base flow_Reference</t>
  </si>
  <si>
    <t>Surface Runoff_Reference</t>
  </si>
  <si>
    <t>Interflow_Reference</t>
  </si>
  <si>
    <t>ET Actual_Reference</t>
  </si>
  <si>
    <t>WaTT_Tutorial</t>
  </si>
  <si>
    <t>Supply and Resources\River\Blue River\Reaches\Below Blue River Runoff</t>
  </si>
  <si>
    <t>Percentile 90</t>
  </si>
  <si>
    <t>Reservoir</t>
  </si>
  <si>
    <t>Demand Sites and Catchments\Catchment 1</t>
  </si>
  <si>
    <t>Demand Sites and Catchments\Catchment 2</t>
  </si>
  <si>
    <t>Demand Sites and Catchments\Catchment 3</t>
  </si>
  <si>
    <t>Demand Sites and Catchments\Catchment 4</t>
  </si>
  <si>
    <t>Demand Sites and Catchments\Catchment 5</t>
  </si>
  <si>
    <t>Supply and Resources\River\Blue River\Reaches\Below Blue River Headflow</t>
  </si>
  <si>
    <t>Supply and Resources\River\Blue River\Reaches\Below Catchment 1 Runoff</t>
  </si>
  <si>
    <t>Supply and Resources\River\Blue River\Reaches\Below Catchment 3 Runoff</t>
  </si>
  <si>
    <t>Supply and Resources\River\Green River\Reaches\Below Green River Headflow</t>
  </si>
  <si>
    <t>Supply and Resources\River\Blue River\Reaches\Below Green River Inflow</t>
  </si>
  <si>
    <t>Supply and Resources\River\Green River\Reaches\Below Green River Runoff</t>
  </si>
  <si>
    <t>Supply and Resources\River\Red River\Reaches\Below Red River Headflow</t>
  </si>
  <si>
    <t>Supply and Resources\River\Blue River\Reaches\Below Red River Inflow</t>
  </si>
  <si>
    <t>Supply and Resources\River\Red River\Reaches\Below Red River Runoff</t>
  </si>
  <si>
    <t>Supply and Resources\River\Blue River\Reaches\Below Reservoir 1</t>
  </si>
  <si>
    <t>Catchment 5</t>
  </si>
  <si>
    <t>Below Blue River Runoff</t>
  </si>
  <si>
    <t>Catchment 4</t>
  </si>
  <si>
    <t>Below Green River Runoff</t>
  </si>
  <si>
    <t>Catchment 2</t>
  </si>
  <si>
    <t>Below Red River Runoff</t>
  </si>
  <si>
    <t>Catchment 1</t>
  </si>
  <si>
    <t>Below Catchment 1 Runoff</t>
  </si>
  <si>
    <t>Catchment 3</t>
  </si>
  <si>
    <t>Below Catchment 3 Runoff</t>
  </si>
  <si>
    <t>Below Blue River Headflow</t>
  </si>
  <si>
    <t>Catchment 1 Runoff</t>
  </si>
  <si>
    <t>Red River Inflow</t>
  </si>
  <si>
    <t>Below Red River Inflow</t>
  </si>
  <si>
    <t>Catchment 3 Runoff</t>
  </si>
  <si>
    <t>Green River Inflow</t>
  </si>
  <si>
    <t>Below Green River Inflow</t>
  </si>
  <si>
    <t>Reservoir 1</t>
  </si>
  <si>
    <t>Below Reservoir 1</t>
  </si>
  <si>
    <t>Blue River Runoff</t>
  </si>
  <si>
    <t>Below Green River Headflow</t>
  </si>
  <si>
    <t>Green River Runoff</t>
  </si>
  <si>
    <t>Below Red River Headflow</t>
  </si>
  <si>
    <t>Red River Runoff</t>
  </si>
  <si>
    <t>Supply and Resources\River\Blue River\Reservoirs\Reservoir 1</t>
  </si>
  <si>
    <t>Total ET Actual</t>
  </si>
  <si>
    <t>(Todas)</t>
  </si>
  <si>
    <t>Streamflow [CMS]</t>
  </si>
  <si>
    <t>Total Streamflow [CMS]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</si>
</sst>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0000000"/>
    <numFmt numFmtId="165" formatCode="0.0000"/>
    <numFmt numFmtId="166" formatCode="0.00000"/>
    <numFmt numFmtId="167" formatCode="0.000000000"/>
  </numFmts>
  <fonts count="4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20"/>
      <color theme="1"/>
      <name val="AriL"/>
    </font>
    <font>
      <sz val="11"/>
      <color theme="1"/>
      <name val="AriL"/>
    </font>
    <font>
      <b/>
      <sz val="10"/>
      <name val="Arial Narrow"/>
      <family val="2"/>
    </font>
    <font>
      <sz val="8"/>
      <name val="Arial Narrow"/>
      <family val="2"/>
    </font>
    <font>
      <b/>
      <sz val="14"/>
      <name val="Arial Narrow"/>
      <family val="2"/>
    </font>
    <font>
      <sz val="10"/>
      <name val="Arial Narrow"/>
      <family val="2"/>
    </font>
    <font>
      <b/>
      <sz val="8"/>
      <name val="Arial Narrow"/>
      <family val="2"/>
    </font>
    <font>
      <b/>
      <sz val="11"/>
      <color rgb="FFFF0000"/>
      <name val="AriL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sz val="8"/>
      <name val="Calibri"/>
      <family val="2"/>
      <scheme val="minor"/>
    </font>
    <font>
      <b/>
      <sz val="14"/>
      <color rgb="FF000000"/>
      <name val="Calibri"/>
      <family val="2"/>
    </font>
    <font>
      <b/>
      <sz val="12"/>
      <color rgb="FF000000"/>
      <name val="Arial"/>
      <family val="2"/>
    </font>
    <font>
      <sz val="10"/>
      <color rgb="FFFF0000"/>
      <name val="Arial Narrow"/>
      <family val="2"/>
    </font>
    <font>
      <b/>
      <sz val="8"/>
      <color rgb="FFFF0000"/>
      <name val="Arial Narrow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7">
    <xf numFmtId="0" fontId="0" fillId="0" borderId="0" xfId="0"/>
    <xf numFmtId="0" fontId="16" fillId="0" borderId="0" xfId="0" applyFont="1"/>
    <xf numFmtId="0" fontId="16" fillId="0" borderId="0" xfId="0" applyFont="1" applyAlignment="1">
      <alignment wrapText="1"/>
    </xf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1" fontId="0" fillId="33" borderId="0" xfId="0" applyNumberFormat="1" applyFill="1"/>
    <xf numFmtId="1" fontId="16" fillId="34" borderId="0" xfId="0" applyNumberFormat="1" applyFont="1" applyFill="1"/>
    <xf numFmtId="1" fontId="0" fillId="35" borderId="0" xfId="0" applyNumberFormat="1" applyFill="1"/>
    <xf numFmtId="1" fontId="0" fillId="36" borderId="0" xfId="0" applyNumberFormat="1" applyFill="1"/>
    <xf numFmtId="1" fontId="0" fillId="37" borderId="0" xfId="0" applyNumberFormat="1" applyFill="1"/>
    <xf numFmtId="0" fontId="0" fillId="38" borderId="0" xfId="0" applyFill="1"/>
    <xf numFmtId="0" fontId="16" fillId="38" borderId="0" xfId="0" applyFont="1" applyFill="1"/>
    <xf numFmtId="0" fontId="18" fillId="0" borderId="0" xfId="0" applyFont="1"/>
    <xf numFmtId="0" fontId="0" fillId="0" borderId="0" xfId="0" quotePrefix="1"/>
    <xf numFmtId="0" fontId="16" fillId="0" borderId="0" xfId="0" applyFont="1" applyAlignment="1">
      <alignment horizontal="center"/>
    </xf>
    <xf numFmtId="0" fontId="0" fillId="39" borderId="0" xfId="0" applyFill="1"/>
    <xf numFmtId="0" fontId="16" fillId="40" borderId="0" xfId="0" applyFont="1" applyFill="1" applyAlignment="1">
      <alignment horizontal="center"/>
    </xf>
    <xf numFmtId="0" fontId="0" fillId="41" borderId="0" xfId="0" applyFill="1"/>
    <xf numFmtId="0" fontId="0" fillId="34" borderId="0" xfId="0" applyFill="1"/>
    <xf numFmtId="0" fontId="16" fillId="42" borderId="0" xfId="0" applyFont="1" applyFill="1"/>
    <xf numFmtId="0" fontId="19" fillId="0" borderId="0" xfId="0" applyFont="1"/>
    <xf numFmtId="0" fontId="0" fillId="0" borderId="10" xfId="0" applyBorder="1"/>
    <xf numFmtId="0" fontId="21" fillId="0" borderId="10" xfId="0" applyFont="1" applyBorder="1"/>
    <xf numFmtId="0" fontId="18" fillId="0" borderId="10" xfId="0" applyFont="1" applyBorder="1"/>
    <xf numFmtId="0" fontId="0" fillId="0" borderId="0" xfId="0" applyAlignment="1">
      <alignment wrapText="1"/>
    </xf>
    <xf numFmtId="0" fontId="22" fillId="0" borderId="10" xfId="0" applyFont="1" applyBorder="1"/>
    <xf numFmtId="0" fontId="23" fillId="0" borderId="10" xfId="0" applyFont="1" applyBorder="1"/>
    <xf numFmtId="0" fontId="0" fillId="43" borderId="0" xfId="0" applyFill="1"/>
    <xf numFmtId="0" fontId="25" fillId="0" borderId="0" xfId="0" applyFont="1"/>
    <xf numFmtId="0" fontId="26" fillId="0" borderId="0" xfId="0" applyFont="1"/>
    <xf numFmtId="0" fontId="27" fillId="44" borderId="11" xfId="0" applyFont="1" applyFill="1" applyBorder="1"/>
    <xf numFmtId="2" fontId="31" fillId="34" borderId="11" xfId="0" applyNumberFormat="1" applyFont="1" applyFill="1" applyBorder="1" applyAlignment="1">
      <alignment horizontal="center"/>
    </xf>
    <xf numFmtId="0" fontId="27" fillId="0" borderId="0" xfId="0" applyFont="1"/>
    <xf numFmtId="2" fontId="28" fillId="0" borderId="0" xfId="0" applyNumberFormat="1" applyFont="1" applyAlignment="1">
      <alignment horizontal="right"/>
    </xf>
    <xf numFmtId="2" fontId="30" fillId="45" borderId="11" xfId="0" applyNumberFormat="1" applyFont="1" applyFill="1" applyBorder="1" applyAlignment="1">
      <alignment horizontal="right"/>
    </xf>
    <xf numFmtId="0" fontId="30" fillId="45" borderId="11" xfId="0" applyFont="1" applyFill="1" applyBorder="1"/>
    <xf numFmtId="0" fontId="30" fillId="45" borderId="13" xfId="0" applyFont="1" applyFill="1" applyBorder="1"/>
    <xf numFmtId="0" fontId="30" fillId="0" borderId="0" xfId="0" applyFont="1"/>
    <xf numFmtId="0" fontId="32" fillId="0" borderId="0" xfId="0" applyFont="1"/>
    <xf numFmtId="0" fontId="26" fillId="0" borderId="0" xfId="0" quotePrefix="1" applyFont="1" applyAlignment="1">
      <alignment vertical="center" wrapText="1"/>
    </xf>
    <xf numFmtId="0" fontId="35" fillId="0" borderId="0" xfId="0" applyFont="1"/>
    <xf numFmtId="0" fontId="0" fillId="0" borderId="0" xfId="0" applyAlignment="1">
      <alignment horizontal="center"/>
    </xf>
    <xf numFmtId="0" fontId="36" fillId="0" borderId="0" xfId="0" applyFont="1" applyAlignment="1">
      <alignment vertical="center"/>
    </xf>
    <xf numFmtId="0" fontId="37" fillId="0" borderId="0" xfId="0" applyFont="1"/>
    <xf numFmtId="0" fontId="0" fillId="0" borderId="0" xfId="0" applyAlignment="1">
      <alignment horizontal="left"/>
    </xf>
    <xf numFmtId="0" fontId="16" fillId="46" borderId="14" xfId="0" applyFont="1" applyFill="1" applyBorder="1"/>
    <xf numFmtId="0" fontId="16" fillId="46" borderId="14" xfId="0" applyFont="1" applyFill="1" applyBorder="1" applyAlignment="1">
      <alignment horizontal="center"/>
    </xf>
    <xf numFmtId="2" fontId="16" fillId="46" borderId="14" xfId="0" applyNumberFormat="1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6" fillId="47" borderId="0" xfId="6" applyFill="1" applyAlignment="1">
      <alignment horizontal="center" vertical="center" wrapText="1"/>
    </xf>
    <xf numFmtId="2" fontId="0" fillId="0" borderId="0" xfId="0" applyNumberFormat="1" applyAlignment="1">
      <alignment horizontal="center"/>
    </xf>
    <xf numFmtId="2" fontId="6" fillId="2" borderId="0" xfId="6" applyNumberFormat="1" applyAlignment="1">
      <alignment horizontal="center" vertical="center" wrapText="1"/>
    </xf>
    <xf numFmtId="0" fontId="6" fillId="45" borderId="0" xfId="6" applyFill="1" applyAlignment="1">
      <alignment horizontal="center" vertical="center" wrapText="1"/>
    </xf>
    <xf numFmtId="1" fontId="14" fillId="0" borderId="0" xfId="0" applyNumberFormat="1" applyFont="1"/>
    <xf numFmtId="2" fontId="14" fillId="0" borderId="0" xfId="0" applyNumberFormat="1" applyFont="1"/>
    <xf numFmtId="1" fontId="14" fillId="35" borderId="0" xfId="0" applyNumberFormat="1" applyFont="1" applyFill="1"/>
    <xf numFmtId="1" fontId="14" fillId="33" borderId="0" xfId="0" applyNumberFormat="1" applyFont="1" applyFill="1"/>
    <xf numFmtId="1" fontId="14" fillId="36" borderId="0" xfId="0" applyNumberFormat="1" applyFont="1" applyFill="1"/>
    <xf numFmtId="164" fontId="14" fillId="0" borderId="0" xfId="0" applyNumberFormat="1" applyFont="1"/>
    <xf numFmtId="1" fontId="14" fillId="37" borderId="0" xfId="0" applyNumberFormat="1" applyFont="1" applyFill="1"/>
    <xf numFmtId="0" fontId="14" fillId="0" borderId="0" xfId="0" applyFont="1"/>
    <xf numFmtId="0" fontId="6" fillId="0" borderId="0" xfId="6" applyFill="1" applyAlignment="1">
      <alignment horizontal="center" vertical="center" wrapText="1"/>
    </xf>
    <xf numFmtId="0" fontId="0" fillId="48" borderId="0" xfId="0" applyFill="1" applyAlignment="1">
      <alignment horizontal="left"/>
    </xf>
    <xf numFmtId="0" fontId="0" fillId="0" borderId="15" xfId="0" applyBorder="1"/>
    <xf numFmtId="0" fontId="35" fillId="0" borderId="16" xfId="0" applyFont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29" fillId="0" borderId="0" xfId="0" applyFont="1"/>
    <xf numFmtId="0" fontId="0" fillId="0" borderId="19" xfId="0" applyBorder="1"/>
    <xf numFmtId="0" fontId="0" fillId="0" borderId="20" xfId="0" applyBorder="1"/>
    <xf numFmtId="0" fontId="35" fillId="0" borderId="21" xfId="0" applyFont="1" applyBorder="1"/>
    <xf numFmtId="0" fontId="0" fillId="0" borderId="21" xfId="0" applyBorder="1"/>
    <xf numFmtId="0" fontId="0" fillId="0" borderId="22" xfId="0" applyBorder="1"/>
    <xf numFmtId="0" fontId="16" fillId="46" borderId="14" xfId="0" applyFont="1" applyFill="1" applyBorder="1" applyAlignment="1">
      <alignment horizontal="center" vertical="center" wrapText="1"/>
    </xf>
    <xf numFmtId="2" fontId="16" fillId="46" borderId="14" xfId="0" applyNumberFormat="1" applyFont="1" applyFill="1" applyBorder="1" applyAlignment="1">
      <alignment horizontal="center" vertical="center" wrapText="1"/>
    </xf>
    <xf numFmtId="1" fontId="16" fillId="46" borderId="14" xfId="0" applyNumberFormat="1" applyFont="1" applyFill="1" applyBorder="1" applyAlignment="1">
      <alignment horizontal="center" vertical="center" wrapText="1"/>
    </xf>
    <xf numFmtId="2" fontId="0" fillId="0" borderId="0" xfId="42" applyNumberFormat="1" applyFont="1"/>
    <xf numFmtId="0" fontId="41" fillId="45" borderId="11" xfId="0" applyFont="1" applyFill="1" applyBorder="1"/>
    <xf numFmtId="0" fontId="6" fillId="45" borderId="23" xfId="6" applyFill="1" applyBorder="1" applyAlignment="1">
      <alignment horizontal="center" vertical="center" wrapText="1"/>
    </xf>
    <xf numFmtId="0" fontId="6" fillId="45" borderId="0" xfId="6" applyFill="1" applyBorder="1" applyAlignment="1">
      <alignment horizontal="center" vertical="center" wrapText="1"/>
    </xf>
    <xf numFmtId="0" fontId="16" fillId="0" borderId="23" xfId="0" applyFont="1" applyBorder="1"/>
    <xf numFmtId="1" fontId="30" fillId="45" borderId="12" xfId="0" applyNumberFormat="1" applyFont="1" applyFill="1" applyBorder="1" applyAlignment="1">
      <alignment horizontal="left"/>
    </xf>
    <xf numFmtId="0" fontId="37" fillId="49" borderId="0" xfId="0" applyFont="1" applyFill="1"/>
    <xf numFmtId="0" fontId="6" fillId="45" borderId="0" xfId="6" applyNumberFormat="1" applyFill="1" applyAlignment="1">
      <alignment horizontal="center" vertical="center" wrapText="1"/>
    </xf>
    <xf numFmtId="0" fontId="16" fillId="49" borderId="0" xfId="0" applyFont="1" applyFill="1"/>
    <xf numFmtId="0" fontId="30" fillId="49" borderId="11" xfId="0" applyFont="1" applyFill="1" applyBorder="1"/>
    <xf numFmtId="1" fontId="30" fillId="49" borderId="12" xfId="0" applyNumberFormat="1" applyFont="1" applyFill="1" applyBorder="1" applyAlignment="1">
      <alignment horizontal="left"/>
    </xf>
    <xf numFmtId="0" fontId="0" fillId="0" borderId="0" xfId="0" pivotButton="1"/>
    <xf numFmtId="165" fontId="0" fillId="0" borderId="0" xfId="42" applyNumberFormat="1" applyFont="1"/>
    <xf numFmtId="9" fontId="0" fillId="0" borderId="0" xfId="42" applyFont="1"/>
    <xf numFmtId="0" fontId="14" fillId="0" borderId="16" xfId="0" applyFont="1" applyBorder="1"/>
    <xf numFmtId="2" fontId="42" fillId="34" borderId="11" xfId="0" applyNumberFormat="1" applyFont="1" applyFill="1" applyBorder="1" applyAlignment="1">
      <alignment horizontal="center"/>
    </xf>
    <xf numFmtId="1" fontId="41" fillId="45" borderId="12" xfId="0" applyNumberFormat="1" applyFont="1" applyFill="1" applyBorder="1" applyAlignment="1">
      <alignment horizontal="left"/>
    </xf>
    <xf numFmtId="1" fontId="41" fillId="49" borderId="12" xfId="0" applyNumberFormat="1" applyFont="1" applyFill="1" applyBorder="1" applyAlignment="1">
      <alignment horizontal="left"/>
    </xf>
    <xf numFmtId="0" fontId="14" fillId="0" borderId="21" xfId="0" applyFont="1" applyBorder="1"/>
    <xf numFmtId="1" fontId="0" fillId="0" borderId="0" xfId="42" applyNumberFormat="1" applyFont="1"/>
    <xf numFmtId="9" fontId="6" fillId="45" borderId="23" xfId="42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27" fillId="44" borderId="0" xfId="0" applyFont="1" applyFill="1"/>
    <xf numFmtId="0" fontId="30" fillId="45" borderId="0" xfId="0" applyFont="1" applyFill="1" applyAlignment="1">
      <alignment horizontal="right"/>
    </xf>
    <xf numFmtId="165" fontId="16" fillId="0" borderId="0" xfId="0" applyNumberFormat="1" applyFont="1" applyAlignment="1">
      <alignment horizontal="center"/>
    </xf>
    <xf numFmtId="166" fontId="16" fillId="46" borderId="0" xfId="43" applyNumberFormat="1" applyFont="1" applyFill="1" applyBorder="1" applyAlignment="1">
      <alignment horizontal="center" vertical="center" wrapText="1"/>
    </xf>
    <xf numFmtId="166" fontId="0" fillId="0" borderId="0" xfId="43" applyNumberFormat="1" applyFont="1"/>
    <xf numFmtId="165" fontId="0" fillId="0" borderId="0" xfId="0" applyNumberFormat="1"/>
    <xf numFmtId="167" fontId="0" fillId="0" borderId="0" xfId="0" applyNumberFormat="1"/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Moneda" xfId="43" builtinId="4"/>
    <cellStyle name="Neutral" xfId="8" builtinId="28" customBuiltin="1"/>
    <cellStyle name="Normal" xfId="0" builtinId="0"/>
    <cellStyle name="Notas" xfId="15" builtinId="10" customBuiltin="1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30480</xdr:rowOff>
        </xdr:from>
        <xdr:to>
          <xdr:col>11</xdr:col>
          <xdr:colOff>754380</xdr:colOff>
          <xdr:row>13</xdr:row>
          <xdr:rowOff>45720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3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WEAP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381001</xdr:colOff>
      <xdr:row>16</xdr:row>
      <xdr:rowOff>67236</xdr:rowOff>
    </xdr:from>
    <xdr:to>
      <xdr:col>12</xdr:col>
      <xdr:colOff>400370</xdr:colOff>
      <xdr:row>38</xdr:row>
      <xdr:rowOff>130541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3383" y="3283324"/>
          <a:ext cx="2392887" cy="37874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</xdr:row>
          <xdr:rowOff>160020</xdr:rowOff>
        </xdr:from>
        <xdr:to>
          <xdr:col>11</xdr:col>
          <xdr:colOff>754380</xdr:colOff>
          <xdr:row>8</xdr:row>
          <xdr:rowOff>182880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Water </a:t>
              </a: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Sources &gt; Users </a:t>
              </a: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Topology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7620</xdr:rowOff>
        </xdr:from>
        <xdr:to>
          <xdr:col>4</xdr:col>
          <xdr:colOff>0</xdr:colOff>
          <xdr:row>9</xdr:row>
          <xdr:rowOff>7620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Catchments -&gt; River</a:t>
              </a: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topology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206726</xdr:colOff>
      <xdr:row>4</xdr:row>
      <xdr:rowOff>620</xdr:rowOff>
    </xdr:from>
    <xdr:to>
      <xdr:col>9</xdr:col>
      <xdr:colOff>603849</xdr:colOff>
      <xdr:row>6</xdr:row>
      <xdr:rowOff>52686</xdr:rowOff>
    </xdr:to>
    <xdr:pic>
      <xdr:nvPicPr>
        <xdr:cNvPr id="3" name="Gráfico 2" descr="Agua con relleno sólid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06580" y="1871474"/>
          <a:ext cx="397123" cy="397123"/>
        </a:xfrm>
        <a:prstGeom prst="rect">
          <a:avLst/>
        </a:prstGeom>
      </xdr:spPr>
    </xdr:pic>
    <xdr:clientData/>
  </xdr:twoCellAnchor>
  <xdr:twoCellAnchor editAs="oneCell">
    <xdr:from>
      <xdr:col>11</xdr:col>
      <xdr:colOff>11862</xdr:colOff>
      <xdr:row>3</xdr:row>
      <xdr:rowOff>102439</xdr:rowOff>
    </xdr:from>
    <xdr:to>
      <xdr:col>11</xdr:col>
      <xdr:colOff>615609</xdr:colOff>
      <xdr:row>7</xdr:row>
      <xdr:rowOff>16174</xdr:rowOff>
    </xdr:to>
    <xdr:pic>
      <xdr:nvPicPr>
        <xdr:cNvPr id="5" name="Gráfico 4" descr="Grupo con relleno sóli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2121" y="1800765"/>
          <a:ext cx="603747" cy="6038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6</xdr:row>
          <xdr:rowOff>160020</xdr:rowOff>
        </xdr:from>
        <xdr:to>
          <xdr:col>7</xdr:col>
          <xdr:colOff>685800</xdr:colOff>
          <xdr:row>8</xdr:row>
          <xdr:rowOff>160020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4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River network </a:t>
              </a: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topology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657761</xdr:colOff>
      <xdr:row>3</xdr:row>
      <xdr:rowOff>156915</xdr:rowOff>
    </xdr:from>
    <xdr:to>
      <xdr:col>11</xdr:col>
      <xdr:colOff>8019</xdr:colOff>
      <xdr:row>5</xdr:row>
      <xdr:rowOff>160022</xdr:rowOff>
    </xdr:to>
    <xdr:sp macro="" textlink="">
      <xdr:nvSpPr>
        <xdr:cNvPr id="6" name="Forma libre: forma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345804" y="1585665"/>
          <a:ext cx="870663" cy="348164"/>
        </a:xfrm>
        <a:custGeom>
          <a:avLst/>
          <a:gdLst>
            <a:gd name="connsiteX0" fmla="*/ 0 w 870663"/>
            <a:gd name="connsiteY0" fmla="*/ 142861 h 348164"/>
            <a:gd name="connsiteX1" fmla="*/ 310334 w 870663"/>
            <a:gd name="connsiteY1" fmla="*/ 348002 h 348164"/>
            <a:gd name="connsiteX2" fmla="*/ 638443 w 870663"/>
            <a:gd name="connsiteY2" fmla="*/ 0 h 348164"/>
            <a:gd name="connsiteX3" fmla="*/ 870662 w 870663"/>
            <a:gd name="connsiteY3" fmla="*/ 210191 h 34816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870663" h="348164" extrusionOk="0">
              <a:moveTo>
                <a:pt x="0" y="142861"/>
              </a:moveTo>
              <a:cubicBezTo>
                <a:pt x="74729" y="123491"/>
                <a:pt x="36763" y="361233"/>
                <a:pt x="310334" y="348002"/>
              </a:cubicBezTo>
              <a:cubicBezTo>
                <a:pt x="723131" y="371703"/>
                <a:pt x="-227442" y="18570"/>
                <a:pt x="638443" y="0"/>
              </a:cubicBezTo>
              <a:cubicBezTo>
                <a:pt x="633156" y="153473"/>
                <a:pt x="624833" y="354204"/>
                <a:pt x="870662" y="210191"/>
              </a:cubicBezTo>
            </a:path>
          </a:pathLst>
        </a:custGeom>
        <a:noFill/>
        <a:ln w="50800">
          <a:solidFill>
            <a:srgbClr val="00B050">
              <a:alpha val="74000"/>
            </a:srgbClr>
          </a:solidFill>
          <a:prstDash val="solid"/>
          <a:headEnd type="oval"/>
          <a:tailEnd type="triangle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867902"/>
                    <a:gd name="connsiteY0" fmla="*/ 142861 h 348624"/>
                    <a:gd name="connsiteX1" fmla="*/ 309350 w 867902"/>
                    <a:gd name="connsiteY1" fmla="*/ 348002 h 348624"/>
                    <a:gd name="connsiteX2" fmla="*/ 636419 w 867902"/>
                    <a:gd name="connsiteY2" fmla="*/ 0 h 348624"/>
                    <a:gd name="connsiteX3" fmla="*/ 867902 w 867902"/>
                    <a:gd name="connsiteY3" fmla="*/ 210191 h 348624"/>
                    <a:gd name="connsiteX0" fmla="*/ 0 w 867902"/>
                    <a:gd name="connsiteY0" fmla="*/ 142861 h 348164"/>
                    <a:gd name="connsiteX1" fmla="*/ 309350 w 867902"/>
                    <a:gd name="connsiteY1" fmla="*/ 348002 h 348164"/>
                    <a:gd name="connsiteX2" fmla="*/ 636419 w 867902"/>
                    <a:gd name="connsiteY2" fmla="*/ 0 h 348164"/>
                    <a:gd name="connsiteX3" fmla="*/ 867902 w 867902"/>
                    <a:gd name="connsiteY3" fmla="*/ 210191 h 34816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</a:cxnLst>
                  <a:rect l="l" t="t" r="r" b="b"/>
                  <a:pathLst>
                    <a:path w="867902" h="348164" extrusionOk="0">
                      <a:moveTo>
                        <a:pt x="0" y="142861"/>
                      </a:moveTo>
                      <a:cubicBezTo>
                        <a:pt x="107142" y="143694"/>
                        <a:pt x="67313" y="349687"/>
                        <a:pt x="309350" y="348002"/>
                      </a:cubicBezTo>
                      <a:cubicBezTo>
                        <a:pt x="649702" y="356679"/>
                        <a:pt x="-145763" y="15988"/>
                        <a:pt x="636419" y="0"/>
                      </a:cubicBezTo>
                      <a:cubicBezTo>
                        <a:pt x="659019" y="126169"/>
                        <a:pt x="623387" y="351234"/>
                        <a:pt x="867902" y="210191"/>
                      </a:cubicBezTo>
                    </a:path>
                  </a:pathLst>
                </a:custGeom>
                <ask:type>
                  <ask:lineSketchCurved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257980</xdr:colOff>
      <xdr:row>2</xdr:row>
      <xdr:rowOff>302482</xdr:rowOff>
    </xdr:from>
    <xdr:to>
      <xdr:col>7</xdr:col>
      <xdr:colOff>369077</xdr:colOff>
      <xdr:row>6</xdr:row>
      <xdr:rowOff>150145</xdr:rowOff>
    </xdr:to>
    <xdr:grpSp>
      <xdr:nvGrpSpPr>
        <xdr:cNvPr id="10311" name="Grupo 10310">
          <a:extLst>
            <a:ext uri="{FF2B5EF4-FFF2-40B4-BE49-F238E27FC236}">
              <a16:creationId xmlns:a16="http://schemas.microsoft.com/office/drawing/2014/main" id="{00000000-0008-0000-0400-000047280000}"/>
            </a:ext>
          </a:extLst>
        </xdr:cNvPr>
        <xdr:cNvGrpSpPr/>
      </xdr:nvGrpSpPr>
      <xdr:grpSpPr>
        <a:xfrm rot="511002">
          <a:off x="3121858" y="1362656"/>
          <a:ext cx="1616626" cy="998946"/>
          <a:chOff x="4201430" y="3459408"/>
          <a:chExt cx="6512646" cy="4185536"/>
        </a:xfrm>
      </xdr:grpSpPr>
      <xdr:sp macro="" textlink="">
        <xdr:nvSpPr>
          <xdr:cNvPr id="24" name="Forma libre: forma 2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>
          <a:xfrm>
            <a:off x="9280434" y="5376982"/>
            <a:ext cx="19498" cy="159709"/>
          </a:xfrm>
          <a:custGeom>
            <a:avLst/>
            <a:gdLst>
              <a:gd name="connsiteX0" fmla="*/ 442 w 19498"/>
              <a:gd name="connsiteY0" fmla="*/ 307 h 156197"/>
              <a:gd name="connsiteX1" fmla="*/ 442 w 19498"/>
              <a:gd name="connsiteY1" fmla="*/ 19830 h 156197"/>
              <a:gd name="connsiteX2" fmla="*/ 442 w 19498"/>
              <a:gd name="connsiteY2" fmla="*/ 39355 h 156197"/>
              <a:gd name="connsiteX3" fmla="*/ 442 w 19498"/>
              <a:gd name="connsiteY3" fmla="*/ 58881 h 156197"/>
              <a:gd name="connsiteX4" fmla="*/ 19940 w 19498"/>
              <a:gd name="connsiteY4" fmla="*/ 78404 h 156197"/>
              <a:gd name="connsiteX5" fmla="*/ 19940 w 19498"/>
              <a:gd name="connsiteY5" fmla="*/ 97930 h 156197"/>
              <a:gd name="connsiteX6" fmla="*/ 442 w 19498"/>
              <a:gd name="connsiteY6" fmla="*/ 117453 h 156197"/>
              <a:gd name="connsiteX7" fmla="*/ 442 w 19498"/>
              <a:gd name="connsiteY7" fmla="*/ 136978 h 156197"/>
              <a:gd name="connsiteX8" fmla="*/ 442 w 19498"/>
              <a:gd name="connsiteY8" fmla="*/ 156504 h 1561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9498" h="156197">
                <a:moveTo>
                  <a:pt x="442" y="307"/>
                </a:moveTo>
                <a:lnTo>
                  <a:pt x="442" y="19830"/>
                </a:lnTo>
                <a:lnTo>
                  <a:pt x="442" y="39355"/>
                </a:lnTo>
                <a:lnTo>
                  <a:pt x="442" y="58881"/>
                </a:lnTo>
                <a:lnTo>
                  <a:pt x="19940" y="78404"/>
                </a:lnTo>
                <a:lnTo>
                  <a:pt x="19940" y="97930"/>
                </a:lnTo>
                <a:lnTo>
                  <a:pt x="442" y="117453"/>
                </a:lnTo>
                <a:lnTo>
                  <a:pt x="442" y="136978"/>
                </a:lnTo>
                <a:lnTo>
                  <a:pt x="442" y="156504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25" name="Forma libre: forma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8651408" y="3802916"/>
            <a:ext cx="234132" cy="1375303"/>
          </a:xfrm>
          <a:custGeom>
            <a:avLst/>
            <a:gdLst>
              <a:gd name="connsiteX0" fmla="*/ 19940 w 234132"/>
              <a:gd name="connsiteY0" fmla="*/ 307 h 1347200"/>
              <a:gd name="connsiteX1" fmla="*/ 39460 w 234132"/>
              <a:gd name="connsiteY1" fmla="*/ 19831 h 1347200"/>
              <a:gd name="connsiteX2" fmla="*/ 39460 w 234132"/>
              <a:gd name="connsiteY2" fmla="*/ 39356 h 1347200"/>
              <a:gd name="connsiteX3" fmla="*/ 39460 w 234132"/>
              <a:gd name="connsiteY3" fmla="*/ 58881 h 1347200"/>
              <a:gd name="connsiteX4" fmla="*/ 39460 w 234132"/>
              <a:gd name="connsiteY4" fmla="*/ 78405 h 1347200"/>
              <a:gd name="connsiteX5" fmla="*/ 39460 w 234132"/>
              <a:gd name="connsiteY5" fmla="*/ 97930 h 1347200"/>
              <a:gd name="connsiteX6" fmla="*/ 58981 w 234132"/>
              <a:gd name="connsiteY6" fmla="*/ 117455 h 1347200"/>
              <a:gd name="connsiteX7" fmla="*/ 58981 w 234132"/>
              <a:gd name="connsiteY7" fmla="*/ 136979 h 1347200"/>
              <a:gd name="connsiteX8" fmla="*/ 58981 w 234132"/>
              <a:gd name="connsiteY8" fmla="*/ 156504 h 1347200"/>
              <a:gd name="connsiteX9" fmla="*/ 58981 w 234132"/>
              <a:gd name="connsiteY9" fmla="*/ 176029 h 1347200"/>
              <a:gd name="connsiteX10" fmla="*/ 78479 w 234132"/>
              <a:gd name="connsiteY10" fmla="*/ 195553 h 1347200"/>
              <a:gd name="connsiteX11" fmla="*/ 78479 w 234132"/>
              <a:gd name="connsiteY11" fmla="*/ 215078 h 1347200"/>
              <a:gd name="connsiteX12" fmla="*/ 78479 w 234132"/>
              <a:gd name="connsiteY12" fmla="*/ 234603 h 1347200"/>
              <a:gd name="connsiteX13" fmla="*/ 78479 w 234132"/>
              <a:gd name="connsiteY13" fmla="*/ 254127 h 1347200"/>
              <a:gd name="connsiteX14" fmla="*/ 97999 w 234132"/>
              <a:gd name="connsiteY14" fmla="*/ 273651 h 1347200"/>
              <a:gd name="connsiteX15" fmla="*/ 97999 w 234132"/>
              <a:gd name="connsiteY15" fmla="*/ 293177 h 1347200"/>
              <a:gd name="connsiteX16" fmla="*/ 97999 w 234132"/>
              <a:gd name="connsiteY16" fmla="*/ 312702 h 1347200"/>
              <a:gd name="connsiteX17" fmla="*/ 97999 w 234132"/>
              <a:gd name="connsiteY17" fmla="*/ 332225 h 1347200"/>
              <a:gd name="connsiteX18" fmla="*/ 97999 w 234132"/>
              <a:gd name="connsiteY18" fmla="*/ 351751 h 1347200"/>
              <a:gd name="connsiteX19" fmla="*/ 97999 w 234132"/>
              <a:gd name="connsiteY19" fmla="*/ 371276 h 1347200"/>
              <a:gd name="connsiteX20" fmla="*/ 97999 w 234132"/>
              <a:gd name="connsiteY20" fmla="*/ 390799 h 1347200"/>
              <a:gd name="connsiteX21" fmla="*/ 97999 w 234132"/>
              <a:gd name="connsiteY21" fmla="*/ 410325 h 1347200"/>
              <a:gd name="connsiteX22" fmla="*/ 97999 w 234132"/>
              <a:gd name="connsiteY22" fmla="*/ 429850 h 1347200"/>
              <a:gd name="connsiteX23" fmla="*/ 97999 w 234132"/>
              <a:gd name="connsiteY23" fmla="*/ 449374 h 1347200"/>
              <a:gd name="connsiteX24" fmla="*/ 97999 w 234132"/>
              <a:gd name="connsiteY24" fmla="*/ 468899 h 1347200"/>
              <a:gd name="connsiteX25" fmla="*/ 97999 w 234132"/>
              <a:gd name="connsiteY25" fmla="*/ 488422 h 1347200"/>
              <a:gd name="connsiteX26" fmla="*/ 97999 w 234132"/>
              <a:gd name="connsiteY26" fmla="*/ 507948 h 1347200"/>
              <a:gd name="connsiteX27" fmla="*/ 97999 w 234132"/>
              <a:gd name="connsiteY27" fmla="*/ 527473 h 1347200"/>
              <a:gd name="connsiteX28" fmla="*/ 97999 w 234132"/>
              <a:gd name="connsiteY28" fmla="*/ 546997 h 1347200"/>
              <a:gd name="connsiteX29" fmla="*/ 97999 w 234132"/>
              <a:gd name="connsiteY29" fmla="*/ 566522 h 1347200"/>
              <a:gd name="connsiteX30" fmla="*/ 97999 w 234132"/>
              <a:gd name="connsiteY30" fmla="*/ 586048 h 1347200"/>
              <a:gd name="connsiteX31" fmla="*/ 97999 w 234132"/>
              <a:gd name="connsiteY31" fmla="*/ 605571 h 1347200"/>
              <a:gd name="connsiteX32" fmla="*/ 97999 w 234132"/>
              <a:gd name="connsiteY32" fmla="*/ 625096 h 1347200"/>
              <a:gd name="connsiteX33" fmla="*/ 97999 w 234132"/>
              <a:gd name="connsiteY33" fmla="*/ 644622 h 1347200"/>
              <a:gd name="connsiteX34" fmla="*/ 117497 w 234132"/>
              <a:gd name="connsiteY34" fmla="*/ 664145 h 1347200"/>
              <a:gd name="connsiteX35" fmla="*/ 117497 w 234132"/>
              <a:gd name="connsiteY35" fmla="*/ 683670 h 1347200"/>
              <a:gd name="connsiteX36" fmla="*/ 117497 w 234132"/>
              <a:gd name="connsiteY36" fmla="*/ 703194 h 1347200"/>
              <a:gd name="connsiteX37" fmla="*/ 117497 w 234132"/>
              <a:gd name="connsiteY37" fmla="*/ 722719 h 1347200"/>
              <a:gd name="connsiteX38" fmla="*/ 117497 w 234132"/>
              <a:gd name="connsiteY38" fmla="*/ 742245 h 1347200"/>
              <a:gd name="connsiteX39" fmla="*/ 117497 w 234132"/>
              <a:gd name="connsiteY39" fmla="*/ 761768 h 1347200"/>
              <a:gd name="connsiteX40" fmla="*/ 97999 w 234132"/>
              <a:gd name="connsiteY40" fmla="*/ 781293 h 1347200"/>
              <a:gd name="connsiteX41" fmla="*/ 97999 w 234132"/>
              <a:gd name="connsiteY41" fmla="*/ 800819 h 1347200"/>
              <a:gd name="connsiteX42" fmla="*/ 97999 w 234132"/>
              <a:gd name="connsiteY42" fmla="*/ 820342 h 1347200"/>
              <a:gd name="connsiteX43" fmla="*/ 78479 w 234132"/>
              <a:gd name="connsiteY43" fmla="*/ 839868 h 1347200"/>
              <a:gd name="connsiteX44" fmla="*/ 58981 w 234132"/>
              <a:gd name="connsiteY44" fmla="*/ 859391 h 1347200"/>
              <a:gd name="connsiteX45" fmla="*/ 39460 w 234132"/>
              <a:gd name="connsiteY45" fmla="*/ 878916 h 1347200"/>
              <a:gd name="connsiteX46" fmla="*/ 19940 w 234132"/>
              <a:gd name="connsiteY46" fmla="*/ 898442 h 1347200"/>
              <a:gd name="connsiteX47" fmla="*/ 19940 w 234132"/>
              <a:gd name="connsiteY47" fmla="*/ 917965 h 1347200"/>
              <a:gd name="connsiteX48" fmla="*/ 19940 w 234132"/>
              <a:gd name="connsiteY48" fmla="*/ 937491 h 1347200"/>
              <a:gd name="connsiteX49" fmla="*/ 442 w 234132"/>
              <a:gd name="connsiteY49" fmla="*/ 957016 h 1347200"/>
              <a:gd name="connsiteX50" fmla="*/ 442 w 234132"/>
              <a:gd name="connsiteY50" fmla="*/ 976539 h 1347200"/>
              <a:gd name="connsiteX51" fmla="*/ 442 w 234132"/>
              <a:gd name="connsiteY51" fmla="*/ 996065 h 1347200"/>
              <a:gd name="connsiteX52" fmla="*/ 442 w 234132"/>
              <a:gd name="connsiteY52" fmla="*/ 1015590 h 1347200"/>
              <a:gd name="connsiteX53" fmla="*/ 442 w 234132"/>
              <a:gd name="connsiteY53" fmla="*/ 1035114 h 1347200"/>
              <a:gd name="connsiteX54" fmla="*/ 442 w 234132"/>
              <a:gd name="connsiteY54" fmla="*/ 1054639 h 1347200"/>
              <a:gd name="connsiteX55" fmla="*/ 442 w 234132"/>
              <a:gd name="connsiteY55" fmla="*/ 1074162 h 1347200"/>
              <a:gd name="connsiteX56" fmla="*/ 19940 w 234132"/>
              <a:gd name="connsiteY56" fmla="*/ 1093688 h 1347200"/>
              <a:gd name="connsiteX57" fmla="*/ 39460 w 234132"/>
              <a:gd name="connsiteY57" fmla="*/ 1113213 h 1347200"/>
              <a:gd name="connsiteX58" fmla="*/ 58981 w 234132"/>
              <a:gd name="connsiteY58" fmla="*/ 1132736 h 1347200"/>
              <a:gd name="connsiteX59" fmla="*/ 78479 w 234132"/>
              <a:gd name="connsiteY59" fmla="*/ 1152262 h 1347200"/>
              <a:gd name="connsiteX60" fmla="*/ 97999 w 234132"/>
              <a:gd name="connsiteY60" fmla="*/ 1171787 h 1347200"/>
              <a:gd name="connsiteX61" fmla="*/ 117497 w 234132"/>
              <a:gd name="connsiteY61" fmla="*/ 1191311 h 1347200"/>
              <a:gd name="connsiteX62" fmla="*/ 137018 w 234132"/>
              <a:gd name="connsiteY62" fmla="*/ 1191311 h 1347200"/>
              <a:gd name="connsiteX63" fmla="*/ 156516 w 234132"/>
              <a:gd name="connsiteY63" fmla="*/ 1210836 h 1347200"/>
              <a:gd name="connsiteX64" fmla="*/ 176036 w 234132"/>
              <a:gd name="connsiteY64" fmla="*/ 1230362 h 1347200"/>
              <a:gd name="connsiteX65" fmla="*/ 176036 w 234132"/>
              <a:gd name="connsiteY65" fmla="*/ 1249885 h 1347200"/>
              <a:gd name="connsiteX66" fmla="*/ 176036 w 234132"/>
              <a:gd name="connsiteY66" fmla="*/ 1269410 h 1347200"/>
              <a:gd name="connsiteX67" fmla="*/ 195556 w 234132"/>
              <a:gd name="connsiteY67" fmla="*/ 1288934 h 1347200"/>
              <a:gd name="connsiteX68" fmla="*/ 215055 w 234132"/>
              <a:gd name="connsiteY68" fmla="*/ 1308459 h 1347200"/>
              <a:gd name="connsiteX69" fmla="*/ 215055 w 234132"/>
              <a:gd name="connsiteY69" fmla="*/ 1327985 h 1347200"/>
              <a:gd name="connsiteX70" fmla="*/ 234575 w 234132"/>
              <a:gd name="connsiteY70" fmla="*/ 1347508 h 1347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</a:cxnLst>
            <a:rect l="l" t="t" r="r" b="b"/>
            <a:pathLst>
              <a:path w="234132" h="1347200">
                <a:moveTo>
                  <a:pt x="19940" y="307"/>
                </a:moveTo>
                <a:lnTo>
                  <a:pt x="39460" y="19831"/>
                </a:lnTo>
                <a:lnTo>
                  <a:pt x="39460" y="39356"/>
                </a:lnTo>
                <a:lnTo>
                  <a:pt x="39460" y="58881"/>
                </a:lnTo>
                <a:lnTo>
                  <a:pt x="39460" y="78405"/>
                </a:lnTo>
                <a:lnTo>
                  <a:pt x="39460" y="97930"/>
                </a:lnTo>
                <a:lnTo>
                  <a:pt x="58981" y="117455"/>
                </a:lnTo>
                <a:lnTo>
                  <a:pt x="58981" y="136979"/>
                </a:lnTo>
                <a:lnTo>
                  <a:pt x="58981" y="156504"/>
                </a:lnTo>
                <a:lnTo>
                  <a:pt x="58981" y="176029"/>
                </a:lnTo>
                <a:lnTo>
                  <a:pt x="78479" y="195553"/>
                </a:lnTo>
                <a:lnTo>
                  <a:pt x="78479" y="215078"/>
                </a:lnTo>
                <a:lnTo>
                  <a:pt x="78479" y="234603"/>
                </a:lnTo>
                <a:lnTo>
                  <a:pt x="78479" y="254127"/>
                </a:lnTo>
                <a:lnTo>
                  <a:pt x="97999" y="273651"/>
                </a:lnTo>
                <a:lnTo>
                  <a:pt x="97999" y="293177"/>
                </a:lnTo>
                <a:lnTo>
                  <a:pt x="97999" y="312702"/>
                </a:lnTo>
                <a:lnTo>
                  <a:pt x="97999" y="332225"/>
                </a:lnTo>
                <a:lnTo>
                  <a:pt x="97999" y="351751"/>
                </a:lnTo>
                <a:lnTo>
                  <a:pt x="97999" y="371276"/>
                </a:lnTo>
                <a:lnTo>
                  <a:pt x="97999" y="390799"/>
                </a:lnTo>
                <a:lnTo>
                  <a:pt x="97999" y="410325"/>
                </a:lnTo>
                <a:lnTo>
                  <a:pt x="97999" y="429850"/>
                </a:lnTo>
                <a:lnTo>
                  <a:pt x="97999" y="449374"/>
                </a:lnTo>
                <a:lnTo>
                  <a:pt x="97999" y="468899"/>
                </a:lnTo>
                <a:lnTo>
                  <a:pt x="97999" y="488422"/>
                </a:lnTo>
                <a:lnTo>
                  <a:pt x="97999" y="507948"/>
                </a:lnTo>
                <a:lnTo>
                  <a:pt x="97999" y="527473"/>
                </a:lnTo>
                <a:lnTo>
                  <a:pt x="97999" y="546997"/>
                </a:lnTo>
                <a:lnTo>
                  <a:pt x="97999" y="566522"/>
                </a:lnTo>
                <a:lnTo>
                  <a:pt x="97999" y="586048"/>
                </a:lnTo>
                <a:lnTo>
                  <a:pt x="97999" y="605571"/>
                </a:lnTo>
                <a:lnTo>
                  <a:pt x="97999" y="625096"/>
                </a:lnTo>
                <a:lnTo>
                  <a:pt x="97999" y="644622"/>
                </a:lnTo>
                <a:lnTo>
                  <a:pt x="117497" y="664145"/>
                </a:lnTo>
                <a:lnTo>
                  <a:pt x="117497" y="683670"/>
                </a:lnTo>
                <a:lnTo>
                  <a:pt x="117497" y="703194"/>
                </a:lnTo>
                <a:lnTo>
                  <a:pt x="117497" y="722719"/>
                </a:lnTo>
                <a:lnTo>
                  <a:pt x="117497" y="742245"/>
                </a:lnTo>
                <a:lnTo>
                  <a:pt x="117497" y="761768"/>
                </a:lnTo>
                <a:lnTo>
                  <a:pt x="97999" y="781293"/>
                </a:lnTo>
                <a:lnTo>
                  <a:pt x="97999" y="800819"/>
                </a:lnTo>
                <a:lnTo>
                  <a:pt x="97999" y="820342"/>
                </a:lnTo>
                <a:lnTo>
                  <a:pt x="78479" y="839868"/>
                </a:lnTo>
                <a:lnTo>
                  <a:pt x="58981" y="859391"/>
                </a:lnTo>
                <a:lnTo>
                  <a:pt x="39460" y="878916"/>
                </a:lnTo>
                <a:lnTo>
                  <a:pt x="19940" y="898442"/>
                </a:lnTo>
                <a:lnTo>
                  <a:pt x="19940" y="917965"/>
                </a:lnTo>
                <a:lnTo>
                  <a:pt x="19940" y="937491"/>
                </a:lnTo>
                <a:lnTo>
                  <a:pt x="442" y="957016"/>
                </a:lnTo>
                <a:lnTo>
                  <a:pt x="442" y="976539"/>
                </a:lnTo>
                <a:lnTo>
                  <a:pt x="442" y="996065"/>
                </a:lnTo>
                <a:lnTo>
                  <a:pt x="442" y="1015590"/>
                </a:lnTo>
                <a:lnTo>
                  <a:pt x="442" y="1035114"/>
                </a:lnTo>
                <a:lnTo>
                  <a:pt x="442" y="1054639"/>
                </a:lnTo>
                <a:lnTo>
                  <a:pt x="442" y="1074162"/>
                </a:lnTo>
                <a:lnTo>
                  <a:pt x="19940" y="1093688"/>
                </a:lnTo>
                <a:lnTo>
                  <a:pt x="39460" y="1113213"/>
                </a:lnTo>
                <a:lnTo>
                  <a:pt x="58981" y="1132736"/>
                </a:lnTo>
                <a:lnTo>
                  <a:pt x="78479" y="1152262"/>
                </a:lnTo>
                <a:lnTo>
                  <a:pt x="97999" y="1171787"/>
                </a:lnTo>
                <a:lnTo>
                  <a:pt x="117497" y="1191311"/>
                </a:lnTo>
                <a:lnTo>
                  <a:pt x="137018" y="1191311"/>
                </a:lnTo>
                <a:lnTo>
                  <a:pt x="156516" y="1210836"/>
                </a:lnTo>
                <a:lnTo>
                  <a:pt x="176036" y="1230362"/>
                </a:lnTo>
                <a:lnTo>
                  <a:pt x="176036" y="1249885"/>
                </a:lnTo>
                <a:lnTo>
                  <a:pt x="176036" y="1269410"/>
                </a:lnTo>
                <a:lnTo>
                  <a:pt x="195556" y="1288934"/>
                </a:lnTo>
                <a:lnTo>
                  <a:pt x="215055" y="1308459"/>
                </a:lnTo>
                <a:lnTo>
                  <a:pt x="215055" y="1327985"/>
                </a:lnTo>
                <a:lnTo>
                  <a:pt x="234575" y="1347508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26" name="Forma libre: forma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8885541" y="5178220"/>
            <a:ext cx="58516" cy="218285"/>
          </a:xfrm>
          <a:custGeom>
            <a:avLst/>
            <a:gdLst>
              <a:gd name="connsiteX0" fmla="*/ 442 w 58516"/>
              <a:gd name="connsiteY0" fmla="*/ 307 h 214771"/>
              <a:gd name="connsiteX1" fmla="*/ 442 w 58516"/>
              <a:gd name="connsiteY1" fmla="*/ 19832 h 214771"/>
              <a:gd name="connsiteX2" fmla="*/ 19940 w 58516"/>
              <a:gd name="connsiteY2" fmla="*/ 39358 h 214771"/>
              <a:gd name="connsiteX3" fmla="*/ 39460 w 58516"/>
              <a:gd name="connsiteY3" fmla="*/ 58881 h 214771"/>
              <a:gd name="connsiteX4" fmla="*/ 58959 w 58516"/>
              <a:gd name="connsiteY4" fmla="*/ 78406 h 214771"/>
              <a:gd name="connsiteX5" fmla="*/ 58959 w 58516"/>
              <a:gd name="connsiteY5" fmla="*/ 97930 h 214771"/>
              <a:gd name="connsiteX6" fmla="*/ 39460 w 58516"/>
              <a:gd name="connsiteY6" fmla="*/ 117455 h 214771"/>
              <a:gd name="connsiteX7" fmla="*/ 39460 w 58516"/>
              <a:gd name="connsiteY7" fmla="*/ 136981 h 214771"/>
              <a:gd name="connsiteX8" fmla="*/ 39460 w 58516"/>
              <a:gd name="connsiteY8" fmla="*/ 156504 h 214771"/>
              <a:gd name="connsiteX9" fmla="*/ 19940 w 58516"/>
              <a:gd name="connsiteY9" fmla="*/ 176029 h 214771"/>
              <a:gd name="connsiteX10" fmla="*/ 19940 w 58516"/>
              <a:gd name="connsiteY10" fmla="*/ 195555 h 214771"/>
              <a:gd name="connsiteX11" fmla="*/ 442 w 58516"/>
              <a:gd name="connsiteY11" fmla="*/ 215078 h 2147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58516" h="214771">
                <a:moveTo>
                  <a:pt x="442" y="307"/>
                </a:moveTo>
                <a:lnTo>
                  <a:pt x="442" y="19832"/>
                </a:lnTo>
                <a:lnTo>
                  <a:pt x="19940" y="39358"/>
                </a:lnTo>
                <a:lnTo>
                  <a:pt x="39460" y="58881"/>
                </a:lnTo>
                <a:lnTo>
                  <a:pt x="58959" y="78406"/>
                </a:lnTo>
                <a:lnTo>
                  <a:pt x="58959" y="97930"/>
                </a:lnTo>
                <a:lnTo>
                  <a:pt x="39460" y="117455"/>
                </a:lnTo>
                <a:lnTo>
                  <a:pt x="39460" y="136981"/>
                </a:lnTo>
                <a:lnTo>
                  <a:pt x="39460" y="156504"/>
                </a:lnTo>
                <a:lnTo>
                  <a:pt x="19940" y="176029"/>
                </a:lnTo>
                <a:lnTo>
                  <a:pt x="19940" y="195555"/>
                </a:lnTo>
                <a:lnTo>
                  <a:pt x="442" y="215078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27" name="Forma libre: forma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/>
        </xdr:nvSpPr>
        <xdr:spPr>
          <a:xfrm>
            <a:off x="8158960" y="3459408"/>
            <a:ext cx="156073" cy="503216"/>
          </a:xfrm>
          <a:custGeom>
            <a:avLst/>
            <a:gdLst>
              <a:gd name="connsiteX0" fmla="*/ 97999 w 156073"/>
              <a:gd name="connsiteY0" fmla="*/ 307 h 492679"/>
              <a:gd name="connsiteX1" fmla="*/ 97999 w 156073"/>
              <a:gd name="connsiteY1" fmla="*/ 4870 h 492679"/>
              <a:gd name="connsiteX2" fmla="*/ 97999 w 156073"/>
              <a:gd name="connsiteY2" fmla="*/ 24393 h 492679"/>
              <a:gd name="connsiteX3" fmla="*/ 97999 w 156073"/>
              <a:gd name="connsiteY3" fmla="*/ 43919 h 492679"/>
              <a:gd name="connsiteX4" fmla="*/ 97999 w 156073"/>
              <a:gd name="connsiteY4" fmla="*/ 63444 h 492679"/>
              <a:gd name="connsiteX5" fmla="*/ 97999 w 156073"/>
              <a:gd name="connsiteY5" fmla="*/ 82968 h 492679"/>
              <a:gd name="connsiteX6" fmla="*/ 97999 w 156073"/>
              <a:gd name="connsiteY6" fmla="*/ 102493 h 492679"/>
              <a:gd name="connsiteX7" fmla="*/ 117497 w 156073"/>
              <a:gd name="connsiteY7" fmla="*/ 122018 h 492679"/>
              <a:gd name="connsiteX8" fmla="*/ 137018 w 156073"/>
              <a:gd name="connsiteY8" fmla="*/ 141542 h 492679"/>
              <a:gd name="connsiteX9" fmla="*/ 137018 w 156073"/>
              <a:gd name="connsiteY9" fmla="*/ 161067 h 492679"/>
              <a:gd name="connsiteX10" fmla="*/ 156516 w 156073"/>
              <a:gd name="connsiteY10" fmla="*/ 180592 h 492679"/>
              <a:gd name="connsiteX11" fmla="*/ 156516 w 156073"/>
              <a:gd name="connsiteY11" fmla="*/ 200116 h 492679"/>
              <a:gd name="connsiteX12" fmla="*/ 156516 w 156073"/>
              <a:gd name="connsiteY12" fmla="*/ 219641 h 492679"/>
              <a:gd name="connsiteX13" fmla="*/ 156516 w 156073"/>
              <a:gd name="connsiteY13" fmla="*/ 239166 h 492679"/>
              <a:gd name="connsiteX14" fmla="*/ 156516 w 156073"/>
              <a:gd name="connsiteY14" fmla="*/ 258690 h 492679"/>
              <a:gd name="connsiteX15" fmla="*/ 137018 w 156073"/>
              <a:gd name="connsiteY15" fmla="*/ 278215 h 492679"/>
              <a:gd name="connsiteX16" fmla="*/ 137018 w 156073"/>
              <a:gd name="connsiteY16" fmla="*/ 297740 h 492679"/>
              <a:gd name="connsiteX17" fmla="*/ 137018 w 156073"/>
              <a:gd name="connsiteY17" fmla="*/ 317264 h 492679"/>
              <a:gd name="connsiteX18" fmla="*/ 137018 w 156073"/>
              <a:gd name="connsiteY18" fmla="*/ 336789 h 492679"/>
              <a:gd name="connsiteX19" fmla="*/ 117497 w 156073"/>
              <a:gd name="connsiteY19" fmla="*/ 356314 h 492679"/>
              <a:gd name="connsiteX20" fmla="*/ 97999 w 156073"/>
              <a:gd name="connsiteY20" fmla="*/ 375838 h 492679"/>
              <a:gd name="connsiteX21" fmla="*/ 78479 w 156073"/>
              <a:gd name="connsiteY21" fmla="*/ 395363 h 492679"/>
              <a:gd name="connsiteX22" fmla="*/ 58981 w 156073"/>
              <a:gd name="connsiteY22" fmla="*/ 414888 h 492679"/>
              <a:gd name="connsiteX23" fmla="*/ 39460 w 156073"/>
              <a:gd name="connsiteY23" fmla="*/ 434412 h 492679"/>
              <a:gd name="connsiteX24" fmla="*/ 19940 w 156073"/>
              <a:gd name="connsiteY24" fmla="*/ 453937 h 492679"/>
              <a:gd name="connsiteX25" fmla="*/ 442 w 156073"/>
              <a:gd name="connsiteY25" fmla="*/ 473462 h 492679"/>
              <a:gd name="connsiteX26" fmla="*/ 442 w 156073"/>
              <a:gd name="connsiteY26" fmla="*/ 492986 h 4926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156073" h="492679">
                <a:moveTo>
                  <a:pt x="97999" y="307"/>
                </a:moveTo>
                <a:lnTo>
                  <a:pt x="97999" y="4870"/>
                </a:lnTo>
                <a:lnTo>
                  <a:pt x="97999" y="24393"/>
                </a:lnTo>
                <a:lnTo>
                  <a:pt x="97999" y="43919"/>
                </a:lnTo>
                <a:lnTo>
                  <a:pt x="97999" y="63444"/>
                </a:lnTo>
                <a:lnTo>
                  <a:pt x="97999" y="82968"/>
                </a:lnTo>
                <a:lnTo>
                  <a:pt x="97999" y="102493"/>
                </a:lnTo>
                <a:lnTo>
                  <a:pt x="117497" y="122018"/>
                </a:lnTo>
                <a:lnTo>
                  <a:pt x="137018" y="141542"/>
                </a:lnTo>
                <a:lnTo>
                  <a:pt x="137018" y="161067"/>
                </a:lnTo>
                <a:lnTo>
                  <a:pt x="156516" y="180592"/>
                </a:lnTo>
                <a:lnTo>
                  <a:pt x="156516" y="200116"/>
                </a:lnTo>
                <a:lnTo>
                  <a:pt x="156516" y="219641"/>
                </a:lnTo>
                <a:lnTo>
                  <a:pt x="156516" y="239166"/>
                </a:lnTo>
                <a:lnTo>
                  <a:pt x="156516" y="258690"/>
                </a:lnTo>
                <a:lnTo>
                  <a:pt x="137018" y="278215"/>
                </a:lnTo>
                <a:lnTo>
                  <a:pt x="137018" y="297740"/>
                </a:lnTo>
                <a:lnTo>
                  <a:pt x="137018" y="317264"/>
                </a:lnTo>
                <a:lnTo>
                  <a:pt x="137018" y="336789"/>
                </a:lnTo>
                <a:lnTo>
                  <a:pt x="117497" y="356314"/>
                </a:lnTo>
                <a:lnTo>
                  <a:pt x="97999" y="375838"/>
                </a:lnTo>
                <a:lnTo>
                  <a:pt x="78479" y="395363"/>
                </a:lnTo>
                <a:lnTo>
                  <a:pt x="58981" y="414888"/>
                </a:lnTo>
                <a:lnTo>
                  <a:pt x="39460" y="434412"/>
                </a:lnTo>
                <a:lnTo>
                  <a:pt x="19940" y="453937"/>
                </a:lnTo>
                <a:lnTo>
                  <a:pt x="442" y="473462"/>
                </a:lnTo>
                <a:lnTo>
                  <a:pt x="442" y="492986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28" name="Forma libre: forma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8119942" y="3962624"/>
            <a:ext cx="433908" cy="1371792"/>
          </a:xfrm>
          <a:custGeom>
            <a:avLst/>
            <a:gdLst>
              <a:gd name="connsiteX0" fmla="*/ 39460 w 429225"/>
              <a:gd name="connsiteY0" fmla="*/ 307 h 1347200"/>
              <a:gd name="connsiteX1" fmla="*/ 19940 w 429225"/>
              <a:gd name="connsiteY1" fmla="*/ 19832 h 1347200"/>
              <a:gd name="connsiteX2" fmla="*/ 19940 w 429225"/>
              <a:gd name="connsiteY2" fmla="*/ 39356 h 1347200"/>
              <a:gd name="connsiteX3" fmla="*/ 19940 w 429225"/>
              <a:gd name="connsiteY3" fmla="*/ 58881 h 1347200"/>
              <a:gd name="connsiteX4" fmla="*/ 19940 w 429225"/>
              <a:gd name="connsiteY4" fmla="*/ 78406 h 1347200"/>
              <a:gd name="connsiteX5" fmla="*/ 442 w 429225"/>
              <a:gd name="connsiteY5" fmla="*/ 97930 h 1347200"/>
              <a:gd name="connsiteX6" fmla="*/ 442 w 429225"/>
              <a:gd name="connsiteY6" fmla="*/ 117454 h 1347200"/>
              <a:gd name="connsiteX7" fmla="*/ 442 w 429225"/>
              <a:gd name="connsiteY7" fmla="*/ 136979 h 1347200"/>
              <a:gd name="connsiteX8" fmla="*/ 442 w 429225"/>
              <a:gd name="connsiteY8" fmla="*/ 156505 h 1347200"/>
              <a:gd name="connsiteX9" fmla="*/ 442 w 429225"/>
              <a:gd name="connsiteY9" fmla="*/ 176028 h 1347200"/>
              <a:gd name="connsiteX10" fmla="*/ 442 w 429225"/>
              <a:gd name="connsiteY10" fmla="*/ 195554 h 1347200"/>
              <a:gd name="connsiteX11" fmla="*/ 442 w 429225"/>
              <a:gd name="connsiteY11" fmla="*/ 215079 h 1347200"/>
              <a:gd name="connsiteX12" fmla="*/ 442 w 429225"/>
              <a:gd name="connsiteY12" fmla="*/ 234602 h 1347200"/>
              <a:gd name="connsiteX13" fmla="*/ 19940 w 429225"/>
              <a:gd name="connsiteY13" fmla="*/ 254128 h 1347200"/>
              <a:gd name="connsiteX14" fmla="*/ 19940 w 429225"/>
              <a:gd name="connsiteY14" fmla="*/ 273653 h 1347200"/>
              <a:gd name="connsiteX15" fmla="*/ 39460 w 429225"/>
              <a:gd name="connsiteY15" fmla="*/ 293176 h 1347200"/>
              <a:gd name="connsiteX16" fmla="*/ 39460 w 429225"/>
              <a:gd name="connsiteY16" fmla="*/ 312702 h 1347200"/>
              <a:gd name="connsiteX17" fmla="*/ 39460 w 429225"/>
              <a:gd name="connsiteY17" fmla="*/ 332225 h 1347200"/>
              <a:gd name="connsiteX18" fmla="*/ 39460 w 429225"/>
              <a:gd name="connsiteY18" fmla="*/ 351751 h 1347200"/>
              <a:gd name="connsiteX19" fmla="*/ 39460 w 429225"/>
              <a:gd name="connsiteY19" fmla="*/ 371276 h 1347200"/>
              <a:gd name="connsiteX20" fmla="*/ 58958 w 429225"/>
              <a:gd name="connsiteY20" fmla="*/ 390799 h 1347200"/>
              <a:gd name="connsiteX21" fmla="*/ 78479 w 429225"/>
              <a:gd name="connsiteY21" fmla="*/ 410325 h 1347200"/>
              <a:gd name="connsiteX22" fmla="*/ 78479 w 429225"/>
              <a:gd name="connsiteY22" fmla="*/ 429850 h 1347200"/>
              <a:gd name="connsiteX23" fmla="*/ 78479 w 429225"/>
              <a:gd name="connsiteY23" fmla="*/ 449374 h 1347200"/>
              <a:gd name="connsiteX24" fmla="*/ 78479 w 429225"/>
              <a:gd name="connsiteY24" fmla="*/ 468899 h 1347200"/>
              <a:gd name="connsiteX25" fmla="*/ 78479 w 429225"/>
              <a:gd name="connsiteY25" fmla="*/ 488425 h 1347200"/>
              <a:gd name="connsiteX26" fmla="*/ 97999 w 429225"/>
              <a:gd name="connsiteY26" fmla="*/ 507948 h 1347200"/>
              <a:gd name="connsiteX27" fmla="*/ 97999 w 429225"/>
              <a:gd name="connsiteY27" fmla="*/ 527473 h 1347200"/>
              <a:gd name="connsiteX28" fmla="*/ 97999 w 429225"/>
              <a:gd name="connsiteY28" fmla="*/ 546997 h 1347200"/>
              <a:gd name="connsiteX29" fmla="*/ 117497 w 429225"/>
              <a:gd name="connsiteY29" fmla="*/ 566522 h 1347200"/>
              <a:gd name="connsiteX30" fmla="*/ 117497 w 429225"/>
              <a:gd name="connsiteY30" fmla="*/ 586048 h 1347200"/>
              <a:gd name="connsiteX31" fmla="*/ 117497 w 429225"/>
              <a:gd name="connsiteY31" fmla="*/ 605571 h 1347200"/>
              <a:gd name="connsiteX32" fmla="*/ 117497 w 429225"/>
              <a:gd name="connsiteY32" fmla="*/ 625096 h 1347200"/>
              <a:gd name="connsiteX33" fmla="*/ 97999 w 429225"/>
              <a:gd name="connsiteY33" fmla="*/ 644622 h 1347200"/>
              <a:gd name="connsiteX34" fmla="*/ 97999 w 429225"/>
              <a:gd name="connsiteY34" fmla="*/ 664145 h 1347200"/>
              <a:gd name="connsiteX35" fmla="*/ 97999 w 429225"/>
              <a:gd name="connsiteY35" fmla="*/ 683670 h 1347200"/>
              <a:gd name="connsiteX36" fmla="*/ 117497 w 429225"/>
              <a:gd name="connsiteY36" fmla="*/ 703194 h 1347200"/>
              <a:gd name="connsiteX37" fmla="*/ 117497 w 429225"/>
              <a:gd name="connsiteY37" fmla="*/ 722719 h 1347200"/>
              <a:gd name="connsiteX38" fmla="*/ 117497 w 429225"/>
              <a:gd name="connsiteY38" fmla="*/ 742245 h 1347200"/>
              <a:gd name="connsiteX39" fmla="*/ 117497 w 429225"/>
              <a:gd name="connsiteY39" fmla="*/ 761768 h 1347200"/>
              <a:gd name="connsiteX40" fmla="*/ 137018 w 429225"/>
              <a:gd name="connsiteY40" fmla="*/ 781293 h 1347200"/>
              <a:gd name="connsiteX41" fmla="*/ 137018 w 429225"/>
              <a:gd name="connsiteY41" fmla="*/ 800819 h 1347200"/>
              <a:gd name="connsiteX42" fmla="*/ 156516 w 429225"/>
              <a:gd name="connsiteY42" fmla="*/ 820342 h 1347200"/>
              <a:gd name="connsiteX43" fmla="*/ 156516 w 429225"/>
              <a:gd name="connsiteY43" fmla="*/ 839868 h 1347200"/>
              <a:gd name="connsiteX44" fmla="*/ 176036 w 429225"/>
              <a:gd name="connsiteY44" fmla="*/ 859393 h 1347200"/>
              <a:gd name="connsiteX45" fmla="*/ 195534 w 429225"/>
              <a:gd name="connsiteY45" fmla="*/ 878916 h 1347200"/>
              <a:gd name="connsiteX46" fmla="*/ 195534 w 429225"/>
              <a:gd name="connsiteY46" fmla="*/ 898442 h 1347200"/>
              <a:gd name="connsiteX47" fmla="*/ 195534 w 429225"/>
              <a:gd name="connsiteY47" fmla="*/ 917965 h 1347200"/>
              <a:gd name="connsiteX48" fmla="*/ 195534 w 429225"/>
              <a:gd name="connsiteY48" fmla="*/ 937491 h 1347200"/>
              <a:gd name="connsiteX49" fmla="*/ 215055 w 429225"/>
              <a:gd name="connsiteY49" fmla="*/ 957016 h 1347200"/>
              <a:gd name="connsiteX50" fmla="*/ 215055 w 429225"/>
              <a:gd name="connsiteY50" fmla="*/ 976539 h 1347200"/>
              <a:gd name="connsiteX51" fmla="*/ 215055 w 429225"/>
              <a:gd name="connsiteY51" fmla="*/ 996065 h 1347200"/>
              <a:gd name="connsiteX52" fmla="*/ 215055 w 429225"/>
              <a:gd name="connsiteY52" fmla="*/ 1015590 h 1347200"/>
              <a:gd name="connsiteX53" fmla="*/ 234553 w 429225"/>
              <a:gd name="connsiteY53" fmla="*/ 1035113 h 1347200"/>
              <a:gd name="connsiteX54" fmla="*/ 234553 w 429225"/>
              <a:gd name="connsiteY54" fmla="*/ 1054639 h 1347200"/>
              <a:gd name="connsiteX55" fmla="*/ 254073 w 429225"/>
              <a:gd name="connsiteY55" fmla="*/ 1074164 h 1347200"/>
              <a:gd name="connsiteX56" fmla="*/ 273593 w 429225"/>
              <a:gd name="connsiteY56" fmla="*/ 1093688 h 1347200"/>
              <a:gd name="connsiteX57" fmla="*/ 293092 w 429225"/>
              <a:gd name="connsiteY57" fmla="*/ 1113213 h 1347200"/>
              <a:gd name="connsiteX58" fmla="*/ 293092 w 429225"/>
              <a:gd name="connsiteY58" fmla="*/ 1132736 h 1347200"/>
              <a:gd name="connsiteX59" fmla="*/ 312612 w 429225"/>
              <a:gd name="connsiteY59" fmla="*/ 1152262 h 1347200"/>
              <a:gd name="connsiteX60" fmla="*/ 312612 w 429225"/>
              <a:gd name="connsiteY60" fmla="*/ 1171787 h 1347200"/>
              <a:gd name="connsiteX61" fmla="*/ 312612 w 429225"/>
              <a:gd name="connsiteY61" fmla="*/ 1191311 h 1347200"/>
              <a:gd name="connsiteX62" fmla="*/ 312612 w 429225"/>
              <a:gd name="connsiteY62" fmla="*/ 1210836 h 1347200"/>
              <a:gd name="connsiteX63" fmla="*/ 332110 w 429225"/>
              <a:gd name="connsiteY63" fmla="*/ 1230362 h 1347200"/>
              <a:gd name="connsiteX64" fmla="*/ 351631 w 429225"/>
              <a:gd name="connsiteY64" fmla="*/ 1249885 h 1347200"/>
              <a:gd name="connsiteX65" fmla="*/ 351631 w 429225"/>
              <a:gd name="connsiteY65" fmla="*/ 1269410 h 1347200"/>
              <a:gd name="connsiteX66" fmla="*/ 371129 w 429225"/>
              <a:gd name="connsiteY66" fmla="*/ 1288934 h 1347200"/>
              <a:gd name="connsiteX67" fmla="*/ 390649 w 429225"/>
              <a:gd name="connsiteY67" fmla="*/ 1308459 h 1347200"/>
              <a:gd name="connsiteX68" fmla="*/ 390649 w 429225"/>
              <a:gd name="connsiteY68" fmla="*/ 1327985 h 1347200"/>
              <a:gd name="connsiteX69" fmla="*/ 410169 w 429225"/>
              <a:gd name="connsiteY69" fmla="*/ 1347508 h 1347200"/>
              <a:gd name="connsiteX70" fmla="*/ 429668 w 429225"/>
              <a:gd name="connsiteY70" fmla="*/ 1347508 h 1347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</a:cxnLst>
            <a:rect l="l" t="t" r="r" b="b"/>
            <a:pathLst>
              <a:path w="429225" h="1347200">
                <a:moveTo>
                  <a:pt x="39460" y="307"/>
                </a:moveTo>
                <a:lnTo>
                  <a:pt x="19940" y="19832"/>
                </a:lnTo>
                <a:lnTo>
                  <a:pt x="19940" y="39356"/>
                </a:lnTo>
                <a:lnTo>
                  <a:pt x="19940" y="58881"/>
                </a:lnTo>
                <a:lnTo>
                  <a:pt x="19940" y="78406"/>
                </a:lnTo>
                <a:lnTo>
                  <a:pt x="442" y="97930"/>
                </a:lnTo>
                <a:lnTo>
                  <a:pt x="442" y="117454"/>
                </a:lnTo>
                <a:lnTo>
                  <a:pt x="442" y="136979"/>
                </a:lnTo>
                <a:lnTo>
                  <a:pt x="442" y="156505"/>
                </a:lnTo>
                <a:lnTo>
                  <a:pt x="442" y="176028"/>
                </a:lnTo>
                <a:lnTo>
                  <a:pt x="442" y="195554"/>
                </a:lnTo>
                <a:lnTo>
                  <a:pt x="442" y="215079"/>
                </a:lnTo>
                <a:lnTo>
                  <a:pt x="442" y="234602"/>
                </a:lnTo>
                <a:lnTo>
                  <a:pt x="19940" y="254128"/>
                </a:lnTo>
                <a:lnTo>
                  <a:pt x="19940" y="273653"/>
                </a:lnTo>
                <a:lnTo>
                  <a:pt x="39460" y="293176"/>
                </a:lnTo>
                <a:lnTo>
                  <a:pt x="39460" y="312702"/>
                </a:lnTo>
                <a:lnTo>
                  <a:pt x="39460" y="332225"/>
                </a:lnTo>
                <a:lnTo>
                  <a:pt x="39460" y="351751"/>
                </a:lnTo>
                <a:lnTo>
                  <a:pt x="39460" y="371276"/>
                </a:lnTo>
                <a:lnTo>
                  <a:pt x="58958" y="390799"/>
                </a:lnTo>
                <a:lnTo>
                  <a:pt x="78479" y="410325"/>
                </a:lnTo>
                <a:lnTo>
                  <a:pt x="78479" y="429850"/>
                </a:lnTo>
                <a:lnTo>
                  <a:pt x="78479" y="449374"/>
                </a:lnTo>
                <a:lnTo>
                  <a:pt x="78479" y="468899"/>
                </a:lnTo>
                <a:lnTo>
                  <a:pt x="78479" y="488425"/>
                </a:lnTo>
                <a:lnTo>
                  <a:pt x="97999" y="507948"/>
                </a:lnTo>
                <a:lnTo>
                  <a:pt x="97999" y="527473"/>
                </a:lnTo>
                <a:lnTo>
                  <a:pt x="97999" y="546997"/>
                </a:lnTo>
                <a:lnTo>
                  <a:pt x="117497" y="566522"/>
                </a:lnTo>
                <a:lnTo>
                  <a:pt x="117497" y="586048"/>
                </a:lnTo>
                <a:lnTo>
                  <a:pt x="117497" y="605571"/>
                </a:lnTo>
                <a:lnTo>
                  <a:pt x="117497" y="625096"/>
                </a:lnTo>
                <a:lnTo>
                  <a:pt x="97999" y="644622"/>
                </a:lnTo>
                <a:lnTo>
                  <a:pt x="97999" y="664145"/>
                </a:lnTo>
                <a:lnTo>
                  <a:pt x="97999" y="683670"/>
                </a:lnTo>
                <a:lnTo>
                  <a:pt x="117497" y="703194"/>
                </a:lnTo>
                <a:lnTo>
                  <a:pt x="117497" y="722719"/>
                </a:lnTo>
                <a:lnTo>
                  <a:pt x="117497" y="742245"/>
                </a:lnTo>
                <a:lnTo>
                  <a:pt x="117497" y="761768"/>
                </a:lnTo>
                <a:lnTo>
                  <a:pt x="137018" y="781293"/>
                </a:lnTo>
                <a:lnTo>
                  <a:pt x="137018" y="800819"/>
                </a:lnTo>
                <a:lnTo>
                  <a:pt x="156516" y="820342"/>
                </a:lnTo>
                <a:lnTo>
                  <a:pt x="156516" y="839868"/>
                </a:lnTo>
                <a:lnTo>
                  <a:pt x="176036" y="859393"/>
                </a:lnTo>
                <a:lnTo>
                  <a:pt x="195534" y="878916"/>
                </a:lnTo>
                <a:lnTo>
                  <a:pt x="195534" y="898442"/>
                </a:lnTo>
                <a:lnTo>
                  <a:pt x="195534" y="917965"/>
                </a:lnTo>
                <a:lnTo>
                  <a:pt x="195534" y="937491"/>
                </a:lnTo>
                <a:lnTo>
                  <a:pt x="215055" y="957016"/>
                </a:lnTo>
                <a:lnTo>
                  <a:pt x="215055" y="976539"/>
                </a:lnTo>
                <a:lnTo>
                  <a:pt x="215055" y="996065"/>
                </a:lnTo>
                <a:lnTo>
                  <a:pt x="215055" y="1015590"/>
                </a:lnTo>
                <a:lnTo>
                  <a:pt x="234553" y="1035113"/>
                </a:lnTo>
                <a:lnTo>
                  <a:pt x="234553" y="1054639"/>
                </a:lnTo>
                <a:lnTo>
                  <a:pt x="254073" y="1074164"/>
                </a:lnTo>
                <a:lnTo>
                  <a:pt x="273593" y="1093688"/>
                </a:lnTo>
                <a:lnTo>
                  <a:pt x="293092" y="1113213"/>
                </a:lnTo>
                <a:lnTo>
                  <a:pt x="293092" y="1132736"/>
                </a:lnTo>
                <a:lnTo>
                  <a:pt x="312612" y="1152262"/>
                </a:lnTo>
                <a:lnTo>
                  <a:pt x="312612" y="1171787"/>
                </a:lnTo>
                <a:lnTo>
                  <a:pt x="312612" y="1191311"/>
                </a:lnTo>
                <a:lnTo>
                  <a:pt x="312612" y="1210836"/>
                </a:lnTo>
                <a:lnTo>
                  <a:pt x="332110" y="1230362"/>
                </a:lnTo>
                <a:lnTo>
                  <a:pt x="351631" y="1249885"/>
                </a:lnTo>
                <a:lnTo>
                  <a:pt x="351631" y="1269410"/>
                </a:lnTo>
                <a:lnTo>
                  <a:pt x="371129" y="1288934"/>
                </a:lnTo>
                <a:lnTo>
                  <a:pt x="390649" y="1308459"/>
                </a:lnTo>
                <a:lnTo>
                  <a:pt x="390649" y="1327985"/>
                </a:lnTo>
                <a:lnTo>
                  <a:pt x="410169" y="1347508"/>
                </a:lnTo>
                <a:lnTo>
                  <a:pt x="429668" y="1347508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29" name="Forma libre: forma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7729713" y="4461282"/>
            <a:ext cx="390229" cy="495139"/>
          </a:xfrm>
          <a:custGeom>
            <a:avLst/>
            <a:gdLst>
              <a:gd name="connsiteX0" fmla="*/ 19962 w 390229"/>
              <a:gd name="connsiteY0" fmla="*/ 307 h 488114"/>
              <a:gd name="connsiteX1" fmla="*/ 442 w 390229"/>
              <a:gd name="connsiteY1" fmla="*/ 19830 h 488114"/>
              <a:gd name="connsiteX2" fmla="*/ 442 w 390229"/>
              <a:gd name="connsiteY2" fmla="*/ 39355 h 488114"/>
              <a:gd name="connsiteX3" fmla="*/ 442 w 390229"/>
              <a:gd name="connsiteY3" fmla="*/ 58879 h 488114"/>
              <a:gd name="connsiteX4" fmla="*/ 19962 w 390229"/>
              <a:gd name="connsiteY4" fmla="*/ 78404 h 488114"/>
              <a:gd name="connsiteX5" fmla="*/ 39483 w 390229"/>
              <a:gd name="connsiteY5" fmla="*/ 97930 h 488114"/>
              <a:gd name="connsiteX6" fmla="*/ 39483 w 390229"/>
              <a:gd name="connsiteY6" fmla="*/ 117453 h 488114"/>
              <a:gd name="connsiteX7" fmla="*/ 58981 w 390229"/>
              <a:gd name="connsiteY7" fmla="*/ 136978 h 488114"/>
              <a:gd name="connsiteX8" fmla="*/ 58981 w 390229"/>
              <a:gd name="connsiteY8" fmla="*/ 156504 h 488114"/>
              <a:gd name="connsiteX9" fmla="*/ 58981 w 390229"/>
              <a:gd name="connsiteY9" fmla="*/ 176027 h 488114"/>
              <a:gd name="connsiteX10" fmla="*/ 78501 w 390229"/>
              <a:gd name="connsiteY10" fmla="*/ 195553 h 488114"/>
              <a:gd name="connsiteX11" fmla="*/ 78501 w 390229"/>
              <a:gd name="connsiteY11" fmla="*/ 215076 h 488114"/>
              <a:gd name="connsiteX12" fmla="*/ 97999 w 390229"/>
              <a:gd name="connsiteY12" fmla="*/ 234601 h 488114"/>
              <a:gd name="connsiteX13" fmla="*/ 117520 w 390229"/>
              <a:gd name="connsiteY13" fmla="*/ 254127 h 488114"/>
              <a:gd name="connsiteX14" fmla="*/ 137018 w 390229"/>
              <a:gd name="connsiteY14" fmla="*/ 273650 h 488114"/>
              <a:gd name="connsiteX15" fmla="*/ 156538 w 390229"/>
              <a:gd name="connsiteY15" fmla="*/ 273650 h 488114"/>
              <a:gd name="connsiteX16" fmla="*/ 176036 w 390229"/>
              <a:gd name="connsiteY16" fmla="*/ 293176 h 488114"/>
              <a:gd name="connsiteX17" fmla="*/ 195557 w 390229"/>
              <a:gd name="connsiteY17" fmla="*/ 312701 h 488114"/>
              <a:gd name="connsiteX18" fmla="*/ 215077 w 390229"/>
              <a:gd name="connsiteY18" fmla="*/ 332224 h 488114"/>
              <a:gd name="connsiteX19" fmla="*/ 234575 w 390229"/>
              <a:gd name="connsiteY19" fmla="*/ 351750 h 488114"/>
              <a:gd name="connsiteX20" fmla="*/ 254095 w 390229"/>
              <a:gd name="connsiteY20" fmla="*/ 371275 h 488114"/>
              <a:gd name="connsiteX21" fmla="*/ 273593 w 390229"/>
              <a:gd name="connsiteY21" fmla="*/ 390799 h 488114"/>
              <a:gd name="connsiteX22" fmla="*/ 293114 w 390229"/>
              <a:gd name="connsiteY22" fmla="*/ 410324 h 488114"/>
              <a:gd name="connsiteX23" fmla="*/ 312612 w 390229"/>
              <a:gd name="connsiteY23" fmla="*/ 429847 h 488114"/>
              <a:gd name="connsiteX24" fmla="*/ 332132 w 390229"/>
              <a:gd name="connsiteY24" fmla="*/ 449373 h 488114"/>
              <a:gd name="connsiteX25" fmla="*/ 351653 w 390229"/>
              <a:gd name="connsiteY25" fmla="*/ 468898 h 488114"/>
              <a:gd name="connsiteX26" fmla="*/ 371151 w 390229"/>
              <a:gd name="connsiteY26" fmla="*/ 488421 h 488114"/>
              <a:gd name="connsiteX27" fmla="*/ 390671 w 390229"/>
              <a:gd name="connsiteY27" fmla="*/ 488421 h 4881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390229" h="488114">
                <a:moveTo>
                  <a:pt x="19962" y="307"/>
                </a:moveTo>
                <a:lnTo>
                  <a:pt x="442" y="19830"/>
                </a:lnTo>
                <a:lnTo>
                  <a:pt x="442" y="39355"/>
                </a:lnTo>
                <a:lnTo>
                  <a:pt x="442" y="58879"/>
                </a:lnTo>
                <a:lnTo>
                  <a:pt x="19962" y="78404"/>
                </a:lnTo>
                <a:lnTo>
                  <a:pt x="39483" y="97930"/>
                </a:lnTo>
                <a:lnTo>
                  <a:pt x="39483" y="117453"/>
                </a:lnTo>
                <a:lnTo>
                  <a:pt x="58981" y="136978"/>
                </a:lnTo>
                <a:lnTo>
                  <a:pt x="58981" y="156504"/>
                </a:lnTo>
                <a:lnTo>
                  <a:pt x="58981" y="176027"/>
                </a:lnTo>
                <a:lnTo>
                  <a:pt x="78501" y="195553"/>
                </a:lnTo>
                <a:lnTo>
                  <a:pt x="78501" y="215076"/>
                </a:lnTo>
                <a:lnTo>
                  <a:pt x="97999" y="234601"/>
                </a:lnTo>
                <a:lnTo>
                  <a:pt x="117520" y="254127"/>
                </a:lnTo>
                <a:lnTo>
                  <a:pt x="137018" y="273650"/>
                </a:lnTo>
                <a:lnTo>
                  <a:pt x="156538" y="273650"/>
                </a:lnTo>
                <a:lnTo>
                  <a:pt x="176036" y="293176"/>
                </a:lnTo>
                <a:lnTo>
                  <a:pt x="195557" y="312701"/>
                </a:lnTo>
                <a:lnTo>
                  <a:pt x="215077" y="332224"/>
                </a:lnTo>
                <a:lnTo>
                  <a:pt x="234575" y="351750"/>
                </a:lnTo>
                <a:lnTo>
                  <a:pt x="254095" y="371275"/>
                </a:lnTo>
                <a:lnTo>
                  <a:pt x="273593" y="390799"/>
                </a:lnTo>
                <a:lnTo>
                  <a:pt x="293114" y="410324"/>
                </a:lnTo>
                <a:lnTo>
                  <a:pt x="312612" y="429847"/>
                </a:lnTo>
                <a:lnTo>
                  <a:pt x="332132" y="449373"/>
                </a:lnTo>
                <a:lnTo>
                  <a:pt x="351653" y="468898"/>
                </a:lnTo>
                <a:lnTo>
                  <a:pt x="371151" y="488421"/>
                </a:lnTo>
                <a:lnTo>
                  <a:pt x="390671" y="488421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30" name="Forma libre: forma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8119942" y="4956422"/>
            <a:ext cx="355871" cy="440083"/>
          </a:xfrm>
          <a:custGeom>
            <a:avLst/>
            <a:gdLst>
              <a:gd name="connsiteX0" fmla="*/ 442 w 351188"/>
              <a:gd name="connsiteY0" fmla="*/ 307 h 429542"/>
              <a:gd name="connsiteX1" fmla="*/ 19940 w 351188"/>
              <a:gd name="connsiteY1" fmla="*/ 307 h 429542"/>
              <a:gd name="connsiteX2" fmla="*/ 39460 w 351188"/>
              <a:gd name="connsiteY2" fmla="*/ 19832 h 429542"/>
              <a:gd name="connsiteX3" fmla="*/ 58958 w 351188"/>
              <a:gd name="connsiteY3" fmla="*/ 39358 h 429542"/>
              <a:gd name="connsiteX4" fmla="*/ 58958 w 351188"/>
              <a:gd name="connsiteY4" fmla="*/ 58881 h 429542"/>
              <a:gd name="connsiteX5" fmla="*/ 58958 w 351188"/>
              <a:gd name="connsiteY5" fmla="*/ 78406 h 429542"/>
              <a:gd name="connsiteX6" fmla="*/ 58958 w 351188"/>
              <a:gd name="connsiteY6" fmla="*/ 97932 h 429542"/>
              <a:gd name="connsiteX7" fmla="*/ 58958 w 351188"/>
              <a:gd name="connsiteY7" fmla="*/ 117455 h 429542"/>
              <a:gd name="connsiteX8" fmla="*/ 58958 w 351188"/>
              <a:gd name="connsiteY8" fmla="*/ 136981 h 429542"/>
              <a:gd name="connsiteX9" fmla="*/ 78479 w 351188"/>
              <a:gd name="connsiteY9" fmla="*/ 156504 h 429542"/>
              <a:gd name="connsiteX10" fmla="*/ 78479 w 351188"/>
              <a:gd name="connsiteY10" fmla="*/ 176029 h 429542"/>
              <a:gd name="connsiteX11" fmla="*/ 97999 w 351188"/>
              <a:gd name="connsiteY11" fmla="*/ 195555 h 429542"/>
              <a:gd name="connsiteX12" fmla="*/ 117497 w 351188"/>
              <a:gd name="connsiteY12" fmla="*/ 195555 h 429542"/>
              <a:gd name="connsiteX13" fmla="*/ 137018 w 351188"/>
              <a:gd name="connsiteY13" fmla="*/ 195555 h 429542"/>
              <a:gd name="connsiteX14" fmla="*/ 156516 w 351188"/>
              <a:gd name="connsiteY14" fmla="*/ 215078 h 429542"/>
              <a:gd name="connsiteX15" fmla="*/ 176036 w 351188"/>
              <a:gd name="connsiteY15" fmla="*/ 234604 h 429542"/>
              <a:gd name="connsiteX16" fmla="*/ 195534 w 351188"/>
              <a:gd name="connsiteY16" fmla="*/ 254129 h 429542"/>
              <a:gd name="connsiteX17" fmla="*/ 195534 w 351188"/>
              <a:gd name="connsiteY17" fmla="*/ 273652 h 429542"/>
              <a:gd name="connsiteX18" fmla="*/ 195534 w 351188"/>
              <a:gd name="connsiteY18" fmla="*/ 293178 h 429542"/>
              <a:gd name="connsiteX19" fmla="*/ 195534 w 351188"/>
              <a:gd name="connsiteY19" fmla="*/ 312701 h 429542"/>
              <a:gd name="connsiteX20" fmla="*/ 215055 w 351188"/>
              <a:gd name="connsiteY20" fmla="*/ 332226 h 429542"/>
              <a:gd name="connsiteX21" fmla="*/ 234553 w 351188"/>
              <a:gd name="connsiteY21" fmla="*/ 351752 h 429542"/>
              <a:gd name="connsiteX22" fmla="*/ 254073 w 351188"/>
              <a:gd name="connsiteY22" fmla="*/ 371275 h 429542"/>
              <a:gd name="connsiteX23" fmla="*/ 273593 w 351188"/>
              <a:gd name="connsiteY23" fmla="*/ 390801 h 429542"/>
              <a:gd name="connsiteX24" fmla="*/ 293092 w 351188"/>
              <a:gd name="connsiteY24" fmla="*/ 390801 h 429542"/>
              <a:gd name="connsiteX25" fmla="*/ 312612 w 351188"/>
              <a:gd name="connsiteY25" fmla="*/ 410326 h 429542"/>
              <a:gd name="connsiteX26" fmla="*/ 332110 w 351188"/>
              <a:gd name="connsiteY26" fmla="*/ 429849 h 429542"/>
              <a:gd name="connsiteX27" fmla="*/ 351631 w 351188"/>
              <a:gd name="connsiteY27" fmla="*/ 429849 h 42954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351188" h="429542">
                <a:moveTo>
                  <a:pt x="442" y="307"/>
                </a:moveTo>
                <a:lnTo>
                  <a:pt x="19940" y="307"/>
                </a:lnTo>
                <a:lnTo>
                  <a:pt x="39460" y="19832"/>
                </a:lnTo>
                <a:lnTo>
                  <a:pt x="58958" y="39358"/>
                </a:lnTo>
                <a:lnTo>
                  <a:pt x="58958" y="58881"/>
                </a:lnTo>
                <a:lnTo>
                  <a:pt x="58958" y="78406"/>
                </a:lnTo>
                <a:lnTo>
                  <a:pt x="58958" y="97932"/>
                </a:lnTo>
                <a:lnTo>
                  <a:pt x="58958" y="117455"/>
                </a:lnTo>
                <a:lnTo>
                  <a:pt x="58958" y="136981"/>
                </a:lnTo>
                <a:lnTo>
                  <a:pt x="78479" y="156504"/>
                </a:lnTo>
                <a:lnTo>
                  <a:pt x="78479" y="176029"/>
                </a:lnTo>
                <a:lnTo>
                  <a:pt x="97999" y="195555"/>
                </a:lnTo>
                <a:lnTo>
                  <a:pt x="117497" y="195555"/>
                </a:lnTo>
                <a:lnTo>
                  <a:pt x="137018" y="195555"/>
                </a:lnTo>
                <a:lnTo>
                  <a:pt x="156516" y="215078"/>
                </a:lnTo>
                <a:lnTo>
                  <a:pt x="176036" y="234604"/>
                </a:lnTo>
                <a:lnTo>
                  <a:pt x="195534" y="254129"/>
                </a:lnTo>
                <a:lnTo>
                  <a:pt x="195534" y="273652"/>
                </a:lnTo>
                <a:lnTo>
                  <a:pt x="195534" y="293178"/>
                </a:lnTo>
                <a:lnTo>
                  <a:pt x="195534" y="312701"/>
                </a:lnTo>
                <a:lnTo>
                  <a:pt x="215055" y="332226"/>
                </a:lnTo>
                <a:lnTo>
                  <a:pt x="234553" y="351752"/>
                </a:lnTo>
                <a:lnTo>
                  <a:pt x="254073" y="371275"/>
                </a:lnTo>
                <a:lnTo>
                  <a:pt x="273593" y="390801"/>
                </a:lnTo>
                <a:lnTo>
                  <a:pt x="293092" y="390801"/>
                </a:lnTo>
                <a:lnTo>
                  <a:pt x="312612" y="410326"/>
                </a:lnTo>
                <a:lnTo>
                  <a:pt x="332110" y="429849"/>
                </a:lnTo>
                <a:lnTo>
                  <a:pt x="351631" y="429849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31" name="Forma libre: forma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/>
        </xdr:nvSpPr>
        <xdr:spPr>
          <a:xfrm>
            <a:off x="9061135" y="3459408"/>
            <a:ext cx="394893" cy="861687"/>
          </a:xfrm>
          <a:custGeom>
            <a:avLst/>
            <a:gdLst>
              <a:gd name="connsiteX0" fmla="*/ 19940 w 390207"/>
              <a:gd name="connsiteY0" fmla="*/ 307 h 844123"/>
              <a:gd name="connsiteX1" fmla="*/ 19940 w 390207"/>
              <a:gd name="connsiteY1" fmla="*/ 4870 h 844123"/>
              <a:gd name="connsiteX2" fmla="*/ 19940 w 390207"/>
              <a:gd name="connsiteY2" fmla="*/ 24393 h 844123"/>
              <a:gd name="connsiteX3" fmla="*/ 442 w 390207"/>
              <a:gd name="connsiteY3" fmla="*/ 43919 h 844123"/>
              <a:gd name="connsiteX4" fmla="*/ 442 w 390207"/>
              <a:gd name="connsiteY4" fmla="*/ 63444 h 844123"/>
              <a:gd name="connsiteX5" fmla="*/ 442 w 390207"/>
              <a:gd name="connsiteY5" fmla="*/ 82968 h 844123"/>
              <a:gd name="connsiteX6" fmla="*/ 442 w 390207"/>
              <a:gd name="connsiteY6" fmla="*/ 102493 h 844123"/>
              <a:gd name="connsiteX7" fmla="*/ 442 w 390207"/>
              <a:gd name="connsiteY7" fmla="*/ 122018 h 844123"/>
              <a:gd name="connsiteX8" fmla="*/ 442 w 390207"/>
              <a:gd name="connsiteY8" fmla="*/ 141542 h 844123"/>
              <a:gd name="connsiteX9" fmla="*/ 442 w 390207"/>
              <a:gd name="connsiteY9" fmla="*/ 161067 h 844123"/>
              <a:gd name="connsiteX10" fmla="*/ 442 w 390207"/>
              <a:gd name="connsiteY10" fmla="*/ 180592 h 844123"/>
              <a:gd name="connsiteX11" fmla="*/ 442 w 390207"/>
              <a:gd name="connsiteY11" fmla="*/ 200116 h 844123"/>
              <a:gd name="connsiteX12" fmla="*/ 19940 w 390207"/>
              <a:gd name="connsiteY12" fmla="*/ 219641 h 844123"/>
              <a:gd name="connsiteX13" fmla="*/ 19940 w 390207"/>
              <a:gd name="connsiteY13" fmla="*/ 239166 h 844123"/>
              <a:gd name="connsiteX14" fmla="*/ 19940 w 390207"/>
              <a:gd name="connsiteY14" fmla="*/ 258690 h 844123"/>
              <a:gd name="connsiteX15" fmla="*/ 19940 w 390207"/>
              <a:gd name="connsiteY15" fmla="*/ 278215 h 844123"/>
              <a:gd name="connsiteX16" fmla="*/ 39460 w 390207"/>
              <a:gd name="connsiteY16" fmla="*/ 297740 h 844123"/>
              <a:gd name="connsiteX17" fmla="*/ 39460 w 390207"/>
              <a:gd name="connsiteY17" fmla="*/ 317264 h 844123"/>
              <a:gd name="connsiteX18" fmla="*/ 58959 w 390207"/>
              <a:gd name="connsiteY18" fmla="*/ 336789 h 844123"/>
              <a:gd name="connsiteX19" fmla="*/ 78479 w 390207"/>
              <a:gd name="connsiteY19" fmla="*/ 356314 h 844123"/>
              <a:gd name="connsiteX20" fmla="*/ 97999 w 390207"/>
              <a:gd name="connsiteY20" fmla="*/ 356314 h 844123"/>
              <a:gd name="connsiteX21" fmla="*/ 117498 w 390207"/>
              <a:gd name="connsiteY21" fmla="*/ 375838 h 844123"/>
              <a:gd name="connsiteX22" fmla="*/ 137018 w 390207"/>
              <a:gd name="connsiteY22" fmla="*/ 395363 h 844123"/>
              <a:gd name="connsiteX23" fmla="*/ 137018 w 390207"/>
              <a:gd name="connsiteY23" fmla="*/ 414888 h 844123"/>
              <a:gd name="connsiteX24" fmla="*/ 137018 w 390207"/>
              <a:gd name="connsiteY24" fmla="*/ 434412 h 844123"/>
              <a:gd name="connsiteX25" fmla="*/ 156516 w 390207"/>
              <a:gd name="connsiteY25" fmla="*/ 453937 h 844123"/>
              <a:gd name="connsiteX26" fmla="*/ 156516 w 390207"/>
              <a:gd name="connsiteY26" fmla="*/ 473461 h 844123"/>
              <a:gd name="connsiteX27" fmla="*/ 176036 w 390207"/>
              <a:gd name="connsiteY27" fmla="*/ 492986 h 844123"/>
              <a:gd name="connsiteX28" fmla="*/ 195534 w 390207"/>
              <a:gd name="connsiteY28" fmla="*/ 512511 h 844123"/>
              <a:gd name="connsiteX29" fmla="*/ 195534 w 390207"/>
              <a:gd name="connsiteY29" fmla="*/ 532036 h 844123"/>
              <a:gd name="connsiteX30" fmla="*/ 195534 w 390207"/>
              <a:gd name="connsiteY30" fmla="*/ 551560 h 844123"/>
              <a:gd name="connsiteX31" fmla="*/ 215055 w 390207"/>
              <a:gd name="connsiteY31" fmla="*/ 571085 h 844123"/>
              <a:gd name="connsiteX32" fmla="*/ 215055 w 390207"/>
              <a:gd name="connsiteY32" fmla="*/ 590609 h 844123"/>
              <a:gd name="connsiteX33" fmla="*/ 215055 w 390207"/>
              <a:gd name="connsiteY33" fmla="*/ 610133 h 844123"/>
              <a:gd name="connsiteX34" fmla="*/ 234553 w 390207"/>
              <a:gd name="connsiteY34" fmla="*/ 629659 h 844123"/>
              <a:gd name="connsiteX35" fmla="*/ 254073 w 390207"/>
              <a:gd name="connsiteY35" fmla="*/ 649184 h 844123"/>
              <a:gd name="connsiteX36" fmla="*/ 254073 w 390207"/>
              <a:gd name="connsiteY36" fmla="*/ 668707 h 844123"/>
              <a:gd name="connsiteX37" fmla="*/ 254073 w 390207"/>
              <a:gd name="connsiteY37" fmla="*/ 688233 h 844123"/>
              <a:gd name="connsiteX38" fmla="*/ 273594 w 390207"/>
              <a:gd name="connsiteY38" fmla="*/ 707758 h 844123"/>
              <a:gd name="connsiteX39" fmla="*/ 293092 w 390207"/>
              <a:gd name="connsiteY39" fmla="*/ 727282 h 844123"/>
              <a:gd name="connsiteX40" fmla="*/ 312612 w 390207"/>
              <a:gd name="connsiteY40" fmla="*/ 746807 h 844123"/>
              <a:gd name="connsiteX41" fmla="*/ 332110 w 390207"/>
              <a:gd name="connsiteY41" fmla="*/ 766333 h 844123"/>
              <a:gd name="connsiteX42" fmla="*/ 351631 w 390207"/>
              <a:gd name="connsiteY42" fmla="*/ 766333 h 844123"/>
              <a:gd name="connsiteX43" fmla="*/ 371129 w 390207"/>
              <a:gd name="connsiteY43" fmla="*/ 785856 h 844123"/>
              <a:gd name="connsiteX44" fmla="*/ 390649 w 390207"/>
              <a:gd name="connsiteY44" fmla="*/ 805381 h 844123"/>
              <a:gd name="connsiteX45" fmla="*/ 390649 w 390207"/>
              <a:gd name="connsiteY45" fmla="*/ 824905 h 844123"/>
              <a:gd name="connsiteX46" fmla="*/ 390649 w 390207"/>
              <a:gd name="connsiteY46" fmla="*/ 844430 h 8441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</a:cxnLst>
            <a:rect l="l" t="t" r="r" b="b"/>
            <a:pathLst>
              <a:path w="390207" h="844123">
                <a:moveTo>
                  <a:pt x="19940" y="307"/>
                </a:moveTo>
                <a:lnTo>
                  <a:pt x="19940" y="4870"/>
                </a:lnTo>
                <a:lnTo>
                  <a:pt x="19940" y="24393"/>
                </a:lnTo>
                <a:lnTo>
                  <a:pt x="442" y="43919"/>
                </a:lnTo>
                <a:lnTo>
                  <a:pt x="442" y="63444"/>
                </a:lnTo>
                <a:lnTo>
                  <a:pt x="442" y="82968"/>
                </a:lnTo>
                <a:lnTo>
                  <a:pt x="442" y="102493"/>
                </a:lnTo>
                <a:lnTo>
                  <a:pt x="442" y="122018"/>
                </a:lnTo>
                <a:lnTo>
                  <a:pt x="442" y="141542"/>
                </a:lnTo>
                <a:lnTo>
                  <a:pt x="442" y="161067"/>
                </a:lnTo>
                <a:lnTo>
                  <a:pt x="442" y="180592"/>
                </a:lnTo>
                <a:lnTo>
                  <a:pt x="442" y="200116"/>
                </a:lnTo>
                <a:lnTo>
                  <a:pt x="19940" y="219641"/>
                </a:lnTo>
                <a:lnTo>
                  <a:pt x="19940" y="239166"/>
                </a:lnTo>
                <a:lnTo>
                  <a:pt x="19940" y="258690"/>
                </a:lnTo>
                <a:lnTo>
                  <a:pt x="19940" y="278215"/>
                </a:lnTo>
                <a:lnTo>
                  <a:pt x="39460" y="297740"/>
                </a:lnTo>
                <a:lnTo>
                  <a:pt x="39460" y="317264"/>
                </a:lnTo>
                <a:lnTo>
                  <a:pt x="58959" y="336789"/>
                </a:lnTo>
                <a:lnTo>
                  <a:pt x="78479" y="356314"/>
                </a:lnTo>
                <a:lnTo>
                  <a:pt x="97999" y="356314"/>
                </a:lnTo>
                <a:lnTo>
                  <a:pt x="117498" y="375838"/>
                </a:lnTo>
                <a:lnTo>
                  <a:pt x="137018" y="395363"/>
                </a:lnTo>
                <a:lnTo>
                  <a:pt x="137018" y="414888"/>
                </a:lnTo>
                <a:lnTo>
                  <a:pt x="137018" y="434412"/>
                </a:lnTo>
                <a:lnTo>
                  <a:pt x="156516" y="453937"/>
                </a:lnTo>
                <a:lnTo>
                  <a:pt x="156516" y="473461"/>
                </a:lnTo>
                <a:lnTo>
                  <a:pt x="176036" y="492986"/>
                </a:lnTo>
                <a:lnTo>
                  <a:pt x="195534" y="512511"/>
                </a:lnTo>
                <a:lnTo>
                  <a:pt x="195534" y="532036"/>
                </a:lnTo>
                <a:lnTo>
                  <a:pt x="195534" y="551560"/>
                </a:lnTo>
                <a:lnTo>
                  <a:pt x="215055" y="571085"/>
                </a:lnTo>
                <a:lnTo>
                  <a:pt x="215055" y="590609"/>
                </a:lnTo>
                <a:lnTo>
                  <a:pt x="215055" y="610133"/>
                </a:lnTo>
                <a:lnTo>
                  <a:pt x="234553" y="629659"/>
                </a:lnTo>
                <a:lnTo>
                  <a:pt x="254073" y="649184"/>
                </a:lnTo>
                <a:lnTo>
                  <a:pt x="254073" y="668707"/>
                </a:lnTo>
                <a:lnTo>
                  <a:pt x="254073" y="688233"/>
                </a:lnTo>
                <a:lnTo>
                  <a:pt x="273594" y="707758"/>
                </a:lnTo>
                <a:lnTo>
                  <a:pt x="293092" y="727282"/>
                </a:lnTo>
                <a:lnTo>
                  <a:pt x="312612" y="746807"/>
                </a:lnTo>
                <a:lnTo>
                  <a:pt x="332110" y="766333"/>
                </a:lnTo>
                <a:lnTo>
                  <a:pt x="351631" y="766333"/>
                </a:lnTo>
                <a:lnTo>
                  <a:pt x="371129" y="785856"/>
                </a:lnTo>
                <a:lnTo>
                  <a:pt x="390649" y="805381"/>
                </a:lnTo>
                <a:lnTo>
                  <a:pt x="390649" y="824905"/>
                </a:lnTo>
                <a:lnTo>
                  <a:pt x="390649" y="844430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grpSp>
        <xdr:nvGrpSpPr>
          <xdr:cNvPr id="32" name="Gráfico 3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GrpSpPr/>
        </xdr:nvGrpSpPr>
        <xdr:grpSpPr>
          <a:xfrm>
            <a:off x="4201430" y="4321095"/>
            <a:ext cx="5352156" cy="1235119"/>
            <a:chOff x="4178010" y="4255909"/>
            <a:chExt cx="5319367" cy="1210528"/>
          </a:xfrm>
          <a:noFill/>
        </xdr:grpSpPr>
        <xdr:sp macro="" textlink="">
          <xdr:nvSpPr>
            <xdr:cNvPr id="33" name="Forma libre: forma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/>
          </xdr:nvSpPr>
          <xdr:spPr>
            <a:xfrm>
              <a:off x="9399820" y="4255909"/>
              <a:ext cx="97557" cy="1210528"/>
            </a:xfrm>
            <a:custGeom>
              <a:avLst/>
              <a:gdLst>
                <a:gd name="connsiteX0" fmla="*/ 442 w 97557"/>
                <a:gd name="connsiteY0" fmla="*/ 307 h 1210528"/>
                <a:gd name="connsiteX1" fmla="*/ 442 w 97557"/>
                <a:gd name="connsiteY1" fmla="*/ 19832 h 1210528"/>
                <a:gd name="connsiteX2" fmla="*/ 442 w 97557"/>
                <a:gd name="connsiteY2" fmla="*/ 39355 h 1210528"/>
                <a:gd name="connsiteX3" fmla="*/ 442 w 97557"/>
                <a:gd name="connsiteY3" fmla="*/ 58881 h 1210528"/>
                <a:gd name="connsiteX4" fmla="*/ 442 w 97557"/>
                <a:gd name="connsiteY4" fmla="*/ 78406 h 1210528"/>
                <a:gd name="connsiteX5" fmla="*/ 19962 w 97557"/>
                <a:gd name="connsiteY5" fmla="*/ 97930 h 1210528"/>
                <a:gd name="connsiteX6" fmla="*/ 39460 w 97557"/>
                <a:gd name="connsiteY6" fmla="*/ 117455 h 1210528"/>
                <a:gd name="connsiteX7" fmla="*/ 58980 w 97557"/>
                <a:gd name="connsiteY7" fmla="*/ 136981 h 1210528"/>
                <a:gd name="connsiteX8" fmla="*/ 78479 w 97557"/>
                <a:gd name="connsiteY8" fmla="*/ 156504 h 1210528"/>
                <a:gd name="connsiteX9" fmla="*/ 78479 w 97557"/>
                <a:gd name="connsiteY9" fmla="*/ 176029 h 1210528"/>
                <a:gd name="connsiteX10" fmla="*/ 78479 w 97557"/>
                <a:gd name="connsiteY10" fmla="*/ 195553 h 1210528"/>
                <a:gd name="connsiteX11" fmla="*/ 78479 w 97557"/>
                <a:gd name="connsiteY11" fmla="*/ 215078 h 1210528"/>
                <a:gd name="connsiteX12" fmla="*/ 78479 w 97557"/>
                <a:gd name="connsiteY12" fmla="*/ 234604 h 1210528"/>
                <a:gd name="connsiteX13" fmla="*/ 78479 w 97557"/>
                <a:gd name="connsiteY13" fmla="*/ 254127 h 1210528"/>
                <a:gd name="connsiteX14" fmla="*/ 58980 w 97557"/>
                <a:gd name="connsiteY14" fmla="*/ 273652 h 1210528"/>
                <a:gd name="connsiteX15" fmla="*/ 58980 w 97557"/>
                <a:gd name="connsiteY15" fmla="*/ 293178 h 1210528"/>
                <a:gd name="connsiteX16" fmla="*/ 58980 w 97557"/>
                <a:gd name="connsiteY16" fmla="*/ 312701 h 1210528"/>
                <a:gd name="connsiteX17" fmla="*/ 58980 w 97557"/>
                <a:gd name="connsiteY17" fmla="*/ 332227 h 1210528"/>
                <a:gd name="connsiteX18" fmla="*/ 39460 w 97557"/>
                <a:gd name="connsiteY18" fmla="*/ 351750 h 1210528"/>
                <a:gd name="connsiteX19" fmla="*/ 39460 w 97557"/>
                <a:gd name="connsiteY19" fmla="*/ 371275 h 1210528"/>
                <a:gd name="connsiteX20" fmla="*/ 19962 w 97557"/>
                <a:gd name="connsiteY20" fmla="*/ 390801 h 1210528"/>
                <a:gd name="connsiteX21" fmla="*/ 19962 w 97557"/>
                <a:gd name="connsiteY21" fmla="*/ 410324 h 1210528"/>
                <a:gd name="connsiteX22" fmla="*/ 19962 w 97557"/>
                <a:gd name="connsiteY22" fmla="*/ 429849 h 1210528"/>
                <a:gd name="connsiteX23" fmla="*/ 19962 w 97557"/>
                <a:gd name="connsiteY23" fmla="*/ 449375 h 1210528"/>
                <a:gd name="connsiteX24" fmla="*/ 39460 w 97557"/>
                <a:gd name="connsiteY24" fmla="*/ 468898 h 1210528"/>
                <a:gd name="connsiteX25" fmla="*/ 39460 w 97557"/>
                <a:gd name="connsiteY25" fmla="*/ 488424 h 1210528"/>
                <a:gd name="connsiteX26" fmla="*/ 39460 w 97557"/>
                <a:gd name="connsiteY26" fmla="*/ 507949 h 1210528"/>
                <a:gd name="connsiteX27" fmla="*/ 39460 w 97557"/>
                <a:gd name="connsiteY27" fmla="*/ 527472 h 1210528"/>
                <a:gd name="connsiteX28" fmla="*/ 39460 w 97557"/>
                <a:gd name="connsiteY28" fmla="*/ 546998 h 1210528"/>
                <a:gd name="connsiteX29" fmla="*/ 39460 w 97557"/>
                <a:gd name="connsiteY29" fmla="*/ 566521 h 1210528"/>
                <a:gd name="connsiteX30" fmla="*/ 39460 w 97557"/>
                <a:gd name="connsiteY30" fmla="*/ 586047 h 1210528"/>
                <a:gd name="connsiteX31" fmla="*/ 39460 w 97557"/>
                <a:gd name="connsiteY31" fmla="*/ 605572 h 1210528"/>
                <a:gd name="connsiteX32" fmla="*/ 39460 w 97557"/>
                <a:gd name="connsiteY32" fmla="*/ 625095 h 1210528"/>
                <a:gd name="connsiteX33" fmla="*/ 39460 w 97557"/>
                <a:gd name="connsiteY33" fmla="*/ 644621 h 1210528"/>
                <a:gd name="connsiteX34" fmla="*/ 39460 w 97557"/>
                <a:gd name="connsiteY34" fmla="*/ 664146 h 1210528"/>
                <a:gd name="connsiteX35" fmla="*/ 39460 w 97557"/>
                <a:gd name="connsiteY35" fmla="*/ 683670 h 1210528"/>
                <a:gd name="connsiteX36" fmla="*/ 39460 w 97557"/>
                <a:gd name="connsiteY36" fmla="*/ 703195 h 1210528"/>
                <a:gd name="connsiteX37" fmla="*/ 39460 w 97557"/>
                <a:gd name="connsiteY37" fmla="*/ 722720 h 1210528"/>
                <a:gd name="connsiteX38" fmla="*/ 39460 w 97557"/>
                <a:gd name="connsiteY38" fmla="*/ 742244 h 1210528"/>
                <a:gd name="connsiteX39" fmla="*/ 58980 w 97557"/>
                <a:gd name="connsiteY39" fmla="*/ 761769 h 1210528"/>
                <a:gd name="connsiteX40" fmla="*/ 78479 w 97557"/>
                <a:gd name="connsiteY40" fmla="*/ 781293 h 1210528"/>
                <a:gd name="connsiteX41" fmla="*/ 97999 w 97557"/>
                <a:gd name="connsiteY41" fmla="*/ 800818 h 1210528"/>
                <a:gd name="connsiteX42" fmla="*/ 97999 w 97557"/>
                <a:gd name="connsiteY42" fmla="*/ 820343 h 1210528"/>
                <a:gd name="connsiteX43" fmla="*/ 97999 w 97557"/>
                <a:gd name="connsiteY43" fmla="*/ 839867 h 1210528"/>
                <a:gd name="connsiteX44" fmla="*/ 97999 w 97557"/>
                <a:gd name="connsiteY44" fmla="*/ 859392 h 1210528"/>
                <a:gd name="connsiteX45" fmla="*/ 78479 w 97557"/>
                <a:gd name="connsiteY45" fmla="*/ 878918 h 1210528"/>
                <a:gd name="connsiteX46" fmla="*/ 78479 w 97557"/>
                <a:gd name="connsiteY46" fmla="*/ 898441 h 1210528"/>
                <a:gd name="connsiteX47" fmla="*/ 78479 w 97557"/>
                <a:gd name="connsiteY47" fmla="*/ 917966 h 1210528"/>
                <a:gd name="connsiteX48" fmla="*/ 78479 w 97557"/>
                <a:gd name="connsiteY48" fmla="*/ 937490 h 1210528"/>
                <a:gd name="connsiteX49" fmla="*/ 78479 w 97557"/>
                <a:gd name="connsiteY49" fmla="*/ 957015 h 1210528"/>
                <a:gd name="connsiteX50" fmla="*/ 78479 w 97557"/>
                <a:gd name="connsiteY50" fmla="*/ 976541 h 1210528"/>
                <a:gd name="connsiteX51" fmla="*/ 58980 w 97557"/>
                <a:gd name="connsiteY51" fmla="*/ 996064 h 1210528"/>
                <a:gd name="connsiteX52" fmla="*/ 39460 w 97557"/>
                <a:gd name="connsiteY52" fmla="*/ 1015589 h 1210528"/>
                <a:gd name="connsiteX53" fmla="*/ 39460 w 97557"/>
                <a:gd name="connsiteY53" fmla="*/ 1035115 h 1210528"/>
                <a:gd name="connsiteX54" fmla="*/ 39460 w 97557"/>
                <a:gd name="connsiteY54" fmla="*/ 1054638 h 1210528"/>
                <a:gd name="connsiteX55" fmla="*/ 58980 w 97557"/>
                <a:gd name="connsiteY55" fmla="*/ 1074164 h 1210528"/>
                <a:gd name="connsiteX56" fmla="*/ 58980 w 97557"/>
                <a:gd name="connsiteY56" fmla="*/ 1093689 h 1210528"/>
                <a:gd name="connsiteX57" fmla="*/ 58980 w 97557"/>
                <a:gd name="connsiteY57" fmla="*/ 1113212 h 1210528"/>
                <a:gd name="connsiteX58" fmla="*/ 58980 w 97557"/>
                <a:gd name="connsiteY58" fmla="*/ 1132738 h 1210528"/>
                <a:gd name="connsiteX59" fmla="*/ 39460 w 97557"/>
                <a:gd name="connsiteY59" fmla="*/ 1152261 h 1210528"/>
                <a:gd name="connsiteX60" fmla="*/ 39460 w 97557"/>
                <a:gd name="connsiteY60" fmla="*/ 1171786 h 1210528"/>
                <a:gd name="connsiteX61" fmla="*/ 39460 w 97557"/>
                <a:gd name="connsiteY61" fmla="*/ 1191312 h 1210528"/>
                <a:gd name="connsiteX62" fmla="*/ 19962 w 97557"/>
                <a:gd name="connsiteY62" fmla="*/ 1210835 h 121052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</a:cxnLst>
              <a:rect l="l" t="t" r="r" b="b"/>
              <a:pathLst>
                <a:path w="97557" h="1210528">
                  <a:moveTo>
                    <a:pt x="442" y="307"/>
                  </a:moveTo>
                  <a:lnTo>
                    <a:pt x="442" y="19832"/>
                  </a:lnTo>
                  <a:lnTo>
                    <a:pt x="442" y="39355"/>
                  </a:lnTo>
                  <a:lnTo>
                    <a:pt x="442" y="58881"/>
                  </a:lnTo>
                  <a:lnTo>
                    <a:pt x="442" y="78406"/>
                  </a:lnTo>
                  <a:lnTo>
                    <a:pt x="19962" y="97930"/>
                  </a:lnTo>
                  <a:lnTo>
                    <a:pt x="39460" y="117455"/>
                  </a:lnTo>
                  <a:lnTo>
                    <a:pt x="58980" y="136981"/>
                  </a:lnTo>
                  <a:lnTo>
                    <a:pt x="78479" y="156504"/>
                  </a:lnTo>
                  <a:lnTo>
                    <a:pt x="78479" y="176029"/>
                  </a:lnTo>
                  <a:lnTo>
                    <a:pt x="78479" y="195553"/>
                  </a:lnTo>
                  <a:lnTo>
                    <a:pt x="78479" y="215078"/>
                  </a:lnTo>
                  <a:lnTo>
                    <a:pt x="78479" y="234604"/>
                  </a:lnTo>
                  <a:lnTo>
                    <a:pt x="78479" y="254127"/>
                  </a:lnTo>
                  <a:lnTo>
                    <a:pt x="58980" y="273652"/>
                  </a:lnTo>
                  <a:lnTo>
                    <a:pt x="58980" y="293178"/>
                  </a:lnTo>
                  <a:lnTo>
                    <a:pt x="58980" y="312701"/>
                  </a:lnTo>
                  <a:lnTo>
                    <a:pt x="58980" y="332227"/>
                  </a:lnTo>
                  <a:lnTo>
                    <a:pt x="39460" y="351750"/>
                  </a:lnTo>
                  <a:lnTo>
                    <a:pt x="39460" y="371275"/>
                  </a:lnTo>
                  <a:lnTo>
                    <a:pt x="19962" y="390801"/>
                  </a:lnTo>
                  <a:lnTo>
                    <a:pt x="19962" y="410324"/>
                  </a:lnTo>
                  <a:lnTo>
                    <a:pt x="19962" y="429849"/>
                  </a:lnTo>
                  <a:lnTo>
                    <a:pt x="19962" y="449375"/>
                  </a:lnTo>
                  <a:lnTo>
                    <a:pt x="39460" y="468898"/>
                  </a:lnTo>
                  <a:lnTo>
                    <a:pt x="39460" y="488424"/>
                  </a:lnTo>
                  <a:lnTo>
                    <a:pt x="39460" y="507949"/>
                  </a:lnTo>
                  <a:lnTo>
                    <a:pt x="39460" y="527472"/>
                  </a:lnTo>
                  <a:lnTo>
                    <a:pt x="39460" y="546998"/>
                  </a:lnTo>
                  <a:lnTo>
                    <a:pt x="39460" y="566521"/>
                  </a:lnTo>
                  <a:lnTo>
                    <a:pt x="39460" y="586047"/>
                  </a:lnTo>
                  <a:lnTo>
                    <a:pt x="39460" y="605572"/>
                  </a:lnTo>
                  <a:lnTo>
                    <a:pt x="39460" y="625095"/>
                  </a:lnTo>
                  <a:lnTo>
                    <a:pt x="39460" y="644621"/>
                  </a:lnTo>
                  <a:lnTo>
                    <a:pt x="39460" y="664146"/>
                  </a:lnTo>
                  <a:lnTo>
                    <a:pt x="39460" y="683670"/>
                  </a:lnTo>
                  <a:lnTo>
                    <a:pt x="39460" y="703195"/>
                  </a:lnTo>
                  <a:lnTo>
                    <a:pt x="39460" y="722720"/>
                  </a:lnTo>
                  <a:lnTo>
                    <a:pt x="39460" y="742244"/>
                  </a:lnTo>
                  <a:lnTo>
                    <a:pt x="58980" y="761769"/>
                  </a:lnTo>
                  <a:lnTo>
                    <a:pt x="78479" y="781293"/>
                  </a:lnTo>
                  <a:lnTo>
                    <a:pt x="97999" y="800818"/>
                  </a:lnTo>
                  <a:lnTo>
                    <a:pt x="97999" y="820343"/>
                  </a:lnTo>
                  <a:lnTo>
                    <a:pt x="97999" y="839867"/>
                  </a:lnTo>
                  <a:lnTo>
                    <a:pt x="97999" y="859392"/>
                  </a:lnTo>
                  <a:lnTo>
                    <a:pt x="78479" y="878918"/>
                  </a:lnTo>
                  <a:lnTo>
                    <a:pt x="78479" y="898441"/>
                  </a:lnTo>
                  <a:lnTo>
                    <a:pt x="78479" y="917966"/>
                  </a:lnTo>
                  <a:lnTo>
                    <a:pt x="78479" y="937490"/>
                  </a:lnTo>
                  <a:lnTo>
                    <a:pt x="78479" y="957015"/>
                  </a:lnTo>
                  <a:lnTo>
                    <a:pt x="78479" y="976541"/>
                  </a:lnTo>
                  <a:lnTo>
                    <a:pt x="58980" y="996064"/>
                  </a:lnTo>
                  <a:lnTo>
                    <a:pt x="39460" y="1015589"/>
                  </a:lnTo>
                  <a:lnTo>
                    <a:pt x="39460" y="1035115"/>
                  </a:lnTo>
                  <a:lnTo>
                    <a:pt x="39460" y="1054638"/>
                  </a:lnTo>
                  <a:lnTo>
                    <a:pt x="58980" y="1074164"/>
                  </a:lnTo>
                  <a:lnTo>
                    <a:pt x="58980" y="1093689"/>
                  </a:lnTo>
                  <a:lnTo>
                    <a:pt x="58980" y="1113212"/>
                  </a:lnTo>
                  <a:lnTo>
                    <a:pt x="58980" y="1132738"/>
                  </a:lnTo>
                  <a:lnTo>
                    <a:pt x="39460" y="1152261"/>
                  </a:lnTo>
                  <a:lnTo>
                    <a:pt x="39460" y="1171786"/>
                  </a:lnTo>
                  <a:lnTo>
                    <a:pt x="39460" y="1191312"/>
                  </a:lnTo>
                  <a:lnTo>
                    <a:pt x="19962" y="1210835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34" name="Forma libre: forma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/>
          </xdr:nvSpPr>
          <xdr:spPr>
            <a:xfrm>
              <a:off x="4288028" y="4978323"/>
              <a:ext cx="780425" cy="234294"/>
            </a:xfrm>
            <a:custGeom>
              <a:avLst/>
              <a:gdLst>
                <a:gd name="connsiteX0" fmla="*/ 442 w 780425"/>
                <a:gd name="connsiteY0" fmla="*/ 307 h 234294"/>
                <a:gd name="connsiteX1" fmla="*/ 19954 w 780425"/>
                <a:gd name="connsiteY1" fmla="*/ 19830 h 234294"/>
                <a:gd name="connsiteX2" fmla="*/ 39463 w 780425"/>
                <a:gd name="connsiteY2" fmla="*/ 39355 h 234294"/>
                <a:gd name="connsiteX3" fmla="*/ 58975 w 780425"/>
                <a:gd name="connsiteY3" fmla="*/ 39355 h 234294"/>
                <a:gd name="connsiteX4" fmla="*/ 78484 w 780425"/>
                <a:gd name="connsiteY4" fmla="*/ 58879 h 234294"/>
                <a:gd name="connsiteX5" fmla="*/ 97995 w 780425"/>
                <a:gd name="connsiteY5" fmla="*/ 58879 h 234294"/>
                <a:gd name="connsiteX6" fmla="*/ 117507 w 780425"/>
                <a:gd name="connsiteY6" fmla="*/ 58879 h 234294"/>
                <a:gd name="connsiteX7" fmla="*/ 137016 w 780425"/>
                <a:gd name="connsiteY7" fmla="*/ 58879 h 234294"/>
                <a:gd name="connsiteX8" fmla="*/ 156527 w 780425"/>
                <a:gd name="connsiteY8" fmla="*/ 39355 h 234294"/>
                <a:gd name="connsiteX9" fmla="*/ 176039 w 780425"/>
                <a:gd name="connsiteY9" fmla="*/ 39355 h 234294"/>
                <a:gd name="connsiteX10" fmla="*/ 195548 w 780425"/>
                <a:gd name="connsiteY10" fmla="*/ 58879 h 234294"/>
                <a:gd name="connsiteX11" fmla="*/ 195548 w 780425"/>
                <a:gd name="connsiteY11" fmla="*/ 78404 h 234294"/>
                <a:gd name="connsiteX12" fmla="*/ 215060 w 780425"/>
                <a:gd name="connsiteY12" fmla="*/ 97930 h 234294"/>
                <a:gd name="connsiteX13" fmla="*/ 234571 w 780425"/>
                <a:gd name="connsiteY13" fmla="*/ 97930 h 234294"/>
                <a:gd name="connsiteX14" fmla="*/ 254081 w 780425"/>
                <a:gd name="connsiteY14" fmla="*/ 97930 h 234294"/>
                <a:gd name="connsiteX15" fmla="*/ 273591 w 780425"/>
                <a:gd name="connsiteY15" fmla="*/ 117453 h 234294"/>
                <a:gd name="connsiteX16" fmla="*/ 293102 w 780425"/>
                <a:gd name="connsiteY16" fmla="*/ 136978 h 234294"/>
                <a:gd name="connsiteX17" fmla="*/ 293102 w 780425"/>
                <a:gd name="connsiteY17" fmla="*/ 156504 h 234294"/>
                <a:gd name="connsiteX18" fmla="*/ 312613 w 780425"/>
                <a:gd name="connsiteY18" fmla="*/ 176027 h 234294"/>
                <a:gd name="connsiteX19" fmla="*/ 332123 w 780425"/>
                <a:gd name="connsiteY19" fmla="*/ 195553 h 234294"/>
                <a:gd name="connsiteX20" fmla="*/ 332123 w 780425"/>
                <a:gd name="connsiteY20" fmla="*/ 215076 h 234294"/>
                <a:gd name="connsiteX21" fmla="*/ 351634 w 780425"/>
                <a:gd name="connsiteY21" fmla="*/ 234601 h 234294"/>
                <a:gd name="connsiteX22" fmla="*/ 371145 w 780425"/>
                <a:gd name="connsiteY22" fmla="*/ 234601 h 234294"/>
                <a:gd name="connsiteX23" fmla="*/ 390655 w 780425"/>
                <a:gd name="connsiteY23" fmla="*/ 215076 h 234294"/>
                <a:gd name="connsiteX24" fmla="*/ 410166 w 780425"/>
                <a:gd name="connsiteY24" fmla="*/ 215076 h 234294"/>
                <a:gd name="connsiteX25" fmla="*/ 429676 w 780425"/>
                <a:gd name="connsiteY25" fmla="*/ 215076 h 234294"/>
                <a:gd name="connsiteX26" fmla="*/ 449187 w 780425"/>
                <a:gd name="connsiteY26" fmla="*/ 215076 h 234294"/>
                <a:gd name="connsiteX27" fmla="*/ 468698 w 780425"/>
                <a:gd name="connsiteY27" fmla="*/ 195553 h 234294"/>
                <a:gd name="connsiteX28" fmla="*/ 468698 w 780425"/>
                <a:gd name="connsiteY28" fmla="*/ 176027 h 234294"/>
                <a:gd name="connsiteX29" fmla="*/ 488209 w 780425"/>
                <a:gd name="connsiteY29" fmla="*/ 156504 h 234294"/>
                <a:gd name="connsiteX30" fmla="*/ 507719 w 780425"/>
                <a:gd name="connsiteY30" fmla="*/ 156504 h 234294"/>
                <a:gd name="connsiteX31" fmla="*/ 527230 w 780425"/>
                <a:gd name="connsiteY31" fmla="*/ 176027 h 234294"/>
                <a:gd name="connsiteX32" fmla="*/ 546741 w 780425"/>
                <a:gd name="connsiteY32" fmla="*/ 176027 h 234294"/>
                <a:gd name="connsiteX33" fmla="*/ 566251 w 780425"/>
                <a:gd name="connsiteY33" fmla="*/ 156504 h 234294"/>
                <a:gd name="connsiteX34" fmla="*/ 566251 w 780425"/>
                <a:gd name="connsiteY34" fmla="*/ 136978 h 234294"/>
                <a:gd name="connsiteX35" fmla="*/ 566251 w 780425"/>
                <a:gd name="connsiteY35" fmla="*/ 117453 h 234294"/>
                <a:gd name="connsiteX36" fmla="*/ 566251 w 780425"/>
                <a:gd name="connsiteY36" fmla="*/ 97930 h 234294"/>
                <a:gd name="connsiteX37" fmla="*/ 566251 w 780425"/>
                <a:gd name="connsiteY37" fmla="*/ 78404 h 234294"/>
                <a:gd name="connsiteX38" fmla="*/ 585762 w 780425"/>
                <a:gd name="connsiteY38" fmla="*/ 58879 h 234294"/>
                <a:gd name="connsiteX39" fmla="*/ 605273 w 780425"/>
                <a:gd name="connsiteY39" fmla="*/ 58879 h 234294"/>
                <a:gd name="connsiteX40" fmla="*/ 624783 w 780425"/>
                <a:gd name="connsiteY40" fmla="*/ 58879 h 234294"/>
                <a:gd name="connsiteX41" fmla="*/ 644294 w 780425"/>
                <a:gd name="connsiteY41" fmla="*/ 78404 h 234294"/>
                <a:gd name="connsiteX42" fmla="*/ 663805 w 780425"/>
                <a:gd name="connsiteY42" fmla="*/ 97930 h 234294"/>
                <a:gd name="connsiteX43" fmla="*/ 683315 w 780425"/>
                <a:gd name="connsiteY43" fmla="*/ 97930 h 234294"/>
                <a:gd name="connsiteX44" fmla="*/ 702826 w 780425"/>
                <a:gd name="connsiteY44" fmla="*/ 97930 h 234294"/>
                <a:gd name="connsiteX45" fmla="*/ 722336 w 780425"/>
                <a:gd name="connsiteY45" fmla="*/ 78404 h 234294"/>
                <a:gd name="connsiteX46" fmla="*/ 741847 w 780425"/>
                <a:gd name="connsiteY46" fmla="*/ 58879 h 234294"/>
                <a:gd name="connsiteX47" fmla="*/ 761359 w 780425"/>
                <a:gd name="connsiteY47" fmla="*/ 39355 h 234294"/>
                <a:gd name="connsiteX48" fmla="*/ 780868 w 780425"/>
                <a:gd name="connsiteY48" fmla="*/ 39355 h 2342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</a:cxnLst>
              <a:rect l="l" t="t" r="r" b="b"/>
              <a:pathLst>
                <a:path w="780425" h="234294">
                  <a:moveTo>
                    <a:pt x="442" y="307"/>
                  </a:moveTo>
                  <a:lnTo>
                    <a:pt x="19954" y="19830"/>
                  </a:lnTo>
                  <a:lnTo>
                    <a:pt x="39463" y="39355"/>
                  </a:lnTo>
                  <a:lnTo>
                    <a:pt x="58975" y="39355"/>
                  </a:lnTo>
                  <a:lnTo>
                    <a:pt x="78484" y="58879"/>
                  </a:lnTo>
                  <a:lnTo>
                    <a:pt x="97995" y="58879"/>
                  </a:lnTo>
                  <a:lnTo>
                    <a:pt x="117507" y="58879"/>
                  </a:lnTo>
                  <a:lnTo>
                    <a:pt x="137016" y="58879"/>
                  </a:lnTo>
                  <a:lnTo>
                    <a:pt x="156527" y="39355"/>
                  </a:lnTo>
                  <a:lnTo>
                    <a:pt x="176039" y="39355"/>
                  </a:lnTo>
                  <a:lnTo>
                    <a:pt x="195548" y="58879"/>
                  </a:lnTo>
                  <a:lnTo>
                    <a:pt x="195548" y="78404"/>
                  </a:lnTo>
                  <a:lnTo>
                    <a:pt x="215060" y="97930"/>
                  </a:lnTo>
                  <a:lnTo>
                    <a:pt x="234571" y="97930"/>
                  </a:lnTo>
                  <a:lnTo>
                    <a:pt x="254081" y="97930"/>
                  </a:lnTo>
                  <a:lnTo>
                    <a:pt x="273591" y="117453"/>
                  </a:lnTo>
                  <a:lnTo>
                    <a:pt x="293102" y="136978"/>
                  </a:lnTo>
                  <a:lnTo>
                    <a:pt x="293102" y="156504"/>
                  </a:lnTo>
                  <a:lnTo>
                    <a:pt x="312613" y="176027"/>
                  </a:lnTo>
                  <a:lnTo>
                    <a:pt x="332123" y="195553"/>
                  </a:lnTo>
                  <a:lnTo>
                    <a:pt x="332123" y="215076"/>
                  </a:lnTo>
                  <a:lnTo>
                    <a:pt x="351634" y="234601"/>
                  </a:lnTo>
                  <a:lnTo>
                    <a:pt x="371145" y="234601"/>
                  </a:lnTo>
                  <a:lnTo>
                    <a:pt x="390655" y="215076"/>
                  </a:lnTo>
                  <a:lnTo>
                    <a:pt x="410166" y="215076"/>
                  </a:lnTo>
                  <a:lnTo>
                    <a:pt x="429676" y="215076"/>
                  </a:lnTo>
                  <a:lnTo>
                    <a:pt x="449187" y="215076"/>
                  </a:lnTo>
                  <a:lnTo>
                    <a:pt x="468698" y="195553"/>
                  </a:lnTo>
                  <a:lnTo>
                    <a:pt x="468698" y="176027"/>
                  </a:lnTo>
                  <a:lnTo>
                    <a:pt x="488209" y="156504"/>
                  </a:lnTo>
                  <a:lnTo>
                    <a:pt x="507719" y="156504"/>
                  </a:lnTo>
                  <a:lnTo>
                    <a:pt x="527230" y="176027"/>
                  </a:lnTo>
                  <a:lnTo>
                    <a:pt x="546741" y="176027"/>
                  </a:lnTo>
                  <a:lnTo>
                    <a:pt x="566251" y="156504"/>
                  </a:lnTo>
                  <a:lnTo>
                    <a:pt x="566251" y="136978"/>
                  </a:lnTo>
                  <a:lnTo>
                    <a:pt x="566251" y="117453"/>
                  </a:lnTo>
                  <a:lnTo>
                    <a:pt x="566251" y="97930"/>
                  </a:lnTo>
                  <a:lnTo>
                    <a:pt x="566251" y="78404"/>
                  </a:lnTo>
                  <a:lnTo>
                    <a:pt x="585762" y="58879"/>
                  </a:lnTo>
                  <a:lnTo>
                    <a:pt x="605273" y="58879"/>
                  </a:lnTo>
                  <a:lnTo>
                    <a:pt x="624783" y="58879"/>
                  </a:lnTo>
                  <a:lnTo>
                    <a:pt x="644294" y="78404"/>
                  </a:lnTo>
                  <a:lnTo>
                    <a:pt x="663805" y="97930"/>
                  </a:lnTo>
                  <a:lnTo>
                    <a:pt x="683315" y="97930"/>
                  </a:lnTo>
                  <a:lnTo>
                    <a:pt x="702826" y="97930"/>
                  </a:lnTo>
                  <a:lnTo>
                    <a:pt x="722336" y="78404"/>
                  </a:lnTo>
                  <a:lnTo>
                    <a:pt x="741847" y="58879"/>
                  </a:lnTo>
                  <a:lnTo>
                    <a:pt x="761359" y="39355"/>
                  </a:lnTo>
                  <a:lnTo>
                    <a:pt x="780868" y="39355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35" name="Forma libre: forma 34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SpPr/>
          </xdr:nvSpPr>
          <xdr:spPr>
            <a:xfrm>
              <a:off x="4178010" y="4724500"/>
              <a:ext cx="890443" cy="292871"/>
            </a:xfrm>
            <a:custGeom>
              <a:avLst/>
              <a:gdLst>
                <a:gd name="connsiteX0" fmla="*/ 442 w 890443"/>
                <a:gd name="connsiteY0" fmla="*/ 78406 h 292871"/>
                <a:gd name="connsiteX1" fmla="*/ 12908 w 890443"/>
                <a:gd name="connsiteY1" fmla="*/ 78406 h 292871"/>
                <a:gd name="connsiteX2" fmla="*/ 32417 w 890443"/>
                <a:gd name="connsiteY2" fmla="*/ 78406 h 292871"/>
                <a:gd name="connsiteX3" fmla="*/ 51929 w 890443"/>
                <a:gd name="connsiteY3" fmla="*/ 97930 h 292871"/>
                <a:gd name="connsiteX4" fmla="*/ 71440 w 890443"/>
                <a:gd name="connsiteY4" fmla="*/ 78406 h 292871"/>
                <a:gd name="connsiteX5" fmla="*/ 90949 w 890443"/>
                <a:gd name="connsiteY5" fmla="*/ 78406 h 292871"/>
                <a:gd name="connsiteX6" fmla="*/ 110461 w 890443"/>
                <a:gd name="connsiteY6" fmla="*/ 97930 h 292871"/>
                <a:gd name="connsiteX7" fmla="*/ 129972 w 890443"/>
                <a:gd name="connsiteY7" fmla="*/ 97930 h 292871"/>
                <a:gd name="connsiteX8" fmla="*/ 149482 w 890443"/>
                <a:gd name="connsiteY8" fmla="*/ 97930 h 292871"/>
                <a:gd name="connsiteX9" fmla="*/ 168993 w 890443"/>
                <a:gd name="connsiteY9" fmla="*/ 78406 h 292871"/>
                <a:gd name="connsiteX10" fmla="*/ 188502 w 890443"/>
                <a:gd name="connsiteY10" fmla="*/ 58881 h 292871"/>
                <a:gd name="connsiteX11" fmla="*/ 208014 w 890443"/>
                <a:gd name="connsiteY11" fmla="*/ 58881 h 292871"/>
                <a:gd name="connsiteX12" fmla="*/ 227525 w 890443"/>
                <a:gd name="connsiteY12" fmla="*/ 39358 h 292871"/>
                <a:gd name="connsiteX13" fmla="*/ 247034 w 890443"/>
                <a:gd name="connsiteY13" fmla="*/ 39358 h 292871"/>
                <a:gd name="connsiteX14" fmla="*/ 266546 w 890443"/>
                <a:gd name="connsiteY14" fmla="*/ 39358 h 292871"/>
                <a:gd name="connsiteX15" fmla="*/ 286057 w 890443"/>
                <a:gd name="connsiteY15" fmla="*/ 19832 h 292871"/>
                <a:gd name="connsiteX16" fmla="*/ 305567 w 890443"/>
                <a:gd name="connsiteY16" fmla="*/ 19832 h 292871"/>
                <a:gd name="connsiteX17" fmla="*/ 325078 w 890443"/>
                <a:gd name="connsiteY17" fmla="*/ 19832 h 292871"/>
                <a:gd name="connsiteX18" fmla="*/ 344590 w 890443"/>
                <a:gd name="connsiteY18" fmla="*/ 19832 h 292871"/>
                <a:gd name="connsiteX19" fmla="*/ 364099 w 890443"/>
                <a:gd name="connsiteY19" fmla="*/ 19832 h 292871"/>
                <a:gd name="connsiteX20" fmla="*/ 383610 w 890443"/>
                <a:gd name="connsiteY20" fmla="*/ 307 h 292871"/>
                <a:gd name="connsiteX21" fmla="*/ 403120 w 890443"/>
                <a:gd name="connsiteY21" fmla="*/ 307 h 292871"/>
                <a:gd name="connsiteX22" fmla="*/ 422631 w 890443"/>
                <a:gd name="connsiteY22" fmla="*/ 307 h 292871"/>
                <a:gd name="connsiteX23" fmla="*/ 442142 w 890443"/>
                <a:gd name="connsiteY23" fmla="*/ 307 h 292871"/>
                <a:gd name="connsiteX24" fmla="*/ 461652 w 890443"/>
                <a:gd name="connsiteY24" fmla="*/ 19832 h 292871"/>
                <a:gd name="connsiteX25" fmla="*/ 481163 w 890443"/>
                <a:gd name="connsiteY25" fmla="*/ 19832 h 292871"/>
                <a:gd name="connsiteX26" fmla="*/ 500674 w 890443"/>
                <a:gd name="connsiteY26" fmla="*/ 19832 h 292871"/>
                <a:gd name="connsiteX27" fmla="*/ 520184 w 890443"/>
                <a:gd name="connsiteY27" fmla="*/ 19832 h 292871"/>
                <a:gd name="connsiteX28" fmla="*/ 539695 w 890443"/>
                <a:gd name="connsiteY28" fmla="*/ 19832 h 292871"/>
                <a:gd name="connsiteX29" fmla="*/ 559206 w 890443"/>
                <a:gd name="connsiteY29" fmla="*/ 19832 h 292871"/>
                <a:gd name="connsiteX30" fmla="*/ 578716 w 890443"/>
                <a:gd name="connsiteY30" fmla="*/ 19832 h 292871"/>
                <a:gd name="connsiteX31" fmla="*/ 598227 w 890443"/>
                <a:gd name="connsiteY31" fmla="*/ 19832 h 292871"/>
                <a:gd name="connsiteX32" fmla="*/ 617738 w 890443"/>
                <a:gd name="connsiteY32" fmla="*/ 39358 h 292871"/>
                <a:gd name="connsiteX33" fmla="*/ 637248 w 890443"/>
                <a:gd name="connsiteY33" fmla="*/ 58881 h 292871"/>
                <a:gd name="connsiteX34" fmla="*/ 637248 w 890443"/>
                <a:gd name="connsiteY34" fmla="*/ 78406 h 292871"/>
                <a:gd name="connsiteX35" fmla="*/ 656759 w 890443"/>
                <a:gd name="connsiteY35" fmla="*/ 97930 h 292871"/>
                <a:gd name="connsiteX36" fmla="*/ 676270 w 890443"/>
                <a:gd name="connsiteY36" fmla="*/ 97930 h 292871"/>
                <a:gd name="connsiteX37" fmla="*/ 695780 w 890443"/>
                <a:gd name="connsiteY37" fmla="*/ 97930 h 292871"/>
                <a:gd name="connsiteX38" fmla="*/ 715291 w 890443"/>
                <a:gd name="connsiteY38" fmla="*/ 117455 h 292871"/>
                <a:gd name="connsiteX39" fmla="*/ 734802 w 890443"/>
                <a:gd name="connsiteY39" fmla="*/ 136981 h 292871"/>
                <a:gd name="connsiteX40" fmla="*/ 754312 w 890443"/>
                <a:gd name="connsiteY40" fmla="*/ 156504 h 292871"/>
                <a:gd name="connsiteX41" fmla="*/ 773823 w 890443"/>
                <a:gd name="connsiteY41" fmla="*/ 156504 h 292871"/>
                <a:gd name="connsiteX42" fmla="*/ 793334 w 890443"/>
                <a:gd name="connsiteY42" fmla="*/ 176029 h 292871"/>
                <a:gd name="connsiteX43" fmla="*/ 812845 w 890443"/>
                <a:gd name="connsiteY43" fmla="*/ 176029 h 292871"/>
                <a:gd name="connsiteX44" fmla="*/ 832354 w 890443"/>
                <a:gd name="connsiteY44" fmla="*/ 195555 h 292871"/>
                <a:gd name="connsiteX45" fmla="*/ 851866 w 890443"/>
                <a:gd name="connsiteY45" fmla="*/ 215078 h 292871"/>
                <a:gd name="connsiteX46" fmla="*/ 851866 w 890443"/>
                <a:gd name="connsiteY46" fmla="*/ 234604 h 292871"/>
                <a:gd name="connsiteX47" fmla="*/ 871377 w 890443"/>
                <a:gd name="connsiteY47" fmla="*/ 254129 h 292871"/>
                <a:gd name="connsiteX48" fmla="*/ 871377 w 890443"/>
                <a:gd name="connsiteY48" fmla="*/ 273652 h 292871"/>
                <a:gd name="connsiteX49" fmla="*/ 879311 w 890443"/>
                <a:gd name="connsiteY49" fmla="*/ 281561 h 292871"/>
                <a:gd name="connsiteX50" fmla="*/ 890886 w 890443"/>
                <a:gd name="connsiteY50" fmla="*/ 293178 h 292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</a:cxnLst>
              <a:rect l="l" t="t" r="r" b="b"/>
              <a:pathLst>
                <a:path w="890443" h="292871">
                  <a:moveTo>
                    <a:pt x="442" y="78406"/>
                  </a:moveTo>
                  <a:lnTo>
                    <a:pt x="12908" y="78406"/>
                  </a:lnTo>
                  <a:lnTo>
                    <a:pt x="32417" y="78406"/>
                  </a:lnTo>
                  <a:lnTo>
                    <a:pt x="51929" y="97930"/>
                  </a:lnTo>
                  <a:lnTo>
                    <a:pt x="71440" y="78406"/>
                  </a:lnTo>
                  <a:lnTo>
                    <a:pt x="90949" y="78406"/>
                  </a:lnTo>
                  <a:lnTo>
                    <a:pt x="110461" y="97930"/>
                  </a:lnTo>
                  <a:lnTo>
                    <a:pt x="129972" y="97930"/>
                  </a:lnTo>
                  <a:lnTo>
                    <a:pt x="149482" y="97930"/>
                  </a:lnTo>
                  <a:lnTo>
                    <a:pt x="168993" y="78406"/>
                  </a:lnTo>
                  <a:lnTo>
                    <a:pt x="188502" y="58881"/>
                  </a:lnTo>
                  <a:lnTo>
                    <a:pt x="208014" y="58881"/>
                  </a:lnTo>
                  <a:lnTo>
                    <a:pt x="227525" y="39358"/>
                  </a:lnTo>
                  <a:lnTo>
                    <a:pt x="247034" y="39358"/>
                  </a:lnTo>
                  <a:lnTo>
                    <a:pt x="266546" y="39358"/>
                  </a:lnTo>
                  <a:lnTo>
                    <a:pt x="286057" y="19832"/>
                  </a:lnTo>
                  <a:lnTo>
                    <a:pt x="305567" y="19832"/>
                  </a:lnTo>
                  <a:lnTo>
                    <a:pt x="325078" y="19832"/>
                  </a:lnTo>
                  <a:lnTo>
                    <a:pt x="344590" y="19832"/>
                  </a:lnTo>
                  <a:lnTo>
                    <a:pt x="364099" y="19832"/>
                  </a:lnTo>
                  <a:lnTo>
                    <a:pt x="383610" y="307"/>
                  </a:lnTo>
                  <a:lnTo>
                    <a:pt x="403120" y="307"/>
                  </a:lnTo>
                  <a:lnTo>
                    <a:pt x="422631" y="307"/>
                  </a:lnTo>
                  <a:lnTo>
                    <a:pt x="442142" y="307"/>
                  </a:lnTo>
                  <a:lnTo>
                    <a:pt x="461652" y="19832"/>
                  </a:lnTo>
                  <a:lnTo>
                    <a:pt x="481163" y="19832"/>
                  </a:lnTo>
                  <a:lnTo>
                    <a:pt x="500674" y="19832"/>
                  </a:lnTo>
                  <a:lnTo>
                    <a:pt x="520184" y="19832"/>
                  </a:lnTo>
                  <a:lnTo>
                    <a:pt x="539695" y="19832"/>
                  </a:lnTo>
                  <a:lnTo>
                    <a:pt x="559206" y="19832"/>
                  </a:lnTo>
                  <a:lnTo>
                    <a:pt x="578716" y="19832"/>
                  </a:lnTo>
                  <a:lnTo>
                    <a:pt x="598227" y="19832"/>
                  </a:lnTo>
                  <a:lnTo>
                    <a:pt x="617738" y="39358"/>
                  </a:lnTo>
                  <a:lnTo>
                    <a:pt x="637248" y="58881"/>
                  </a:lnTo>
                  <a:lnTo>
                    <a:pt x="637248" y="78406"/>
                  </a:lnTo>
                  <a:lnTo>
                    <a:pt x="656759" y="97930"/>
                  </a:lnTo>
                  <a:lnTo>
                    <a:pt x="676270" y="97930"/>
                  </a:lnTo>
                  <a:lnTo>
                    <a:pt x="695780" y="97930"/>
                  </a:lnTo>
                  <a:lnTo>
                    <a:pt x="715291" y="117455"/>
                  </a:lnTo>
                  <a:lnTo>
                    <a:pt x="734802" y="136981"/>
                  </a:lnTo>
                  <a:lnTo>
                    <a:pt x="754312" y="156504"/>
                  </a:lnTo>
                  <a:lnTo>
                    <a:pt x="773823" y="156504"/>
                  </a:lnTo>
                  <a:lnTo>
                    <a:pt x="793334" y="176029"/>
                  </a:lnTo>
                  <a:lnTo>
                    <a:pt x="812845" y="176029"/>
                  </a:lnTo>
                  <a:lnTo>
                    <a:pt x="832354" y="195555"/>
                  </a:lnTo>
                  <a:lnTo>
                    <a:pt x="851866" y="215078"/>
                  </a:lnTo>
                  <a:lnTo>
                    <a:pt x="851866" y="234604"/>
                  </a:lnTo>
                  <a:lnTo>
                    <a:pt x="871377" y="254129"/>
                  </a:lnTo>
                  <a:lnTo>
                    <a:pt x="871377" y="273652"/>
                  </a:lnTo>
                  <a:lnTo>
                    <a:pt x="879311" y="281561"/>
                  </a:lnTo>
                  <a:lnTo>
                    <a:pt x="890886" y="293178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</xdr:grpSp>
      <xdr:sp macro="" textlink="">
        <xdr:nvSpPr>
          <xdr:cNvPr id="36" name="Forma libre: forma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/>
        </xdr:nvSpPr>
        <xdr:spPr>
          <a:xfrm>
            <a:off x="5291666" y="5057562"/>
            <a:ext cx="219301" cy="120658"/>
          </a:xfrm>
          <a:custGeom>
            <a:avLst/>
            <a:gdLst>
              <a:gd name="connsiteX0" fmla="*/ 442 w 214617"/>
              <a:gd name="connsiteY0" fmla="*/ 117453 h 117146"/>
              <a:gd name="connsiteX1" fmla="*/ 19952 w 214617"/>
              <a:gd name="connsiteY1" fmla="*/ 97930 h 117146"/>
              <a:gd name="connsiteX2" fmla="*/ 19952 w 214617"/>
              <a:gd name="connsiteY2" fmla="*/ 78404 h 117146"/>
              <a:gd name="connsiteX3" fmla="*/ 19952 w 214617"/>
              <a:gd name="connsiteY3" fmla="*/ 58879 h 117146"/>
              <a:gd name="connsiteX4" fmla="*/ 39463 w 214617"/>
              <a:gd name="connsiteY4" fmla="*/ 39356 h 117146"/>
              <a:gd name="connsiteX5" fmla="*/ 39463 w 214617"/>
              <a:gd name="connsiteY5" fmla="*/ 19830 h 117146"/>
              <a:gd name="connsiteX6" fmla="*/ 58974 w 214617"/>
              <a:gd name="connsiteY6" fmla="*/ 307 h 117146"/>
              <a:gd name="connsiteX7" fmla="*/ 78484 w 214617"/>
              <a:gd name="connsiteY7" fmla="*/ 307 h 117146"/>
              <a:gd name="connsiteX8" fmla="*/ 97995 w 214617"/>
              <a:gd name="connsiteY8" fmla="*/ 19830 h 117146"/>
              <a:gd name="connsiteX9" fmla="*/ 117504 w 214617"/>
              <a:gd name="connsiteY9" fmla="*/ 39356 h 117146"/>
              <a:gd name="connsiteX10" fmla="*/ 137016 w 214617"/>
              <a:gd name="connsiteY10" fmla="*/ 58879 h 117146"/>
              <a:gd name="connsiteX11" fmla="*/ 156527 w 214617"/>
              <a:gd name="connsiteY11" fmla="*/ 58879 h 117146"/>
              <a:gd name="connsiteX12" fmla="*/ 176037 w 214617"/>
              <a:gd name="connsiteY12" fmla="*/ 58879 h 117146"/>
              <a:gd name="connsiteX13" fmla="*/ 195548 w 214617"/>
              <a:gd name="connsiteY13" fmla="*/ 58879 h 117146"/>
              <a:gd name="connsiteX14" fmla="*/ 215060 w 214617"/>
              <a:gd name="connsiteY14" fmla="*/ 58879 h 1171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214617" h="117146">
                <a:moveTo>
                  <a:pt x="442" y="117453"/>
                </a:moveTo>
                <a:lnTo>
                  <a:pt x="19952" y="97930"/>
                </a:lnTo>
                <a:lnTo>
                  <a:pt x="19952" y="78404"/>
                </a:lnTo>
                <a:lnTo>
                  <a:pt x="19952" y="58879"/>
                </a:lnTo>
                <a:lnTo>
                  <a:pt x="39463" y="39356"/>
                </a:lnTo>
                <a:lnTo>
                  <a:pt x="39463" y="19830"/>
                </a:lnTo>
                <a:lnTo>
                  <a:pt x="58974" y="307"/>
                </a:lnTo>
                <a:lnTo>
                  <a:pt x="78484" y="307"/>
                </a:lnTo>
                <a:lnTo>
                  <a:pt x="97995" y="19830"/>
                </a:lnTo>
                <a:lnTo>
                  <a:pt x="117504" y="39356"/>
                </a:lnTo>
                <a:lnTo>
                  <a:pt x="137016" y="58879"/>
                </a:lnTo>
                <a:lnTo>
                  <a:pt x="156527" y="58879"/>
                </a:lnTo>
                <a:lnTo>
                  <a:pt x="176037" y="58879"/>
                </a:lnTo>
                <a:lnTo>
                  <a:pt x="195548" y="58879"/>
                </a:lnTo>
                <a:lnTo>
                  <a:pt x="215060" y="58879"/>
                </a:lnTo>
              </a:path>
            </a:pathLst>
          </a:custGeom>
          <a:noFill/>
          <a:ln w="64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37" name="Forma libre: forma 36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/>
        </xdr:nvSpPr>
        <xdr:spPr>
          <a:xfrm>
            <a:off x="5096558" y="5096610"/>
            <a:ext cx="195107" cy="81609"/>
          </a:xfrm>
          <a:custGeom>
            <a:avLst/>
            <a:gdLst>
              <a:gd name="connsiteX0" fmla="*/ 442 w 195107"/>
              <a:gd name="connsiteY0" fmla="*/ 307 h 78097"/>
              <a:gd name="connsiteX1" fmla="*/ 19954 w 195107"/>
              <a:gd name="connsiteY1" fmla="*/ 307 h 78097"/>
              <a:gd name="connsiteX2" fmla="*/ 39465 w 195107"/>
              <a:gd name="connsiteY2" fmla="*/ 19830 h 78097"/>
              <a:gd name="connsiteX3" fmla="*/ 39465 w 195107"/>
              <a:gd name="connsiteY3" fmla="*/ 39356 h 78097"/>
              <a:gd name="connsiteX4" fmla="*/ 58974 w 195107"/>
              <a:gd name="connsiteY4" fmla="*/ 58881 h 78097"/>
              <a:gd name="connsiteX5" fmla="*/ 78486 w 195107"/>
              <a:gd name="connsiteY5" fmla="*/ 78404 h 78097"/>
              <a:gd name="connsiteX6" fmla="*/ 97995 w 195107"/>
              <a:gd name="connsiteY6" fmla="*/ 78404 h 78097"/>
              <a:gd name="connsiteX7" fmla="*/ 117507 w 195107"/>
              <a:gd name="connsiteY7" fmla="*/ 58881 h 78097"/>
              <a:gd name="connsiteX8" fmla="*/ 137018 w 195107"/>
              <a:gd name="connsiteY8" fmla="*/ 58881 h 78097"/>
              <a:gd name="connsiteX9" fmla="*/ 156527 w 195107"/>
              <a:gd name="connsiteY9" fmla="*/ 78404 h 78097"/>
              <a:gd name="connsiteX10" fmla="*/ 176039 w 195107"/>
              <a:gd name="connsiteY10" fmla="*/ 78404 h 78097"/>
              <a:gd name="connsiteX11" fmla="*/ 195550 w 195107"/>
              <a:gd name="connsiteY11" fmla="*/ 78404 h 780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195107" h="78097">
                <a:moveTo>
                  <a:pt x="442" y="307"/>
                </a:moveTo>
                <a:lnTo>
                  <a:pt x="19954" y="307"/>
                </a:lnTo>
                <a:lnTo>
                  <a:pt x="39465" y="19830"/>
                </a:lnTo>
                <a:lnTo>
                  <a:pt x="39465" y="39356"/>
                </a:lnTo>
                <a:lnTo>
                  <a:pt x="58974" y="58881"/>
                </a:lnTo>
                <a:lnTo>
                  <a:pt x="78486" y="78404"/>
                </a:lnTo>
                <a:lnTo>
                  <a:pt x="97995" y="78404"/>
                </a:lnTo>
                <a:lnTo>
                  <a:pt x="117507" y="58881"/>
                </a:lnTo>
                <a:lnTo>
                  <a:pt x="137018" y="58881"/>
                </a:lnTo>
                <a:lnTo>
                  <a:pt x="156527" y="78404"/>
                </a:lnTo>
                <a:lnTo>
                  <a:pt x="176039" y="78404"/>
                </a:lnTo>
                <a:lnTo>
                  <a:pt x="195550" y="78404"/>
                </a:lnTo>
              </a:path>
            </a:pathLst>
          </a:custGeom>
          <a:noFill/>
          <a:ln w="585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39" name="Forma libre: forma 38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/>
        </xdr:nvSpPr>
        <xdr:spPr>
          <a:xfrm>
            <a:off x="8827002" y="5934209"/>
            <a:ext cx="78036" cy="276870"/>
          </a:xfrm>
          <a:custGeom>
            <a:avLst/>
            <a:gdLst>
              <a:gd name="connsiteX0" fmla="*/ 442 w 78036"/>
              <a:gd name="connsiteY0" fmla="*/ 273663 h 273356"/>
              <a:gd name="connsiteX1" fmla="*/ 442 w 78036"/>
              <a:gd name="connsiteY1" fmla="*/ 254129 h 273356"/>
              <a:gd name="connsiteX2" fmla="*/ 442 w 78036"/>
              <a:gd name="connsiteY2" fmla="*/ 234594 h 273356"/>
              <a:gd name="connsiteX3" fmla="*/ 442 w 78036"/>
              <a:gd name="connsiteY3" fmla="*/ 215082 h 273356"/>
              <a:gd name="connsiteX4" fmla="*/ 442 w 78036"/>
              <a:gd name="connsiteY4" fmla="*/ 195548 h 273356"/>
              <a:gd name="connsiteX5" fmla="*/ 442 w 78036"/>
              <a:gd name="connsiteY5" fmla="*/ 176036 h 273356"/>
              <a:gd name="connsiteX6" fmla="*/ 442 w 78036"/>
              <a:gd name="connsiteY6" fmla="*/ 156504 h 273356"/>
              <a:gd name="connsiteX7" fmla="*/ 19962 w 78036"/>
              <a:gd name="connsiteY7" fmla="*/ 136981 h 273356"/>
              <a:gd name="connsiteX8" fmla="*/ 19962 w 78036"/>
              <a:gd name="connsiteY8" fmla="*/ 117455 h 273356"/>
              <a:gd name="connsiteX9" fmla="*/ 39460 w 78036"/>
              <a:gd name="connsiteY9" fmla="*/ 117455 h 273356"/>
              <a:gd name="connsiteX10" fmla="*/ 58981 w 78036"/>
              <a:gd name="connsiteY10" fmla="*/ 117455 h 273356"/>
              <a:gd name="connsiteX11" fmla="*/ 78479 w 78036"/>
              <a:gd name="connsiteY11" fmla="*/ 97932 h 273356"/>
              <a:gd name="connsiteX12" fmla="*/ 78479 w 78036"/>
              <a:gd name="connsiteY12" fmla="*/ 78406 h 273356"/>
              <a:gd name="connsiteX13" fmla="*/ 78479 w 78036"/>
              <a:gd name="connsiteY13" fmla="*/ 58881 h 273356"/>
              <a:gd name="connsiteX14" fmla="*/ 78479 w 78036"/>
              <a:gd name="connsiteY14" fmla="*/ 39358 h 273356"/>
              <a:gd name="connsiteX15" fmla="*/ 78479 w 78036"/>
              <a:gd name="connsiteY15" fmla="*/ 19832 h 273356"/>
              <a:gd name="connsiteX16" fmla="*/ 78479 w 78036"/>
              <a:gd name="connsiteY16" fmla="*/ 307 h 27335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78036" h="273356">
                <a:moveTo>
                  <a:pt x="442" y="273663"/>
                </a:moveTo>
                <a:lnTo>
                  <a:pt x="442" y="254129"/>
                </a:lnTo>
                <a:lnTo>
                  <a:pt x="442" y="234594"/>
                </a:lnTo>
                <a:lnTo>
                  <a:pt x="442" y="215082"/>
                </a:lnTo>
                <a:lnTo>
                  <a:pt x="442" y="195548"/>
                </a:lnTo>
                <a:lnTo>
                  <a:pt x="442" y="176036"/>
                </a:lnTo>
                <a:lnTo>
                  <a:pt x="442" y="156504"/>
                </a:lnTo>
                <a:lnTo>
                  <a:pt x="19962" y="136981"/>
                </a:lnTo>
                <a:lnTo>
                  <a:pt x="19962" y="117455"/>
                </a:lnTo>
                <a:lnTo>
                  <a:pt x="39460" y="117455"/>
                </a:lnTo>
                <a:lnTo>
                  <a:pt x="58981" y="117455"/>
                </a:lnTo>
                <a:lnTo>
                  <a:pt x="78479" y="97932"/>
                </a:lnTo>
                <a:lnTo>
                  <a:pt x="78479" y="78406"/>
                </a:lnTo>
                <a:lnTo>
                  <a:pt x="78479" y="58881"/>
                </a:lnTo>
                <a:lnTo>
                  <a:pt x="78479" y="39358"/>
                </a:lnTo>
                <a:lnTo>
                  <a:pt x="78479" y="19832"/>
                </a:lnTo>
                <a:lnTo>
                  <a:pt x="78479" y="307"/>
                </a:lnTo>
              </a:path>
            </a:pathLst>
          </a:custGeom>
          <a:noFill/>
          <a:ln w="585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40" name="Forma libre: forma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8709947" y="6211079"/>
            <a:ext cx="175594" cy="1075399"/>
          </a:xfrm>
          <a:custGeom>
            <a:avLst/>
            <a:gdLst>
              <a:gd name="connsiteX0" fmla="*/ 39460 w 175594"/>
              <a:gd name="connsiteY0" fmla="*/ 1054629 h 1054322"/>
              <a:gd name="connsiteX1" fmla="*/ 39460 w 175594"/>
              <a:gd name="connsiteY1" fmla="*/ 1035095 h 1054322"/>
              <a:gd name="connsiteX2" fmla="*/ 39460 w 175594"/>
              <a:gd name="connsiteY2" fmla="*/ 1015582 h 1054322"/>
              <a:gd name="connsiteX3" fmla="*/ 19940 w 175594"/>
              <a:gd name="connsiteY3" fmla="*/ 996048 h 1054322"/>
              <a:gd name="connsiteX4" fmla="*/ 19940 w 175594"/>
              <a:gd name="connsiteY4" fmla="*/ 976536 h 1054322"/>
              <a:gd name="connsiteX5" fmla="*/ 442 w 175594"/>
              <a:gd name="connsiteY5" fmla="*/ 957002 h 1054322"/>
              <a:gd name="connsiteX6" fmla="*/ 19940 w 175594"/>
              <a:gd name="connsiteY6" fmla="*/ 937490 h 1054322"/>
              <a:gd name="connsiteX7" fmla="*/ 442 w 175594"/>
              <a:gd name="connsiteY7" fmla="*/ 917955 h 1054322"/>
              <a:gd name="connsiteX8" fmla="*/ 19940 w 175594"/>
              <a:gd name="connsiteY8" fmla="*/ 898421 h 1054322"/>
              <a:gd name="connsiteX9" fmla="*/ 19940 w 175594"/>
              <a:gd name="connsiteY9" fmla="*/ 878909 h 1054322"/>
              <a:gd name="connsiteX10" fmla="*/ 19940 w 175594"/>
              <a:gd name="connsiteY10" fmla="*/ 859374 h 1054322"/>
              <a:gd name="connsiteX11" fmla="*/ 19940 w 175594"/>
              <a:gd name="connsiteY11" fmla="*/ 839862 h 1054322"/>
              <a:gd name="connsiteX12" fmla="*/ 19940 w 175594"/>
              <a:gd name="connsiteY12" fmla="*/ 820328 h 1054322"/>
              <a:gd name="connsiteX13" fmla="*/ 39460 w 175594"/>
              <a:gd name="connsiteY13" fmla="*/ 800816 h 1054322"/>
              <a:gd name="connsiteX14" fmla="*/ 39460 w 175594"/>
              <a:gd name="connsiteY14" fmla="*/ 781281 h 1054322"/>
              <a:gd name="connsiteX15" fmla="*/ 58959 w 175594"/>
              <a:gd name="connsiteY15" fmla="*/ 761769 h 1054322"/>
              <a:gd name="connsiteX16" fmla="*/ 78479 w 175594"/>
              <a:gd name="connsiteY16" fmla="*/ 742235 h 1054322"/>
              <a:gd name="connsiteX17" fmla="*/ 97977 w 175594"/>
              <a:gd name="connsiteY17" fmla="*/ 722700 h 1054322"/>
              <a:gd name="connsiteX18" fmla="*/ 97977 w 175594"/>
              <a:gd name="connsiteY18" fmla="*/ 703188 h 1054322"/>
              <a:gd name="connsiteX19" fmla="*/ 97977 w 175594"/>
              <a:gd name="connsiteY19" fmla="*/ 683654 h 1054322"/>
              <a:gd name="connsiteX20" fmla="*/ 97977 w 175594"/>
              <a:gd name="connsiteY20" fmla="*/ 664142 h 1054322"/>
              <a:gd name="connsiteX21" fmla="*/ 97977 w 175594"/>
              <a:gd name="connsiteY21" fmla="*/ 644607 h 1054322"/>
              <a:gd name="connsiteX22" fmla="*/ 117498 w 175594"/>
              <a:gd name="connsiteY22" fmla="*/ 625095 h 1054322"/>
              <a:gd name="connsiteX23" fmla="*/ 137018 w 175594"/>
              <a:gd name="connsiteY23" fmla="*/ 605561 h 1054322"/>
              <a:gd name="connsiteX24" fmla="*/ 156516 w 175594"/>
              <a:gd name="connsiteY24" fmla="*/ 586027 h 1054322"/>
              <a:gd name="connsiteX25" fmla="*/ 176036 w 175594"/>
              <a:gd name="connsiteY25" fmla="*/ 566515 h 1054322"/>
              <a:gd name="connsiteX26" fmla="*/ 176036 w 175594"/>
              <a:gd name="connsiteY26" fmla="*/ 546980 h 1054322"/>
              <a:gd name="connsiteX27" fmla="*/ 156516 w 175594"/>
              <a:gd name="connsiteY27" fmla="*/ 527468 h 1054322"/>
              <a:gd name="connsiteX28" fmla="*/ 137018 w 175594"/>
              <a:gd name="connsiteY28" fmla="*/ 507934 h 1054322"/>
              <a:gd name="connsiteX29" fmla="*/ 137018 w 175594"/>
              <a:gd name="connsiteY29" fmla="*/ 488421 h 1054322"/>
              <a:gd name="connsiteX30" fmla="*/ 137018 w 175594"/>
              <a:gd name="connsiteY30" fmla="*/ 468887 h 1054322"/>
              <a:gd name="connsiteX31" fmla="*/ 137018 w 175594"/>
              <a:gd name="connsiteY31" fmla="*/ 449353 h 1054322"/>
              <a:gd name="connsiteX32" fmla="*/ 117498 w 175594"/>
              <a:gd name="connsiteY32" fmla="*/ 429841 h 1054322"/>
              <a:gd name="connsiteX33" fmla="*/ 137018 w 175594"/>
              <a:gd name="connsiteY33" fmla="*/ 410306 h 1054322"/>
              <a:gd name="connsiteX34" fmla="*/ 137018 w 175594"/>
              <a:gd name="connsiteY34" fmla="*/ 390794 h 1054322"/>
              <a:gd name="connsiteX35" fmla="*/ 137018 w 175594"/>
              <a:gd name="connsiteY35" fmla="*/ 371260 h 1054322"/>
              <a:gd name="connsiteX36" fmla="*/ 137018 w 175594"/>
              <a:gd name="connsiteY36" fmla="*/ 351747 h 1054322"/>
              <a:gd name="connsiteX37" fmla="*/ 137018 w 175594"/>
              <a:gd name="connsiteY37" fmla="*/ 332213 h 1054322"/>
              <a:gd name="connsiteX38" fmla="*/ 156516 w 175594"/>
              <a:gd name="connsiteY38" fmla="*/ 312701 h 1054322"/>
              <a:gd name="connsiteX39" fmla="*/ 156516 w 175594"/>
              <a:gd name="connsiteY39" fmla="*/ 293167 h 1054322"/>
              <a:gd name="connsiteX40" fmla="*/ 156516 w 175594"/>
              <a:gd name="connsiteY40" fmla="*/ 273632 h 1054322"/>
              <a:gd name="connsiteX41" fmla="*/ 176036 w 175594"/>
              <a:gd name="connsiteY41" fmla="*/ 254120 h 1054322"/>
              <a:gd name="connsiteX42" fmla="*/ 156516 w 175594"/>
              <a:gd name="connsiteY42" fmla="*/ 234586 h 1054322"/>
              <a:gd name="connsiteX43" fmla="*/ 156516 w 175594"/>
              <a:gd name="connsiteY43" fmla="*/ 215074 h 1054322"/>
              <a:gd name="connsiteX44" fmla="*/ 156516 w 175594"/>
              <a:gd name="connsiteY44" fmla="*/ 195539 h 1054322"/>
              <a:gd name="connsiteX45" fmla="*/ 156516 w 175594"/>
              <a:gd name="connsiteY45" fmla="*/ 176027 h 1054322"/>
              <a:gd name="connsiteX46" fmla="*/ 156516 w 175594"/>
              <a:gd name="connsiteY46" fmla="*/ 156493 h 1054322"/>
              <a:gd name="connsiteX47" fmla="*/ 176036 w 175594"/>
              <a:gd name="connsiteY47" fmla="*/ 136958 h 1054322"/>
              <a:gd name="connsiteX48" fmla="*/ 156516 w 175594"/>
              <a:gd name="connsiteY48" fmla="*/ 117446 h 1054322"/>
              <a:gd name="connsiteX49" fmla="*/ 137018 w 175594"/>
              <a:gd name="connsiteY49" fmla="*/ 97912 h 1054322"/>
              <a:gd name="connsiteX50" fmla="*/ 117498 w 175594"/>
              <a:gd name="connsiteY50" fmla="*/ 78400 h 1054322"/>
              <a:gd name="connsiteX51" fmla="*/ 97977 w 175594"/>
              <a:gd name="connsiteY51" fmla="*/ 58865 h 1054322"/>
              <a:gd name="connsiteX52" fmla="*/ 97977 w 175594"/>
              <a:gd name="connsiteY52" fmla="*/ 39353 h 1054322"/>
              <a:gd name="connsiteX53" fmla="*/ 97977 w 175594"/>
              <a:gd name="connsiteY53" fmla="*/ 19819 h 1054322"/>
              <a:gd name="connsiteX54" fmla="*/ 102564 w 175594"/>
              <a:gd name="connsiteY54" fmla="*/ 14098 h 1054322"/>
              <a:gd name="connsiteX55" fmla="*/ 117498 w 175594"/>
              <a:gd name="connsiteY55" fmla="*/ 307 h 10543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</a:cxnLst>
            <a:rect l="l" t="t" r="r" b="b"/>
            <a:pathLst>
              <a:path w="175594" h="1054322">
                <a:moveTo>
                  <a:pt x="39460" y="1054629"/>
                </a:moveTo>
                <a:lnTo>
                  <a:pt x="39460" y="1035095"/>
                </a:lnTo>
                <a:lnTo>
                  <a:pt x="39460" y="1015582"/>
                </a:lnTo>
                <a:lnTo>
                  <a:pt x="19940" y="996048"/>
                </a:lnTo>
                <a:lnTo>
                  <a:pt x="19940" y="976536"/>
                </a:lnTo>
                <a:lnTo>
                  <a:pt x="442" y="957002"/>
                </a:lnTo>
                <a:lnTo>
                  <a:pt x="19940" y="937490"/>
                </a:lnTo>
                <a:lnTo>
                  <a:pt x="442" y="917955"/>
                </a:lnTo>
                <a:lnTo>
                  <a:pt x="19940" y="898421"/>
                </a:lnTo>
                <a:lnTo>
                  <a:pt x="19940" y="878909"/>
                </a:lnTo>
                <a:lnTo>
                  <a:pt x="19940" y="859374"/>
                </a:lnTo>
                <a:lnTo>
                  <a:pt x="19940" y="839862"/>
                </a:lnTo>
                <a:lnTo>
                  <a:pt x="19940" y="820328"/>
                </a:lnTo>
                <a:lnTo>
                  <a:pt x="39460" y="800816"/>
                </a:lnTo>
                <a:lnTo>
                  <a:pt x="39460" y="781281"/>
                </a:lnTo>
                <a:lnTo>
                  <a:pt x="58959" y="761769"/>
                </a:lnTo>
                <a:lnTo>
                  <a:pt x="78479" y="742235"/>
                </a:lnTo>
                <a:lnTo>
                  <a:pt x="97977" y="722700"/>
                </a:lnTo>
                <a:lnTo>
                  <a:pt x="97977" y="703188"/>
                </a:lnTo>
                <a:lnTo>
                  <a:pt x="97977" y="683654"/>
                </a:lnTo>
                <a:lnTo>
                  <a:pt x="97977" y="664142"/>
                </a:lnTo>
                <a:lnTo>
                  <a:pt x="97977" y="644607"/>
                </a:lnTo>
                <a:lnTo>
                  <a:pt x="117498" y="625095"/>
                </a:lnTo>
                <a:lnTo>
                  <a:pt x="137018" y="605561"/>
                </a:lnTo>
                <a:lnTo>
                  <a:pt x="156516" y="586027"/>
                </a:lnTo>
                <a:lnTo>
                  <a:pt x="176036" y="566515"/>
                </a:lnTo>
                <a:lnTo>
                  <a:pt x="176036" y="546980"/>
                </a:lnTo>
                <a:lnTo>
                  <a:pt x="156516" y="527468"/>
                </a:lnTo>
                <a:lnTo>
                  <a:pt x="137018" y="507934"/>
                </a:lnTo>
                <a:lnTo>
                  <a:pt x="137018" y="488421"/>
                </a:lnTo>
                <a:lnTo>
                  <a:pt x="137018" y="468887"/>
                </a:lnTo>
                <a:lnTo>
                  <a:pt x="137018" y="449353"/>
                </a:lnTo>
                <a:lnTo>
                  <a:pt x="117498" y="429841"/>
                </a:lnTo>
                <a:lnTo>
                  <a:pt x="137018" y="410306"/>
                </a:lnTo>
                <a:lnTo>
                  <a:pt x="137018" y="390794"/>
                </a:lnTo>
                <a:lnTo>
                  <a:pt x="137018" y="371260"/>
                </a:lnTo>
                <a:lnTo>
                  <a:pt x="137018" y="351747"/>
                </a:lnTo>
                <a:lnTo>
                  <a:pt x="137018" y="332213"/>
                </a:lnTo>
                <a:lnTo>
                  <a:pt x="156516" y="312701"/>
                </a:lnTo>
                <a:lnTo>
                  <a:pt x="156516" y="293167"/>
                </a:lnTo>
                <a:lnTo>
                  <a:pt x="156516" y="273632"/>
                </a:lnTo>
                <a:lnTo>
                  <a:pt x="176036" y="254120"/>
                </a:lnTo>
                <a:lnTo>
                  <a:pt x="156516" y="234586"/>
                </a:lnTo>
                <a:lnTo>
                  <a:pt x="156516" y="215074"/>
                </a:lnTo>
                <a:lnTo>
                  <a:pt x="156516" y="195539"/>
                </a:lnTo>
                <a:lnTo>
                  <a:pt x="156516" y="176027"/>
                </a:lnTo>
                <a:lnTo>
                  <a:pt x="156516" y="156493"/>
                </a:lnTo>
                <a:lnTo>
                  <a:pt x="176036" y="136958"/>
                </a:lnTo>
                <a:lnTo>
                  <a:pt x="156516" y="117446"/>
                </a:lnTo>
                <a:lnTo>
                  <a:pt x="137018" y="97912"/>
                </a:lnTo>
                <a:lnTo>
                  <a:pt x="117498" y="78400"/>
                </a:lnTo>
                <a:lnTo>
                  <a:pt x="97977" y="58865"/>
                </a:lnTo>
                <a:lnTo>
                  <a:pt x="97977" y="39353"/>
                </a:lnTo>
                <a:lnTo>
                  <a:pt x="97977" y="19819"/>
                </a:lnTo>
                <a:lnTo>
                  <a:pt x="102564" y="14098"/>
                </a:lnTo>
                <a:lnTo>
                  <a:pt x="117498" y="307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41" name="Forma libre: forma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/>
        </xdr:nvSpPr>
        <xdr:spPr>
          <a:xfrm>
            <a:off x="8905039" y="5575740"/>
            <a:ext cx="136575" cy="358468"/>
          </a:xfrm>
          <a:custGeom>
            <a:avLst/>
            <a:gdLst>
              <a:gd name="connsiteX0" fmla="*/ 442 w 136575"/>
              <a:gd name="connsiteY0" fmla="*/ 351750 h 351442"/>
              <a:gd name="connsiteX1" fmla="*/ 19962 w 136575"/>
              <a:gd name="connsiteY1" fmla="*/ 332226 h 351442"/>
              <a:gd name="connsiteX2" fmla="*/ 39460 w 136575"/>
              <a:gd name="connsiteY2" fmla="*/ 312701 h 351442"/>
              <a:gd name="connsiteX3" fmla="*/ 39460 w 136575"/>
              <a:gd name="connsiteY3" fmla="*/ 293178 h 351442"/>
              <a:gd name="connsiteX4" fmla="*/ 58981 w 136575"/>
              <a:gd name="connsiteY4" fmla="*/ 273652 h 351442"/>
              <a:gd name="connsiteX5" fmla="*/ 78479 w 136575"/>
              <a:gd name="connsiteY5" fmla="*/ 254127 h 351442"/>
              <a:gd name="connsiteX6" fmla="*/ 97999 w 136575"/>
              <a:gd name="connsiteY6" fmla="*/ 234603 h 351442"/>
              <a:gd name="connsiteX7" fmla="*/ 117519 w 136575"/>
              <a:gd name="connsiteY7" fmla="*/ 215078 h 351442"/>
              <a:gd name="connsiteX8" fmla="*/ 117519 w 136575"/>
              <a:gd name="connsiteY8" fmla="*/ 195552 h 351442"/>
              <a:gd name="connsiteX9" fmla="*/ 117519 w 136575"/>
              <a:gd name="connsiteY9" fmla="*/ 176029 h 351442"/>
              <a:gd name="connsiteX10" fmla="*/ 97999 w 136575"/>
              <a:gd name="connsiteY10" fmla="*/ 156504 h 351442"/>
              <a:gd name="connsiteX11" fmla="*/ 97999 w 136575"/>
              <a:gd name="connsiteY11" fmla="*/ 136978 h 351442"/>
              <a:gd name="connsiteX12" fmla="*/ 97999 w 136575"/>
              <a:gd name="connsiteY12" fmla="*/ 117455 h 351442"/>
              <a:gd name="connsiteX13" fmla="*/ 78479 w 136575"/>
              <a:gd name="connsiteY13" fmla="*/ 97929 h 351442"/>
              <a:gd name="connsiteX14" fmla="*/ 97999 w 136575"/>
              <a:gd name="connsiteY14" fmla="*/ 78406 h 351442"/>
              <a:gd name="connsiteX15" fmla="*/ 97999 w 136575"/>
              <a:gd name="connsiteY15" fmla="*/ 58881 h 351442"/>
              <a:gd name="connsiteX16" fmla="*/ 97999 w 136575"/>
              <a:gd name="connsiteY16" fmla="*/ 39355 h 351442"/>
              <a:gd name="connsiteX17" fmla="*/ 117519 w 136575"/>
              <a:gd name="connsiteY17" fmla="*/ 19832 h 351442"/>
              <a:gd name="connsiteX18" fmla="*/ 137018 w 136575"/>
              <a:gd name="connsiteY18" fmla="*/ 307 h 35144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136575" h="351442">
                <a:moveTo>
                  <a:pt x="442" y="351750"/>
                </a:moveTo>
                <a:lnTo>
                  <a:pt x="19962" y="332226"/>
                </a:lnTo>
                <a:lnTo>
                  <a:pt x="39460" y="312701"/>
                </a:lnTo>
                <a:lnTo>
                  <a:pt x="39460" y="293178"/>
                </a:lnTo>
                <a:lnTo>
                  <a:pt x="58981" y="273652"/>
                </a:lnTo>
                <a:lnTo>
                  <a:pt x="78479" y="254127"/>
                </a:lnTo>
                <a:lnTo>
                  <a:pt x="97999" y="234603"/>
                </a:lnTo>
                <a:lnTo>
                  <a:pt x="117519" y="215078"/>
                </a:lnTo>
                <a:lnTo>
                  <a:pt x="117519" y="195552"/>
                </a:lnTo>
                <a:lnTo>
                  <a:pt x="117519" y="176029"/>
                </a:lnTo>
                <a:lnTo>
                  <a:pt x="97999" y="156504"/>
                </a:lnTo>
                <a:lnTo>
                  <a:pt x="97999" y="136978"/>
                </a:lnTo>
                <a:lnTo>
                  <a:pt x="97999" y="117455"/>
                </a:lnTo>
                <a:lnTo>
                  <a:pt x="78479" y="97929"/>
                </a:lnTo>
                <a:lnTo>
                  <a:pt x="97999" y="78406"/>
                </a:lnTo>
                <a:lnTo>
                  <a:pt x="97999" y="58881"/>
                </a:lnTo>
                <a:lnTo>
                  <a:pt x="97999" y="39355"/>
                </a:lnTo>
                <a:lnTo>
                  <a:pt x="117519" y="19832"/>
                </a:lnTo>
                <a:lnTo>
                  <a:pt x="137018" y="307"/>
                </a:lnTo>
              </a:path>
            </a:pathLst>
          </a:custGeom>
          <a:noFill/>
          <a:ln w="64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grpSp>
        <xdr:nvGrpSpPr>
          <xdr:cNvPr id="43" name="Gráfico 3">
            <a:extLst>
              <a:ext uri="{FF2B5EF4-FFF2-40B4-BE49-F238E27FC236}">
                <a16:creationId xmlns:a16="http://schemas.microsoft.com/office/drawing/2014/main" id="{00000000-0008-0000-0400-00002B000000}"/>
              </a:ext>
            </a:extLst>
          </xdr:cNvPr>
          <xdr:cNvGrpSpPr/>
        </xdr:nvGrpSpPr>
        <xdr:grpSpPr>
          <a:xfrm>
            <a:off x="4706345" y="5852598"/>
            <a:ext cx="4535070" cy="1016833"/>
            <a:chOff x="4678241" y="5759308"/>
            <a:chExt cx="4506965" cy="995754"/>
          </a:xfrm>
          <a:noFill/>
        </xdr:grpSpPr>
        <xdr:sp macro="" textlink="">
          <xdr:nvSpPr>
            <xdr:cNvPr id="44" name="Forma libre: forma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/>
          </xdr:nvSpPr>
          <xdr:spPr>
            <a:xfrm>
              <a:off x="8775479" y="6110762"/>
              <a:ext cx="409727" cy="644300"/>
            </a:xfrm>
            <a:custGeom>
              <a:avLst/>
              <a:gdLst>
                <a:gd name="connsiteX0" fmla="*/ 410169 w 409727"/>
                <a:gd name="connsiteY0" fmla="*/ 644608 h 644300"/>
                <a:gd name="connsiteX1" fmla="*/ 390649 w 409727"/>
                <a:gd name="connsiteY1" fmla="*/ 644608 h 644300"/>
                <a:gd name="connsiteX2" fmla="*/ 371151 w 409727"/>
                <a:gd name="connsiteY2" fmla="*/ 644608 h 644300"/>
                <a:gd name="connsiteX3" fmla="*/ 351631 w 409727"/>
                <a:gd name="connsiteY3" fmla="*/ 625095 h 644300"/>
                <a:gd name="connsiteX4" fmla="*/ 351631 w 409727"/>
                <a:gd name="connsiteY4" fmla="*/ 605561 h 644300"/>
                <a:gd name="connsiteX5" fmla="*/ 351631 w 409727"/>
                <a:gd name="connsiteY5" fmla="*/ 586027 h 644300"/>
                <a:gd name="connsiteX6" fmla="*/ 351631 w 409727"/>
                <a:gd name="connsiteY6" fmla="*/ 566515 h 644300"/>
                <a:gd name="connsiteX7" fmla="*/ 332132 w 409727"/>
                <a:gd name="connsiteY7" fmla="*/ 546980 h 644300"/>
                <a:gd name="connsiteX8" fmla="*/ 312612 w 409727"/>
                <a:gd name="connsiteY8" fmla="*/ 527468 h 644300"/>
                <a:gd name="connsiteX9" fmla="*/ 312612 w 409727"/>
                <a:gd name="connsiteY9" fmla="*/ 507934 h 644300"/>
                <a:gd name="connsiteX10" fmla="*/ 312612 w 409727"/>
                <a:gd name="connsiteY10" fmla="*/ 488421 h 644300"/>
                <a:gd name="connsiteX11" fmla="*/ 312612 w 409727"/>
                <a:gd name="connsiteY11" fmla="*/ 468887 h 644300"/>
                <a:gd name="connsiteX12" fmla="*/ 312612 w 409727"/>
                <a:gd name="connsiteY12" fmla="*/ 449353 h 644300"/>
                <a:gd name="connsiteX13" fmla="*/ 312612 w 409727"/>
                <a:gd name="connsiteY13" fmla="*/ 429841 h 644300"/>
                <a:gd name="connsiteX14" fmla="*/ 312612 w 409727"/>
                <a:gd name="connsiteY14" fmla="*/ 410306 h 644300"/>
                <a:gd name="connsiteX15" fmla="*/ 293092 w 409727"/>
                <a:gd name="connsiteY15" fmla="*/ 390794 h 644300"/>
                <a:gd name="connsiteX16" fmla="*/ 273593 w 409727"/>
                <a:gd name="connsiteY16" fmla="*/ 371260 h 644300"/>
                <a:gd name="connsiteX17" fmla="*/ 254073 w 409727"/>
                <a:gd name="connsiteY17" fmla="*/ 351747 h 644300"/>
                <a:gd name="connsiteX18" fmla="*/ 234575 w 409727"/>
                <a:gd name="connsiteY18" fmla="*/ 332213 h 644300"/>
                <a:gd name="connsiteX19" fmla="*/ 215055 w 409727"/>
                <a:gd name="connsiteY19" fmla="*/ 312701 h 644300"/>
                <a:gd name="connsiteX20" fmla="*/ 215055 w 409727"/>
                <a:gd name="connsiteY20" fmla="*/ 293167 h 644300"/>
                <a:gd name="connsiteX21" fmla="*/ 195556 w 409727"/>
                <a:gd name="connsiteY21" fmla="*/ 273632 h 644300"/>
                <a:gd name="connsiteX22" fmla="*/ 195556 w 409727"/>
                <a:gd name="connsiteY22" fmla="*/ 254120 h 644300"/>
                <a:gd name="connsiteX23" fmla="*/ 195556 w 409727"/>
                <a:gd name="connsiteY23" fmla="*/ 234586 h 644300"/>
                <a:gd name="connsiteX24" fmla="*/ 176036 w 409727"/>
                <a:gd name="connsiteY24" fmla="*/ 215074 h 644300"/>
                <a:gd name="connsiteX25" fmla="*/ 176036 w 409727"/>
                <a:gd name="connsiteY25" fmla="*/ 195539 h 644300"/>
                <a:gd name="connsiteX26" fmla="*/ 156516 w 409727"/>
                <a:gd name="connsiteY26" fmla="*/ 176027 h 644300"/>
                <a:gd name="connsiteX27" fmla="*/ 137017 w 409727"/>
                <a:gd name="connsiteY27" fmla="*/ 156493 h 644300"/>
                <a:gd name="connsiteX28" fmla="*/ 117497 w 409727"/>
                <a:gd name="connsiteY28" fmla="*/ 136958 h 644300"/>
                <a:gd name="connsiteX29" fmla="*/ 97999 w 409727"/>
                <a:gd name="connsiteY29" fmla="*/ 117446 h 644300"/>
                <a:gd name="connsiteX30" fmla="*/ 78479 w 409727"/>
                <a:gd name="connsiteY30" fmla="*/ 97912 h 644300"/>
                <a:gd name="connsiteX31" fmla="*/ 58981 w 409727"/>
                <a:gd name="connsiteY31" fmla="*/ 78400 h 644300"/>
                <a:gd name="connsiteX32" fmla="*/ 39460 w 409727"/>
                <a:gd name="connsiteY32" fmla="*/ 58865 h 644300"/>
                <a:gd name="connsiteX33" fmla="*/ 19962 w 409727"/>
                <a:gd name="connsiteY33" fmla="*/ 39353 h 644300"/>
                <a:gd name="connsiteX34" fmla="*/ 442 w 409727"/>
                <a:gd name="connsiteY34" fmla="*/ 19819 h 644300"/>
                <a:gd name="connsiteX35" fmla="*/ 442 w 409727"/>
                <a:gd name="connsiteY35" fmla="*/ 307 h 644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</a:cxnLst>
              <a:rect l="l" t="t" r="r" b="b"/>
              <a:pathLst>
                <a:path w="409727" h="644300">
                  <a:moveTo>
                    <a:pt x="410169" y="644608"/>
                  </a:moveTo>
                  <a:lnTo>
                    <a:pt x="390649" y="644608"/>
                  </a:lnTo>
                  <a:lnTo>
                    <a:pt x="371151" y="644608"/>
                  </a:lnTo>
                  <a:lnTo>
                    <a:pt x="351631" y="625095"/>
                  </a:lnTo>
                  <a:lnTo>
                    <a:pt x="351631" y="605561"/>
                  </a:lnTo>
                  <a:lnTo>
                    <a:pt x="351631" y="586027"/>
                  </a:lnTo>
                  <a:lnTo>
                    <a:pt x="351631" y="566515"/>
                  </a:lnTo>
                  <a:lnTo>
                    <a:pt x="332132" y="546980"/>
                  </a:lnTo>
                  <a:lnTo>
                    <a:pt x="312612" y="527468"/>
                  </a:lnTo>
                  <a:lnTo>
                    <a:pt x="312612" y="507934"/>
                  </a:lnTo>
                  <a:lnTo>
                    <a:pt x="312612" y="488421"/>
                  </a:lnTo>
                  <a:lnTo>
                    <a:pt x="312612" y="468887"/>
                  </a:lnTo>
                  <a:lnTo>
                    <a:pt x="312612" y="449353"/>
                  </a:lnTo>
                  <a:lnTo>
                    <a:pt x="312612" y="429841"/>
                  </a:lnTo>
                  <a:lnTo>
                    <a:pt x="312612" y="410306"/>
                  </a:lnTo>
                  <a:lnTo>
                    <a:pt x="293092" y="390794"/>
                  </a:lnTo>
                  <a:lnTo>
                    <a:pt x="273593" y="371260"/>
                  </a:lnTo>
                  <a:lnTo>
                    <a:pt x="254073" y="351747"/>
                  </a:lnTo>
                  <a:lnTo>
                    <a:pt x="234575" y="332213"/>
                  </a:lnTo>
                  <a:lnTo>
                    <a:pt x="215055" y="312701"/>
                  </a:lnTo>
                  <a:lnTo>
                    <a:pt x="215055" y="293167"/>
                  </a:lnTo>
                  <a:lnTo>
                    <a:pt x="195556" y="273632"/>
                  </a:lnTo>
                  <a:lnTo>
                    <a:pt x="195556" y="254120"/>
                  </a:lnTo>
                  <a:lnTo>
                    <a:pt x="195556" y="234586"/>
                  </a:lnTo>
                  <a:lnTo>
                    <a:pt x="176036" y="215074"/>
                  </a:lnTo>
                  <a:lnTo>
                    <a:pt x="176036" y="195539"/>
                  </a:lnTo>
                  <a:lnTo>
                    <a:pt x="156516" y="176027"/>
                  </a:lnTo>
                  <a:lnTo>
                    <a:pt x="137017" y="156493"/>
                  </a:lnTo>
                  <a:lnTo>
                    <a:pt x="117497" y="136958"/>
                  </a:lnTo>
                  <a:lnTo>
                    <a:pt x="97999" y="117446"/>
                  </a:lnTo>
                  <a:lnTo>
                    <a:pt x="78479" y="97912"/>
                  </a:lnTo>
                  <a:lnTo>
                    <a:pt x="58981" y="78400"/>
                  </a:lnTo>
                  <a:lnTo>
                    <a:pt x="39460" y="58865"/>
                  </a:lnTo>
                  <a:lnTo>
                    <a:pt x="19962" y="39353"/>
                  </a:lnTo>
                  <a:lnTo>
                    <a:pt x="442" y="19819"/>
                  </a:lnTo>
                  <a:lnTo>
                    <a:pt x="442" y="307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45" name="Forma libre: forma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/>
          </xdr:nvSpPr>
          <xdr:spPr>
            <a:xfrm>
              <a:off x="4678241" y="5759308"/>
              <a:ext cx="604829" cy="624779"/>
            </a:xfrm>
            <a:custGeom>
              <a:avLst/>
              <a:gdLst>
                <a:gd name="connsiteX0" fmla="*/ 442 w 604829"/>
                <a:gd name="connsiteY0" fmla="*/ 625086 h 624779"/>
                <a:gd name="connsiteX1" fmla="*/ 19953 w 604829"/>
                <a:gd name="connsiteY1" fmla="*/ 605574 h 624779"/>
                <a:gd name="connsiteX2" fmla="*/ 39463 w 604829"/>
                <a:gd name="connsiteY2" fmla="*/ 586040 h 624779"/>
                <a:gd name="connsiteX3" fmla="*/ 58974 w 604829"/>
                <a:gd name="connsiteY3" fmla="*/ 566528 h 624779"/>
                <a:gd name="connsiteX4" fmla="*/ 78485 w 604829"/>
                <a:gd name="connsiteY4" fmla="*/ 566528 h 624779"/>
                <a:gd name="connsiteX5" fmla="*/ 97996 w 604829"/>
                <a:gd name="connsiteY5" fmla="*/ 546993 h 624779"/>
                <a:gd name="connsiteX6" fmla="*/ 117506 w 604829"/>
                <a:gd name="connsiteY6" fmla="*/ 527481 h 624779"/>
                <a:gd name="connsiteX7" fmla="*/ 137017 w 604829"/>
                <a:gd name="connsiteY7" fmla="*/ 507947 h 624779"/>
                <a:gd name="connsiteX8" fmla="*/ 156528 w 604829"/>
                <a:gd name="connsiteY8" fmla="*/ 507947 h 624779"/>
                <a:gd name="connsiteX9" fmla="*/ 176038 w 604829"/>
                <a:gd name="connsiteY9" fmla="*/ 488412 h 624779"/>
                <a:gd name="connsiteX10" fmla="*/ 195549 w 604829"/>
                <a:gd name="connsiteY10" fmla="*/ 468900 h 624779"/>
                <a:gd name="connsiteX11" fmla="*/ 215060 w 604829"/>
                <a:gd name="connsiteY11" fmla="*/ 449366 h 624779"/>
                <a:gd name="connsiteX12" fmla="*/ 215060 w 604829"/>
                <a:gd name="connsiteY12" fmla="*/ 429854 h 624779"/>
                <a:gd name="connsiteX13" fmla="*/ 234570 w 604829"/>
                <a:gd name="connsiteY13" fmla="*/ 410319 h 624779"/>
                <a:gd name="connsiteX14" fmla="*/ 234570 w 604829"/>
                <a:gd name="connsiteY14" fmla="*/ 390807 h 624779"/>
                <a:gd name="connsiteX15" fmla="*/ 254081 w 604829"/>
                <a:gd name="connsiteY15" fmla="*/ 371273 h 624779"/>
                <a:gd name="connsiteX16" fmla="*/ 273592 w 604829"/>
                <a:gd name="connsiteY16" fmla="*/ 351761 h 624779"/>
                <a:gd name="connsiteX17" fmla="*/ 293102 w 604829"/>
                <a:gd name="connsiteY17" fmla="*/ 332226 h 624779"/>
                <a:gd name="connsiteX18" fmla="*/ 312613 w 604829"/>
                <a:gd name="connsiteY18" fmla="*/ 312692 h 624779"/>
                <a:gd name="connsiteX19" fmla="*/ 332123 w 604829"/>
                <a:gd name="connsiteY19" fmla="*/ 293180 h 624779"/>
                <a:gd name="connsiteX20" fmla="*/ 351634 w 604829"/>
                <a:gd name="connsiteY20" fmla="*/ 273646 h 624779"/>
                <a:gd name="connsiteX21" fmla="*/ 371146 w 604829"/>
                <a:gd name="connsiteY21" fmla="*/ 273646 h 624779"/>
                <a:gd name="connsiteX22" fmla="*/ 390655 w 604829"/>
                <a:gd name="connsiteY22" fmla="*/ 254133 h 624779"/>
                <a:gd name="connsiteX23" fmla="*/ 410166 w 604829"/>
                <a:gd name="connsiteY23" fmla="*/ 254133 h 624779"/>
                <a:gd name="connsiteX24" fmla="*/ 429678 w 604829"/>
                <a:gd name="connsiteY24" fmla="*/ 234601 h 624779"/>
                <a:gd name="connsiteX25" fmla="*/ 449187 w 604829"/>
                <a:gd name="connsiteY25" fmla="*/ 215078 h 624779"/>
                <a:gd name="connsiteX26" fmla="*/ 468698 w 604829"/>
                <a:gd name="connsiteY26" fmla="*/ 195552 h 624779"/>
                <a:gd name="connsiteX27" fmla="*/ 468698 w 604829"/>
                <a:gd name="connsiteY27" fmla="*/ 176029 h 624779"/>
                <a:gd name="connsiteX28" fmla="*/ 468698 w 604829"/>
                <a:gd name="connsiteY28" fmla="*/ 156504 h 624779"/>
                <a:gd name="connsiteX29" fmla="*/ 488208 w 604829"/>
                <a:gd name="connsiteY29" fmla="*/ 136978 h 624779"/>
                <a:gd name="connsiteX30" fmla="*/ 488208 w 604829"/>
                <a:gd name="connsiteY30" fmla="*/ 117455 h 624779"/>
                <a:gd name="connsiteX31" fmla="*/ 507719 w 604829"/>
                <a:gd name="connsiteY31" fmla="*/ 97929 h 624779"/>
                <a:gd name="connsiteX32" fmla="*/ 507719 w 604829"/>
                <a:gd name="connsiteY32" fmla="*/ 78404 h 624779"/>
                <a:gd name="connsiteX33" fmla="*/ 527231 w 604829"/>
                <a:gd name="connsiteY33" fmla="*/ 58881 h 624779"/>
                <a:gd name="connsiteX34" fmla="*/ 546740 w 604829"/>
                <a:gd name="connsiteY34" fmla="*/ 58881 h 624779"/>
                <a:gd name="connsiteX35" fmla="*/ 566251 w 604829"/>
                <a:gd name="connsiteY35" fmla="*/ 58881 h 624779"/>
                <a:gd name="connsiteX36" fmla="*/ 585763 w 604829"/>
                <a:gd name="connsiteY36" fmla="*/ 39355 h 624779"/>
                <a:gd name="connsiteX37" fmla="*/ 585763 w 604829"/>
                <a:gd name="connsiteY37" fmla="*/ 19832 h 624779"/>
                <a:gd name="connsiteX38" fmla="*/ 605272 w 604829"/>
                <a:gd name="connsiteY38" fmla="*/ 307 h 6247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</a:cxnLst>
              <a:rect l="l" t="t" r="r" b="b"/>
              <a:pathLst>
                <a:path w="604829" h="624779">
                  <a:moveTo>
                    <a:pt x="442" y="625086"/>
                  </a:moveTo>
                  <a:lnTo>
                    <a:pt x="19953" y="605574"/>
                  </a:lnTo>
                  <a:lnTo>
                    <a:pt x="39463" y="586040"/>
                  </a:lnTo>
                  <a:lnTo>
                    <a:pt x="58974" y="566528"/>
                  </a:lnTo>
                  <a:lnTo>
                    <a:pt x="78485" y="566528"/>
                  </a:lnTo>
                  <a:lnTo>
                    <a:pt x="97996" y="546993"/>
                  </a:lnTo>
                  <a:lnTo>
                    <a:pt x="117506" y="527481"/>
                  </a:lnTo>
                  <a:lnTo>
                    <a:pt x="137017" y="507947"/>
                  </a:lnTo>
                  <a:lnTo>
                    <a:pt x="156528" y="507947"/>
                  </a:lnTo>
                  <a:lnTo>
                    <a:pt x="176038" y="488412"/>
                  </a:lnTo>
                  <a:lnTo>
                    <a:pt x="195549" y="468900"/>
                  </a:lnTo>
                  <a:lnTo>
                    <a:pt x="215060" y="449366"/>
                  </a:lnTo>
                  <a:lnTo>
                    <a:pt x="215060" y="429854"/>
                  </a:lnTo>
                  <a:lnTo>
                    <a:pt x="234570" y="410319"/>
                  </a:lnTo>
                  <a:lnTo>
                    <a:pt x="234570" y="390807"/>
                  </a:lnTo>
                  <a:lnTo>
                    <a:pt x="254081" y="371273"/>
                  </a:lnTo>
                  <a:lnTo>
                    <a:pt x="273592" y="351761"/>
                  </a:lnTo>
                  <a:lnTo>
                    <a:pt x="293102" y="332226"/>
                  </a:lnTo>
                  <a:lnTo>
                    <a:pt x="312613" y="312692"/>
                  </a:lnTo>
                  <a:lnTo>
                    <a:pt x="332123" y="293180"/>
                  </a:lnTo>
                  <a:lnTo>
                    <a:pt x="351634" y="273646"/>
                  </a:lnTo>
                  <a:lnTo>
                    <a:pt x="371146" y="273646"/>
                  </a:lnTo>
                  <a:lnTo>
                    <a:pt x="390655" y="254133"/>
                  </a:lnTo>
                  <a:lnTo>
                    <a:pt x="410166" y="254133"/>
                  </a:lnTo>
                  <a:lnTo>
                    <a:pt x="429678" y="234601"/>
                  </a:lnTo>
                  <a:lnTo>
                    <a:pt x="449187" y="215078"/>
                  </a:lnTo>
                  <a:lnTo>
                    <a:pt x="468698" y="195552"/>
                  </a:lnTo>
                  <a:lnTo>
                    <a:pt x="468698" y="176029"/>
                  </a:lnTo>
                  <a:lnTo>
                    <a:pt x="468698" y="156504"/>
                  </a:lnTo>
                  <a:lnTo>
                    <a:pt x="488208" y="136978"/>
                  </a:lnTo>
                  <a:lnTo>
                    <a:pt x="488208" y="117455"/>
                  </a:lnTo>
                  <a:lnTo>
                    <a:pt x="507719" y="97929"/>
                  </a:lnTo>
                  <a:lnTo>
                    <a:pt x="507719" y="78404"/>
                  </a:lnTo>
                  <a:lnTo>
                    <a:pt x="527231" y="58881"/>
                  </a:lnTo>
                  <a:lnTo>
                    <a:pt x="546740" y="58881"/>
                  </a:lnTo>
                  <a:lnTo>
                    <a:pt x="566251" y="58881"/>
                  </a:lnTo>
                  <a:lnTo>
                    <a:pt x="585763" y="39355"/>
                  </a:lnTo>
                  <a:lnTo>
                    <a:pt x="585763" y="19832"/>
                  </a:lnTo>
                  <a:lnTo>
                    <a:pt x="605272" y="307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</xdr:grpSp>
      <xdr:sp macro="" textlink="">
        <xdr:nvSpPr>
          <xdr:cNvPr id="46" name="Forma libre: forma 45">
            <a:extLst>
              <a:ext uri="{FF2B5EF4-FFF2-40B4-BE49-F238E27FC236}">
                <a16:creationId xmlns:a16="http://schemas.microsoft.com/office/drawing/2014/main" id="{00000000-0008-0000-0400-00002E000000}"/>
              </a:ext>
            </a:extLst>
          </xdr:cNvPr>
          <xdr:cNvSpPr/>
        </xdr:nvSpPr>
        <xdr:spPr>
          <a:xfrm>
            <a:off x="7827270" y="6172011"/>
            <a:ext cx="19520" cy="19534"/>
          </a:xfrm>
          <a:custGeom>
            <a:avLst/>
            <a:gdLst>
              <a:gd name="connsiteX0" fmla="*/ 442 w 19520"/>
              <a:gd name="connsiteY0" fmla="*/ 19841 h 19534"/>
              <a:gd name="connsiteX1" fmla="*/ 19962 w 19520"/>
              <a:gd name="connsiteY1" fmla="*/ 307 h 1953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20" h="19534">
                <a:moveTo>
                  <a:pt x="442" y="19841"/>
                </a:moveTo>
                <a:lnTo>
                  <a:pt x="19962" y="307"/>
                </a:lnTo>
              </a:path>
            </a:pathLst>
          </a:custGeom>
          <a:noFill/>
          <a:ln w="979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47" name="Forma libre: forma 46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SpPr/>
        </xdr:nvSpPr>
        <xdr:spPr>
          <a:xfrm>
            <a:off x="5311175" y="5735450"/>
            <a:ext cx="2516095" cy="456095"/>
          </a:xfrm>
          <a:custGeom>
            <a:avLst/>
            <a:gdLst>
              <a:gd name="connsiteX0" fmla="*/ 442 w 2497359"/>
              <a:gd name="connsiteY0" fmla="*/ 117455 h 449068"/>
              <a:gd name="connsiteX1" fmla="*/ 19954 w 2497359"/>
              <a:gd name="connsiteY1" fmla="*/ 117455 h 449068"/>
              <a:gd name="connsiteX2" fmla="*/ 39465 w 2497359"/>
              <a:gd name="connsiteY2" fmla="*/ 117455 h 449068"/>
              <a:gd name="connsiteX3" fmla="*/ 58974 w 2497359"/>
              <a:gd name="connsiteY3" fmla="*/ 117455 h 449068"/>
              <a:gd name="connsiteX4" fmla="*/ 78486 w 2497359"/>
              <a:gd name="connsiteY4" fmla="*/ 117455 h 449068"/>
              <a:gd name="connsiteX5" fmla="*/ 97995 w 2497359"/>
              <a:gd name="connsiteY5" fmla="*/ 117455 h 449068"/>
              <a:gd name="connsiteX6" fmla="*/ 117506 w 2497359"/>
              <a:gd name="connsiteY6" fmla="*/ 136981 h 449068"/>
              <a:gd name="connsiteX7" fmla="*/ 117506 w 2497359"/>
              <a:gd name="connsiteY7" fmla="*/ 156504 h 449068"/>
              <a:gd name="connsiteX8" fmla="*/ 137018 w 2497359"/>
              <a:gd name="connsiteY8" fmla="*/ 176029 h 449068"/>
              <a:gd name="connsiteX9" fmla="*/ 156527 w 2497359"/>
              <a:gd name="connsiteY9" fmla="*/ 176029 h 449068"/>
              <a:gd name="connsiteX10" fmla="*/ 176039 w 2497359"/>
              <a:gd name="connsiteY10" fmla="*/ 156504 h 449068"/>
              <a:gd name="connsiteX11" fmla="*/ 195550 w 2497359"/>
              <a:gd name="connsiteY11" fmla="*/ 136981 h 449068"/>
              <a:gd name="connsiteX12" fmla="*/ 215059 w 2497359"/>
              <a:gd name="connsiteY12" fmla="*/ 136981 h 449068"/>
              <a:gd name="connsiteX13" fmla="*/ 234571 w 2497359"/>
              <a:gd name="connsiteY13" fmla="*/ 136981 h 449068"/>
              <a:gd name="connsiteX14" fmla="*/ 254080 w 2497359"/>
              <a:gd name="connsiteY14" fmla="*/ 117455 h 449068"/>
              <a:gd name="connsiteX15" fmla="*/ 254080 w 2497359"/>
              <a:gd name="connsiteY15" fmla="*/ 97930 h 449068"/>
              <a:gd name="connsiteX16" fmla="*/ 273592 w 2497359"/>
              <a:gd name="connsiteY16" fmla="*/ 78406 h 449068"/>
              <a:gd name="connsiteX17" fmla="*/ 273592 w 2497359"/>
              <a:gd name="connsiteY17" fmla="*/ 58881 h 449068"/>
              <a:gd name="connsiteX18" fmla="*/ 293103 w 2497359"/>
              <a:gd name="connsiteY18" fmla="*/ 58881 h 449068"/>
              <a:gd name="connsiteX19" fmla="*/ 312612 w 2497359"/>
              <a:gd name="connsiteY19" fmla="*/ 58881 h 449068"/>
              <a:gd name="connsiteX20" fmla="*/ 332124 w 2497359"/>
              <a:gd name="connsiteY20" fmla="*/ 39355 h 449068"/>
              <a:gd name="connsiteX21" fmla="*/ 351635 w 2497359"/>
              <a:gd name="connsiteY21" fmla="*/ 19832 h 449068"/>
              <a:gd name="connsiteX22" fmla="*/ 371145 w 2497359"/>
              <a:gd name="connsiteY22" fmla="*/ 39355 h 449068"/>
              <a:gd name="connsiteX23" fmla="*/ 390656 w 2497359"/>
              <a:gd name="connsiteY23" fmla="*/ 58881 h 449068"/>
              <a:gd name="connsiteX24" fmla="*/ 390656 w 2497359"/>
              <a:gd name="connsiteY24" fmla="*/ 78406 h 449068"/>
              <a:gd name="connsiteX25" fmla="*/ 410167 w 2497359"/>
              <a:gd name="connsiteY25" fmla="*/ 97930 h 449068"/>
              <a:gd name="connsiteX26" fmla="*/ 429677 w 2497359"/>
              <a:gd name="connsiteY26" fmla="*/ 78406 h 449068"/>
              <a:gd name="connsiteX27" fmla="*/ 449188 w 2497359"/>
              <a:gd name="connsiteY27" fmla="*/ 58881 h 449068"/>
              <a:gd name="connsiteX28" fmla="*/ 468697 w 2497359"/>
              <a:gd name="connsiteY28" fmla="*/ 39355 h 449068"/>
              <a:gd name="connsiteX29" fmla="*/ 488209 w 2497359"/>
              <a:gd name="connsiteY29" fmla="*/ 39355 h 449068"/>
              <a:gd name="connsiteX30" fmla="*/ 507720 w 2497359"/>
              <a:gd name="connsiteY30" fmla="*/ 19832 h 449068"/>
              <a:gd name="connsiteX31" fmla="*/ 527230 w 2497359"/>
              <a:gd name="connsiteY31" fmla="*/ 307 h 449068"/>
              <a:gd name="connsiteX32" fmla="*/ 546741 w 2497359"/>
              <a:gd name="connsiteY32" fmla="*/ 19832 h 449068"/>
              <a:gd name="connsiteX33" fmla="*/ 546741 w 2497359"/>
              <a:gd name="connsiteY33" fmla="*/ 39355 h 449068"/>
              <a:gd name="connsiteX34" fmla="*/ 546741 w 2497359"/>
              <a:gd name="connsiteY34" fmla="*/ 58881 h 449068"/>
              <a:gd name="connsiteX35" fmla="*/ 566253 w 2497359"/>
              <a:gd name="connsiteY35" fmla="*/ 78406 h 449068"/>
              <a:gd name="connsiteX36" fmla="*/ 566253 w 2497359"/>
              <a:gd name="connsiteY36" fmla="*/ 97930 h 449068"/>
              <a:gd name="connsiteX37" fmla="*/ 566253 w 2497359"/>
              <a:gd name="connsiteY37" fmla="*/ 117455 h 449068"/>
              <a:gd name="connsiteX38" fmla="*/ 585762 w 2497359"/>
              <a:gd name="connsiteY38" fmla="*/ 136981 h 449068"/>
              <a:gd name="connsiteX39" fmla="*/ 605273 w 2497359"/>
              <a:gd name="connsiteY39" fmla="*/ 156504 h 449068"/>
              <a:gd name="connsiteX40" fmla="*/ 624785 w 2497359"/>
              <a:gd name="connsiteY40" fmla="*/ 156504 h 449068"/>
              <a:gd name="connsiteX41" fmla="*/ 644294 w 2497359"/>
              <a:gd name="connsiteY41" fmla="*/ 156504 h 449068"/>
              <a:gd name="connsiteX42" fmla="*/ 663805 w 2497359"/>
              <a:gd name="connsiteY42" fmla="*/ 176029 h 449068"/>
              <a:gd name="connsiteX43" fmla="*/ 663805 w 2497359"/>
              <a:gd name="connsiteY43" fmla="*/ 195553 h 449068"/>
              <a:gd name="connsiteX44" fmla="*/ 683315 w 2497359"/>
              <a:gd name="connsiteY44" fmla="*/ 215078 h 449068"/>
              <a:gd name="connsiteX45" fmla="*/ 702826 w 2497359"/>
              <a:gd name="connsiteY45" fmla="*/ 215078 h 449068"/>
              <a:gd name="connsiteX46" fmla="*/ 722338 w 2497359"/>
              <a:gd name="connsiteY46" fmla="*/ 215078 h 449068"/>
              <a:gd name="connsiteX47" fmla="*/ 741847 w 2497359"/>
              <a:gd name="connsiteY47" fmla="*/ 215078 h 449068"/>
              <a:gd name="connsiteX48" fmla="*/ 761358 w 2497359"/>
              <a:gd name="connsiteY48" fmla="*/ 215078 h 449068"/>
              <a:gd name="connsiteX49" fmla="*/ 780870 w 2497359"/>
              <a:gd name="connsiteY49" fmla="*/ 195553 h 449068"/>
              <a:gd name="connsiteX50" fmla="*/ 780870 w 2497359"/>
              <a:gd name="connsiteY50" fmla="*/ 176029 h 449068"/>
              <a:gd name="connsiteX51" fmla="*/ 800379 w 2497359"/>
              <a:gd name="connsiteY51" fmla="*/ 176029 h 449068"/>
              <a:gd name="connsiteX52" fmla="*/ 819890 w 2497359"/>
              <a:gd name="connsiteY52" fmla="*/ 176029 h 449068"/>
              <a:gd name="connsiteX53" fmla="*/ 839402 w 2497359"/>
              <a:gd name="connsiteY53" fmla="*/ 176029 h 449068"/>
              <a:gd name="connsiteX54" fmla="*/ 858911 w 2497359"/>
              <a:gd name="connsiteY54" fmla="*/ 156504 h 449068"/>
              <a:gd name="connsiteX55" fmla="*/ 878423 w 2497359"/>
              <a:gd name="connsiteY55" fmla="*/ 136981 h 449068"/>
              <a:gd name="connsiteX56" fmla="*/ 897932 w 2497359"/>
              <a:gd name="connsiteY56" fmla="*/ 117455 h 449068"/>
              <a:gd name="connsiteX57" fmla="*/ 917443 w 2497359"/>
              <a:gd name="connsiteY57" fmla="*/ 117455 h 449068"/>
              <a:gd name="connsiteX58" fmla="*/ 936955 w 2497359"/>
              <a:gd name="connsiteY58" fmla="*/ 117455 h 449068"/>
              <a:gd name="connsiteX59" fmla="*/ 956464 w 2497359"/>
              <a:gd name="connsiteY59" fmla="*/ 136981 h 449068"/>
              <a:gd name="connsiteX60" fmla="*/ 975976 w 2497359"/>
              <a:gd name="connsiteY60" fmla="*/ 136981 h 449068"/>
              <a:gd name="connsiteX61" fmla="*/ 995487 w 2497359"/>
              <a:gd name="connsiteY61" fmla="*/ 136981 h 449068"/>
              <a:gd name="connsiteX62" fmla="*/ 1014996 w 2497359"/>
              <a:gd name="connsiteY62" fmla="*/ 136981 h 449068"/>
              <a:gd name="connsiteX63" fmla="*/ 1034508 w 2497359"/>
              <a:gd name="connsiteY63" fmla="*/ 136981 h 449068"/>
              <a:gd name="connsiteX64" fmla="*/ 1054017 w 2497359"/>
              <a:gd name="connsiteY64" fmla="*/ 117455 h 449068"/>
              <a:gd name="connsiteX65" fmla="*/ 1073529 w 2497359"/>
              <a:gd name="connsiteY65" fmla="*/ 117455 h 449068"/>
              <a:gd name="connsiteX66" fmla="*/ 1093040 w 2497359"/>
              <a:gd name="connsiteY66" fmla="*/ 97930 h 449068"/>
              <a:gd name="connsiteX67" fmla="*/ 1112549 w 2497359"/>
              <a:gd name="connsiteY67" fmla="*/ 97930 h 449068"/>
              <a:gd name="connsiteX68" fmla="*/ 1132061 w 2497359"/>
              <a:gd name="connsiteY68" fmla="*/ 97930 h 449068"/>
              <a:gd name="connsiteX69" fmla="*/ 1151572 w 2497359"/>
              <a:gd name="connsiteY69" fmla="*/ 78406 h 449068"/>
              <a:gd name="connsiteX70" fmla="*/ 1171081 w 2497359"/>
              <a:gd name="connsiteY70" fmla="*/ 58881 h 449068"/>
              <a:gd name="connsiteX71" fmla="*/ 1190593 w 2497359"/>
              <a:gd name="connsiteY71" fmla="*/ 58881 h 449068"/>
              <a:gd name="connsiteX72" fmla="*/ 1210104 w 2497359"/>
              <a:gd name="connsiteY72" fmla="*/ 78406 h 449068"/>
              <a:gd name="connsiteX73" fmla="*/ 1229614 w 2497359"/>
              <a:gd name="connsiteY73" fmla="*/ 78406 h 449068"/>
              <a:gd name="connsiteX74" fmla="*/ 1249125 w 2497359"/>
              <a:gd name="connsiteY74" fmla="*/ 58881 h 449068"/>
              <a:gd name="connsiteX75" fmla="*/ 1268634 w 2497359"/>
              <a:gd name="connsiteY75" fmla="*/ 58881 h 449068"/>
              <a:gd name="connsiteX76" fmla="*/ 1288146 w 2497359"/>
              <a:gd name="connsiteY76" fmla="*/ 58881 h 449068"/>
              <a:gd name="connsiteX77" fmla="*/ 1307657 w 2497359"/>
              <a:gd name="connsiteY77" fmla="*/ 78406 h 449068"/>
              <a:gd name="connsiteX78" fmla="*/ 1327167 w 2497359"/>
              <a:gd name="connsiteY78" fmla="*/ 78406 h 449068"/>
              <a:gd name="connsiteX79" fmla="*/ 1346678 w 2497359"/>
              <a:gd name="connsiteY79" fmla="*/ 78406 h 449068"/>
              <a:gd name="connsiteX80" fmla="*/ 1366190 w 2497359"/>
              <a:gd name="connsiteY80" fmla="*/ 97930 h 449068"/>
              <a:gd name="connsiteX81" fmla="*/ 1366190 w 2497359"/>
              <a:gd name="connsiteY81" fmla="*/ 117455 h 449068"/>
              <a:gd name="connsiteX82" fmla="*/ 1366190 w 2497359"/>
              <a:gd name="connsiteY82" fmla="*/ 136981 h 449068"/>
              <a:gd name="connsiteX83" fmla="*/ 1346678 w 2497359"/>
              <a:gd name="connsiteY83" fmla="*/ 156504 h 449068"/>
              <a:gd name="connsiteX84" fmla="*/ 1366190 w 2497359"/>
              <a:gd name="connsiteY84" fmla="*/ 176029 h 449068"/>
              <a:gd name="connsiteX85" fmla="*/ 1385699 w 2497359"/>
              <a:gd name="connsiteY85" fmla="*/ 176029 h 449068"/>
              <a:gd name="connsiteX86" fmla="*/ 1405210 w 2497359"/>
              <a:gd name="connsiteY86" fmla="*/ 176029 h 449068"/>
              <a:gd name="connsiteX87" fmla="*/ 1424722 w 2497359"/>
              <a:gd name="connsiteY87" fmla="*/ 176029 h 449068"/>
              <a:gd name="connsiteX88" fmla="*/ 1444231 w 2497359"/>
              <a:gd name="connsiteY88" fmla="*/ 176029 h 449068"/>
              <a:gd name="connsiteX89" fmla="*/ 1463742 w 2497359"/>
              <a:gd name="connsiteY89" fmla="*/ 195553 h 449068"/>
              <a:gd name="connsiteX90" fmla="*/ 1483252 w 2497359"/>
              <a:gd name="connsiteY90" fmla="*/ 215078 h 449068"/>
              <a:gd name="connsiteX91" fmla="*/ 1502763 w 2497359"/>
              <a:gd name="connsiteY91" fmla="*/ 215078 h 449068"/>
              <a:gd name="connsiteX92" fmla="*/ 1522275 w 2497359"/>
              <a:gd name="connsiteY92" fmla="*/ 215078 h 449068"/>
              <a:gd name="connsiteX93" fmla="*/ 1541784 w 2497359"/>
              <a:gd name="connsiteY93" fmla="*/ 215078 h 449068"/>
              <a:gd name="connsiteX94" fmla="*/ 1561295 w 2497359"/>
              <a:gd name="connsiteY94" fmla="*/ 234604 h 449068"/>
              <a:gd name="connsiteX95" fmla="*/ 1580807 w 2497359"/>
              <a:gd name="connsiteY95" fmla="*/ 234604 h 449068"/>
              <a:gd name="connsiteX96" fmla="*/ 1600316 w 2497359"/>
              <a:gd name="connsiteY96" fmla="*/ 254127 h 449068"/>
              <a:gd name="connsiteX97" fmla="*/ 1619827 w 2497359"/>
              <a:gd name="connsiteY97" fmla="*/ 254127 h 449068"/>
              <a:gd name="connsiteX98" fmla="*/ 1639339 w 2497359"/>
              <a:gd name="connsiteY98" fmla="*/ 254127 h 449068"/>
              <a:gd name="connsiteX99" fmla="*/ 1658848 w 2497359"/>
              <a:gd name="connsiteY99" fmla="*/ 254127 h 449068"/>
              <a:gd name="connsiteX100" fmla="*/ 1678360 w 2497359"/>
              <a:gd name="connsiteY100" fmla="*/ 273652 h 449068"/>
              <a:gd name="connsiteX101" fmla="*/ 1697867 w 2497359"/>
              <a:gd name="connsiteY101" fmla="*/ 273652 h 449068"/>
              <a:gd name="connsiteX102" fmla="*/ 1717387 w 2497359"/>
              <a:gd name="connsiteY102" fmla="*/ 293178 h 449068"/>
              <a:gd name="connsiteX103" fmla="*/ 1736885 w 2497359"/>
              <a:gd name="connsiteY103" fmla="*/ 293178 h 449068"/>
              <a:gd name="connsiteX104" fmla="*/ 1756405 w 2497359"/>
              <a:gd name="connsiteY104" fmla="*/ 312701 h 449068"/>
              <a:gd name="connsiteX105" fmla="*/ 1775904 w 2497359"/>
              <a:gd name="connsiteY105" fmla="*/ 332227 h 449068"/>
              <a:gd name="connsiteX106" fmla="*/ 1795424 w 2497359"/>
              <a:gd name="connsiteY106" fmla="*/ 332227 h 449068"/>
              <a:gd name="connsiteX107" fmla="*/ 1814944 w 2497359"/>
              <a:gd name="connsiteY107" fmla="*/ 332227 h 449068"/>
              <a:gd name="connsiteX108" fmla="*/ 1834442 w 2497359"/>
              <a:gd name="connsiteY108" fmla="*/ 332227 h 449068"/>
              <a:gd name="connsiteX109" fmla="*/ 1853963 w 2497359"/>
              <a:gd name="connsiteY109" fmla="*/ 332227 h 449068"/>
              <a:gd name="connsiteX110" fmla="*/ 1873461 w 2497359"/>
              <a:gd name="connsiteY110" fmla="*/ 332227 h 449068"/>
              <a:gd name="connsiteX111" fmla="*/ 1892981 w 2497359"/>
              <a:gd name="connsiteY111" fmla="*/ 332227 h 449068"/>
              <a:gd name="connsiteX112" fmla="*/ 1912480 w 2497359"/>
              <a:gd name="connsiteY112" fmla="*/ 312701 h 449068"/>
              <a:gd name="connsiteX113" fmla="*/ 1932000 w 2497359"/>
              <a:gd name="connsiteY113" fmla="*/ 312701 h 449068"/>
              <a:gd name="connsiteX114" fmla="*/ 1951498 w 2497359"/>
              <a:gd name="connsiteY114" fmla="*/ 312701 h 449068"/>
              <a:gd name="connsiteX115" fmla="*/ 1971018 w 2497359"/>
              <a:gd name="connsiteY115" fmla="*/ 293178 h 449068"/>
              <a:gd name="connsiteX116" fmla="*/ 1990539 w 2497359"/>
              <a:gd name="connsiteY116" fmla="*/ 293178 h 449068"/>
              <a:gd name="connsiteX117" fmla="*/ 2010037 w 2497359"/>
              <a:gd name="connsiteY117" fmla="*/ 273652 h 449068"/>
              <a:gd name="connsiteX118" fmla="*/ 2029557 w 2497359"/>
              <a:gd name="connsiteY118" fmla="*/ 254127 h 449068"/>
              <a:gd name="connsiteX119" fmla="*/ 2049055 w 2497359"/>
              <a:gd name="connsiteY119" fmla="*/ 234604 h 449068"/>
              <a:gd name="connsiteX120" fmla="*/ 2068576 w 2497359"/>
              <a:gd name="connsiteY120" fmla="*/ 234604 h 449068"/>
              <a:gd name="connsiteX121" fmla="*/ 2088074 w 2497359"/>
              <a:gd name="connsiteY121" fmla="*/ 234604 h 449068"/>
              <a:gd name="connsiteX122" fmla="*/ 2107594 w 2497359"/>
              <a:gd name="connsiteY122" fmla="*/ 234604 h 449068"/>
              <a:gd name="connsiteX123" fmla="*/ 2127115 w 2497359"/>
              <a:gd name="connsiteY123" fmla="*/ 234604 h 449068"/>
              <a:gd name="connsiteX124" fmla="*/ 2146613 w 2497359"/>
              <a:gd name="connsiteY124" fmla="*/ 234604 h 449068"/>
              <a:gd name="connsiteX125" fmla="*/ 2166133 w 2497359"/>
              <a:gd name="connsiteY125" fmla="*/ 234604 h 449068"/>
              <a:gd name="connsiteX126" fmla="*/ 2185631 w 2497359"/>
              <a:gd name="connsiteY126" fmla="*/ 215078 h 449068"/>
              <a:gd name="connsiteX127" fmla="*/ 2205152 w 2497359"/>
              <a:gd name="connsiteY127" fmla="*/ 234604 h 449068"/>
              <a:gd name="connsiteX128" fmla="*/ 2224650 w 2497359"/>
              <a:gd name="connsiteY128" fmla="*/ 254127 h 449068"/>
              <a:gd name="connsiteX129" fmla="*/ 2244170 w 2497359"/>
              <a:gd name="connsiteY129" fmla="*/ 254127 h 449068"/>
              <a:gd name="connsiteX130" fmla="*/ 2263668 w 2497359"/>
              <a:gd name="connsiteY130" fmla="*/ 273652 h 449068"/>
              <a:gd name="connsiteX131" fmla="*/ 2263668 w 2497359"/>
              <a:gd name="connsiteY131" fmla="*/ 293178 h 449068"/>
              <a:gd name="connsiteX132" fmla="*/ 2283188 w 2497359"/>
              <a:gd name="connsiteY132" fmla="*/ 312701 h 449068"/>
              <a:gd name="connsiteX133" fmla="*/ 2302709 w 2497359"/>
              <a:gd name="connsiteY133" fmla="*/ 332227 h 449068"/>
              <a:gd name="connsiteX134" fmla="*/ 2322207 w 2497359"/>
              <a:gd name="connsiteY134" fmla="*/ 351750 h 449068"/>
              <a:gd name="connsiteX135" fmla="*/ 2322207 w 2497359"/>
              <a:gd name="connsiteY135" fmla="*/ 371282 h 449068"/>
              <a:gd name="connsiteX136" fmla="*/ 2341727 w 2497359"/>
              <a:gd name="connsiteY136" fmla="*/ 390794 h 449068"/>
              <a:gd name="connsiteX137" fmla="*/ 2341727 w 2497359"/>
              <a:gd name="connsiteY137" fmla="*/ 410328 h 449068"/>
              <a:gd name="connsiteX138" fmla="*/ 2361225 w 2497359"/>
              <a:gd name="connsiteY138" fmla="*/ 429840 h 449068"/>
              <a:gd name="connsiteX139" fmla="*/ 2380746 w 2497359"/>
              <a:gd name="connsiteY139" fmla="*/ 449375 h 449068"/>
              <a:gd name="connsiteX140" fmla="*/ 2400244 w 2497359"/>
              <a:gd name="connsiteY140" fmla="*/ 449375 h 449068"/>
              <a:gd name="connsiteX141" fmla="*/ 2419764 w 2497359"/>
              <a:gd name="connsiteY141" fmla="*/ 449375 h 449068"/>
              <a:gd name="connsiteX142" fmla="*/ 2439285 w 2497359"/>
              <a:gd name="connsiteY142" fmla="*/ 449375 h 449068"/>
              <a:gd name="connsiteX143" fmla="*/ 2458783 w 2497359"/>
              <a:gd name="connsiteY143" fmla="*/ 449375 h 449068"/>
              <a:gd name="connsiteX144" fmla="*/ 2478303 w 2497359"/>
              <a:gd name="connsiteY144" fmla="*/ 449375 h 449068"/>
              <a:gd name="connsiteX145" fmla="*/ 2497801 w 2497359"/>
              <a:gd name="connsiteY145" fmla="*/ 449375 h 4490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</a:cxnLst>
            <a:rect l="l" t="t" r="r" b="b"/>
            <a:pathLst>
              <a:path w="2497359" h="449068">
                <a:moveTo>
                  <a:pt x="442" y="117455"/>
                </a:moveTo>
                <a:lnTo>
                  <a:pt x="19954" y="117455"/>
                </a:lnTo>
                <a:lnTo>
                  <a:pt x="39465" y="117455"/>
                </a:lnTo>
                <a:lnTo>
                  <a:pt x="58974" y="117455"/>
                </a:lnTo>
                <a:lnTo>
                  <a:pt x="78486" y="117455"/>
                </a:lnTo>
                <a:lnTo>
                  <a:pt x="97995" y="117455"/>
                </a:lnTo>
                <a:lnTo>
                  <a:pt x="117506" y="136981"/>
                </a:lnTo>
                <a:lnTo>
                  <a:pt x="117506" y="156504"/>
                </a:lnTo>
                <a:lnTo>
                  <a:pt x="137018" y="176029"/>
                </a:lnTo>
                <a:lnTo>
                  <a:pt x="156527" y="176029"/>
                </a:lnTo>
                <a:lnTo>
                  <a:pt x="176039" y="156504"/>
                </a:lnTo>
                <a:lnTo>
                  <a:pt x="195550" y="136981"/>
                </a:lnTo>
                <a:lnTo>
                  <a:pt x="215059" y="136981"/>
                </a:lnTo>
                <a:lnTo>
                  <a:pt x="234571" y="136981"/>
                </a:lnTo>
                <a:lnTo>
                  <a:pt x="254080" y="117455"/>
                </a:lnTo>
                <a:lnTo>
                  <a:pt x="254080" y="97930"/>
                </a:lnTo>
                <a:lnTo>
                  <a:pt x="273592" y="78406"/>
                </a:lnTo>
                <a:lnTo>
                  <a:pt x="273592" y="58881"/>
                </a:lnTo>
                <a:lnTo>
                  <a:pt x="293103" y="58881"/>
                </a:lnTo>
                <a:lnTo>
                  <a:pt x="312612" y="58881"/>
                </a:lnTo>
                <a:lnTo>
                  <a:pt x="332124" y="39355"/>
                </a:lnTo>
                <a:lnTo>
                  <a:pt x="351635" y="19832"/>
                </a:lnTo>
                <a:lnTo>
                  <a:pt x="371145" y="39355"/>
                </a:lnTo>
                <a:lnTo>
                  <a:pt x="390656" y="58881"/>
                </a:lnTo>
                <a:lnTo>
                  <a:pt x="390656" y="78406"/>
                </a:lnTo>
                <a:lnTo>
                  <a:pt x="410167" y="97930"/>
                </a:lnTo>
                <a:lnTo>
                  <a:pt x="429677" y="78406"/>
                </a:lnTo>
                <a:lnTo>
                  <a:pt x="449188" y="58881"/>
                </a:lnTo>
                <a:lnTo>
                  <a:pt x="468697" y="39355"/>
                </a:lnTo>
                <a:lnTo>
                  <a:pt x="488209" y="39355"/>
                </a:lnTo>
                <a:lnTo>
                  <a:pt x="507720" y="19832"/>
                </a:lnTo>
                <a:lnTo>
                  <a:pt x="527230" y="307"/>
                </a:lnTo>
                <a:lnTo>
                  <a:pt x="546741" y="19832"/>
                </a:lnTo>
                <a:lnTo>
                  <a:pt x="546741" y="39355"/>
                </a:lnTo>
                <a:lnTo>
                  <a:pt x="546741" y="58881"/>
                </a:lnTo>
                <a:lnTo>
                  <a:pt x="566253" y="78406"/>
                </a:lnTo>
                <a:lnTo>
                  <a:pt x="566253" y="97930"/>
                </a:lnTo>
                <a:lnTo>
                  <a:pt x="566253" y="117455"/>
                </a:lnTo>
                <a:lnTo>
                  <a:pt x="585762" y="136981"/>
                </a:lnTo>
                <a:lnTo>
                  <a:pt x="605273" y="156504"/>
                </a:lnTo>
                <a:lnTo>
                  <a:pt x="624785" y="156504"/>
                </a:lnTo>
                <a:lnTo>
                  <a:pt x="644294" y="156504"/>
                </a:lnTo>
                <a:lnTo>
                  <a:pt x="663805" y="176029"/>
                </a:lnTo>
                <a:lnTo>
                  <a:pt x="663805" y="195553"/>
                </a:lnTo>
                <a:lnTo>
                  <a:pt x="683315" y="215078"/>
                </a:lnTo>
                <a:lnTo>
                  <a:pt x="702826" y="215078"/>
                </a:lnTo>
                <a:lnTo>
                  <a:pt x="722338" y="215078"/>
                </a:lnTo>
                <a:lnTo>
                  <a:pt x="741847" y="215078"/>
                </a:lnTo>
                <a:lnTo>
                  <a:pt x="761358" y="215078"/>
                </a:lnTo>
                <a:lnTo>
                  <a:pt x="780870" y="195553"/>
                </a:lnTo>
                <a:lnTo>
                  <a:pt x="780870" y="176029"/>
                </a:lnTo>
                <a:lnTo>
                  <a:pt x="800379" y="176029"/>
                </a:lnTo>
                <a:lnTo>
                  <a:pt x="819890" y="176029"/>
                </a:lnTo>
                <a:lnTo>
                  <a:pt x="839402" y="176029"/>
                </a:lnTo>
                <a:lnTo>
                  <a:pt x="858911" y="156504"/>
                </a:lnTo>
                <a:lnTo>
                  <a:pt x="878423" y="136981"/>
                </a:lnTo>
                <a:lnTo>
                  <a:pt x="897932" y="117455"/>
                </a:lnTo>
                <a:lnTo>
                  <a:pt x="917443" y="117455"/>
                </a:lnTo>
                <a:lnTo>
                  <a:pt x="936955" y="117455"/>
                </a:lnTo>
                <a:lnTo>
                  <a:pt x="956464" y="136981"/>
                </a:lnTo>
                <a:lnTo>
                  <a:pt x="975976" y="136981"/>
                </a:lnTo>
                <a:lnTo>
                  <a:pt x="995487" y="136981"/>
                </a:lnTo>
                <a:lnTo>
                  <a:pt x="1014996" y="136981"/>
                </a:lnTo>
                <a:lnTo>
                  <a:pt x="1034508" y="136981"/>
                </a:lnTo>
                <a:lnTo>
                  <a:pt x="1054017" y="117455"/>
                </a:lnTo>
                <a:lnTo>
                  <a:pt x="1073529" y="117455"/>
                </a:lnTo>
                <a:lnTo>
                  <a:pt x="1093040" y="97930"/>
                </a:lnTo>
                <a:lnTo>
                  <a:pt x="1112549" y="97930"/>
                </a:lnTo>
                <a:lnTo>
                  <a:pt x="1132061" y="97930"/>
                </a:lnTo>
                <a:lnTo>
                  <a:pt x="1151572" y="78406"/>
                </a:lnTo>
                <a:lnTo>
                  <a:pt x="1171081" y="58881"/>
                </a:lnTo>
                <a:lnTo>
                  <a:pt x="1190593" y="58881"/>
                </a:lnTo>
                <a:lnTo>
                  <a:pt x="1210104" y="78406"/>
                </a:lnTo>
                <a:lnTo>
                  <a:pt x="1229614" y="78406"/>
                </a:lnTo>
                <a:lnTo>
                  <a:pt x="1249125" y="58881"/>
                </a:lnTo>
                <a:lnTo>
                  <a:pt x="1268634" y="58881"/>
                </a:lnTo>
                <a:lnTo>
                  <a:pt x="1288146" y="58881"/>
                </a:lnTo>
                <a:lnTo>
                  <a:pt x="1307657" y="78406"/>
                </a:lnTo>
                <a:lnTo>
                  <a:pt x="1327167" y="78406"/>
                </a:lnTo>
                <a:lnTo>
                  <a:pt x="1346678" y="78406"/>
                </a:lnTo>
                <a:lnTo>
                  <a:pt x="1366190" y="97930"/>
                </a:lnTo>
                <a:lnTo>
                  <a:pt x="1366190" y="117455"/>
                </a:lnTo>
                <a:lnTo>
                  <a:pt x="1366190" y="136981"/>
                </a:lnTo>
                <a:lnTo>
                  <a:pt x="1346678" y="156504"/>
                </a:lnTo>
                <a:lnTo>
                  <a:pt x="1366190" y="176029"/>
                </a:lnTo>
                <a:lnTo>
                  <a:pt x="1385699" y="176029"/>
                </a:lnTo>
                <a:lnTo>
                  <a:pt x="1405210" y="176029"/>
                </a:lnTo>
                <a:lnTo>
                  <a:pt x="1424722" y="176029"/>
                </a:lnTo>
                <a:lnTo>
                  <a:pt x="1444231" y="176029"/>
                </a:lnTo>
                <a:lnTo>
                  <a:pt x="1463742" y="195553"/>
                </a:lnTo>
                <a:lnTo>
                  <a:pt x="1483252" y="215078"/>
                </a:lnTo>
                <a:lnTo>
                  <a:pt x="1502763" y="215078"/>
                </a:lnTo>
                <a:lnTo>
                  <a:pt x="1522275" y="215078"/>
                </a:lnTo>
                <a:lnTo>
                  <a:pt x="1541784" y="215078"/>
                </a:lnTo>
                <a:lnTo>
                  <a:pt x="1561295" y="234604"/>
                </a:lnTo>
                <a:lnTo>
                  <a:pt x="1580807" y="234604"/>
                </a:lnTo>
                <a:lnTo>
                  <a:pt x="1600316" y="254127"/>
                </a:lnTo>
                <a:lnTo>
                  <a:pt x="1619827" y="254127"/>
                </a:lnTo>
                <a:lnTo>
                  <a:pt x="1639339" y="254127"/>
                </a:lnTo>
                <a:lnTo>
                  <a:pt x="1658848" y="254127"/>
                </a:lnTo>
                <a:lnTo>
                  <a:pt x="1678360" y="273652"/>
                </a:lnTo>
                <a:lnTo>
                  <a:pt x="1697867" y="273652"/>
                </a:lnTo>
                <a:lnTo>
                  <a:pt x="1717387" y="293178"/>
                </a:lnTo>
                <a:lnTo>
                  <a:pt x="1736885" y="293178"/>
                </a:lnTo>
                <a:lnTo>
                  <a:pt x="1756405" y="312701"/>
                </a:lnTo>
                <a:lnTo>
                  <a:pt x="1775904" y="332227"/>
                </a:lnTo>
                <a:lnTo>
                  <a:pt x="1795424" y="332227"/>
                </a:lnTo>
                <a:lnTo>
                  <a:pt x="1814944" y="332227"/>
                </a:lnTo>
                <a:lnTo>
                  <a:pt x="1834442" y="332227"/>
                </a:lnTo>
                <a:lnTo>
                  <a:pt x="1853963" y="332227"/>
                </a:lnTo>
                <a:lnTo>
                  <a:pt x="1873461" y="332227"/>
                </a:lnTo>
                <a:lnTo>
                  <a:pt x="1892981" y="332227"/>
                </a:lnTo>
                <a:lnTo>
                  <a:pt x="1912480" y="312701"/>
                </a:lnTo>
                <a:lnTo>
                  <a:pt x="1932000" y="312701"/>
                </a:lnTo>
                <a:lnTo>
                  <a:pt x="1951498" y="312701"/>
                </a:lnTo>
                <a:lnTo>
                  <a:pt x="1971018" y="293178"/>
                </a:lnTo>
                <a:lnTo>
                  <a:pt x="1990539" y="293178"/>
                </a:lnTo>
                <a:lnTo>
                  <a:pt x="2010037" y="273652"/>
                </a:lnTo>
                <a:lnTo>
                  <a:pt x="2029557" y="254127"/>
                </a:lnTo>
                <a:lnTo>
                  <a:pt x="2049055" y="234604"/>
                </a:lnTo>
                <a:lnTo>
                  <a:pt x="2068576" y="234604"/>
                </a:lnTo>
                <a:lnTo>
                  <a:pt x="2088074" y="234604"/>
                </a:lnTo>
                <a:lnTo>
                  <a:pt x="2107594" y="234604"/>
                </a:lnTo>
                <a:lnTo>
                  <a:pt x="2127115" y="234604"/>
                </a:lnTo>
                <a:lnTo>
                  <a:pt x="2146613" y="234604"/>
                </a:lnTo>
                <a:lnTo>
                  <a:pt x="2166133" y="234604"/>
                </a:lnTo>
                <a:lnTo>
                  <a:pt x="2185631" y="215078"/>
                </a:lnTo>
                <a:lnTo>
                  <a:pt x="2205152" y="234604"/>
                </a:lnTo>
                <a:lnTo>
                  <a:pt x="2224650" y="254127"/>
                </a:lnTo>
                <a:lnTo>
                  <a:pt x="2244170" y="254127"/>
                </a:lnTo>
                <a:lnTo>
                  <a:pt x="2263668" y="273652"/>
                </a:lnTo>
                <a:lnTo>
                  <a:pt x="2263668" y="293178"/>
                </a:lnTo>
                <a:lnTo>
                  <a:pt x="2283188" y="312701"/>
                </a:lnTo>
                <a:lnTo>
                  <a:pt x="2302709" y="332227"/>
                </a:lnTo>
                <a:lnTo>
                  <a:pt x="2322207" y="351750"/>
                </a:lnTo>
                <a:lnTo>
                  <a:pt x="2322207" y="371282"/>
                </a:lnTo>
                <a:lnTo>
                  <a:pt x="2341727" y="390794"/>
                </a:lnTo>
                <a:lnTo>
                  <a:pt x="2341727" y="410328"/>
                </a:lnTo>
                <a:lnTo>
                  <a:pt x="2361225" y="429840"/>
                </a:lnTo>
                <a:lnTo>
                  <a:pt x="2380746" y="449375"/>
                </a:lnTo>
                <a:lnTo>
                  <a:pt x="2400244" y="449375"/>
                </a:lnTo>
                <a:lnTo>
                  <a:pt x="2419764" y="449375"/>
                </a:lnTo>
                <a:lnTo>
                  <a:pt x="2439285" y="449375"/>
                </a:lnTo>
                <a:lnTo>
                  <a:pt x="2458783" y="449375"/>
                </a:lnTo>
                <a:lnTo>
                  <a:pt x="2478303" y="449375"/>
                </a:lnTo>
                <a:lnTo>
                  <a:pt x="2497801" y="449375"/>
                </a:lnTo>
              </a:path>
            </a:pathLst>
          </a:custGeom>
          <a:noFill/>
          <a:ln w="943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48" name="Forma libre: forma 47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/>
        </xdr:nvSpPr>
        <xdr:spPr>
          <a:xfrm>
            <a:off x="4350469" y="5653840"/>
            <a:ext cx="960705" cy="198758"/>
          </a:xfrm>
          <a:custGeom>
            <a:avLst/>
            <a:gdLst>
              <a:gd name="connsiteX0" fmla="*/ 442 w 956021"/>
              <a:gd name="connsiteY0" fmla="*/ 97930 h 195245"/>
              <a:gd name="connsiteX1" fmla="*/ 19954 w 956021"/>
              <a:gd name="connsiteY1" fmla="*/ 97930 h 195245"/>
              <a:gd name="connsiteX2" fmla="*/ 39463 w 956021"/>
              <a:gd name="connsiteY2" fmla="*/ 97930 h 195245"/>
              <a:gd name="connsiteX3" fmla="*/ 58975 w 956021"/>
              <a:gd name="connsiteY3" fmla="*/ 97930 h 195245"/>
              <a:gd name="connsiteX4" fmla="*/ 78486 w 956021"/>
              <a:gd name="connsiteY4" fmla="*/ 78404 h 195245"/>
              <a:gd name="connsiteX5" fmla="*/ 97995 w 956021"/>
              <a:gd name="connsiteY5" fmla="*/ 97930 h 195245"/>
              <a:gd name="connsiteX6" fmla="*/ 117507 w 956021"/>
              <a:gd name="connsiteY6" fmla="*/ 78404 h 195245"/>
              <a:gd name="connsiteX7" fmla="*/ 137018 w 956021"/>
              <a:gd name="connsiteY7" fmla="*/ 58879 h 195245"/>
              <a:gd name="connsiteX8" fmla="*/ 156527 w 956021"/>
              <a:gd name="connsiteY8" fmla="*/ 58879 h 195245"/>
              <a:gd name="connsiteX9" fmla="*/ 156527 w 956021"/>
              <a:gd name="connsiteY9" fmla="*/ 39355 h 195245"/>
              <a:gd name="connsiteX10" fmla="*/ 176039 w 956021"/>
              <a:gd name="connsiteY10" fmla="*/ 19830 h 195245"/>
              <a:gd name="connsiteX11" fmla="*/ 195550 w 956021"/>
              <a:gd name="connsiteY11" fmla="*/ 19830 h 195245"/>
              <a:gd name="connsiteX12" fmla="*/ 215060 w 956021"/>
              <a:gd name="connsiteY12" fmla="*/ 19830 h 195245"/>
              <a:gd name="connsiteX13" fmla="*/ 234571 w 956021"/>
              <a:gd name="connsiteY13" fmla="*/ 19830 h 195245"/>
              <a:gd name="connsiteX14" fmla="*/ 254081 w 956021"/>
              <a:gd name="connsiteY14" fmla="*/ 19830 h 195245"/>
              <a:gd name="connsiteX15" fmla="*/ 273592 w 956021"/>
              <a:gd name="connsiteY15" fmla="*/ 307 h 195245"/>
              <a:gd name="connsiteX16" fmla="*/ 293103 w 956021"/>
              <a:gd name="connsiteY16" fmla="*/ 307 h 195245"/>
              <a:gd name="connsiteX17" fmla="*/ 312613 w 956021"/>
              <a:gd name="connsiteY17" fmla="*/ 307 h 195245"/>
              <a:gd name="connsiteX18" fmla="*/ 332124 w 956021"/>
              <a:gd name="connsiteY18" fmla="*/ 19830 h 195245"/>
              <a:gd name="connsiteX19" fmla="*/ 351635 w 956021"/>
              <a:gd name="connsiteY19" fmla="*/ 39355 h 195245"/>
              <a:gd name="connsiteX20" fmla="*/ 371145 w 956021"/>
              <a:gd name="connsiteY20" fmla="*/ 39355 h 195245"/>
              <a:gd name="connsiteX21" fmla="*/ 390656 w 956021"/>
              <a:gd name="connsiteY21" fmla="*/ 58879 h 195245"/>
              <a:gd name="connsiteX22" fmla="*/ 410167 w 956021"/>
              <a:gd name="connsiteY22" fmla="*/ 58879 h 195245"/>
              <a:gd name="connsiteX23" fmla="*/ 429677 w 956021"/>
              <a:gd name="connsiteY23" fmla="*/ 78404 h 195245"/>
              <a:gd name="connsiteX24" fmla="*/ 449188 w 956021"/>
              <a:gd name="connsiteY24" fmla="*/ 97930 h 195245"/>
              <a:gd name="connsiteX25" fmla="*/ 468698 w 956021"/>
              <a:gd name="connsiteY25" fmla="*/ 78404 h 195245"/>
              <a:gd name="connsiteX26" fmla="*/ 488209 w 956021"/>
              <a:gd name="connsiteY26" fmla="*/ 58879 h 195245"/>
              <a:gd name="connsiteX27" fmla="*/ 507720 w 956021"/>
              <a:gd name="connsiteY27" fmla="*/ 58879 h 195245"/>
              <a:gd name="connsiteX28" fmla="*/ 527230 w 956021"/>
              <a:gd name="connsiteY28" fmla="*/ 78404 h 195245"/>
              <a:gd name="connsiteX29" fmla="*/ 546741 w 956021"/>
              <a:gd name="connsiteY29" fmla="*/ 97930 h 195245"/>
              <a:gd name="connsiteX30" fmla="*/ 566252 w 956021"/>
              <a:gd name="connsiteY30" fmla="*/ 97930 h 195245"/>
              <a:gd name="connsiteX31" fmla="*/ 585762 w 956021"/>
              <a:gd name="connsiteY31" fmla="*/ 117453 h 195245"/>
              <a:gd name="connsiteX32" fmla="*/ 605273 w 956021"/>
              <a:gd name="connsiteY32" fmla="*/ 117453 h 195245"/>
              <a:gd name="connsiteX33" fmla="*/ 624784 w 956021"/>
              <a:gd name="connsiteY33" fmla="*/ 97930 h 195245"/>
              <a:gd name="connsiteX34" fmla="*/ 644294 w 956021"/>
              <a:gd name="connsiteY34" fmla="*/ 97930 h 195245"/>
              <a:gd name="connsiteX35" fmla="*/ 663806 w 956021"/>
              <a:gd name="connsiteY35" fmla="*/ 97930 h 195245"/>
              <a:gd name="connsiteX36" fmla="*/ 683315 w 956021"/>
              <a:gd name="connsiteY36" fmla="*/ 78404 h 195245"/>
              <a:gd name="connsiteX37" fmla="*/ 702826 w 956021"/>
              <a:gd name="connsiteY37" fmla="*/ 78404 h 195245"/>
              <a:gd name="connsiteX38" fmla="*/ 722338 w 956021"/>
              <a:gd name="connsiteY38" fmla="*/ 78404 h 195245"/>
              <a:gd name="connsiteX39" fmla="*/ 741847 w 956021"/>
              <a:gd name="connsiteY39" fmla="*/ 78404 h 195245"/>
              <a:gd name="connsiteX40" fmla="*/ 761359 w 956021"/>
              <a:gd name="connsiteY40" fmla="*/ 78404 h 195245"/>
              <a:gd name="connsiteX41" fmla="*/ 780870 w 956021"/>
              <a:gd name="connsiteY41" fmla="*/ 97930 h 195245"/>
              <a:gd name="connsiteX42" fmla="*/ 800379 w 956021"/>
              <a:gd name="connsiteY42" fmla="*/ 117453 h 195245"/>
              <a:gd name="connsiteX43" fmla="*/ 800379 w 956021"/>
              <a:gd name="connsiteY43" fmla="*/ 136978 h 195245"/>
              <a:gd name="connsiteX44" fmla="*/ 800379 w 956021"/>
              <a:gd name="connsiteY44" fmla="*/ 156504 h 195245"/>
              <a:gd name="connsiteX45" fmla="*/ 819891 w 956021"/>
              <a:gd name="connsiteY45" fmla="*/ 176027 h 195245"/>
              <a:gd name="connsiteX46" fmla="*/ 839400 w 956021"/>
              <a:gd name="connsiteY46" fmla="*/ 176027 h 195245"/>
              <a:gd name="connsiteX47" fmla="*/ 858911 w 956021"/>
              <a:gd name="connsiteY47" fmla="*/ 195553 h 195245"/>
              <a:gd name="connsiteX48" fmla="*/ 878423 w 956021"/>
              <a:gd name="connsiteY48" fmla="*/ 195553 h 195245"/>
              <a:gd name="connsiteX49" fmla="*/ 897932 w 956021"/>
              <a:gd name="connsiteY49" fmla="*/ 195553 h 195245"/>
              <a:gd name="connsiteX50" fmla="*/ 917444 w 956021"/>
              <a:gd name="connsiteY50" fmla="*/ 176027 h 195245"/>
              <a:gd name="connsiteX51" fmla="*/ 936955 w 956021"/>
              <a:gd name="connsiteY51" fmla="*/ 195553 h 195245"/>
              <a:gd name="connsiteX52" fmla="*/ 944247 w 956021"/>
              <a:gd name="connsiteY52" fmla="*/ 195479 h 195245"/>
              <a:gd name="connsiteX53" fmla="*/ 956464 w 956021"/>
              <a:gd name="connsiteY53" fmla="*/ 195553 h 1952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</a:cxnLst>
            <a:rect l="l" t="t" r="r" b="b"/>
            <a:pathLst>
              <a:path w="956021" h="195245">
                <a:moveTo>
                  <a:pt x="442" y="97930"/>
                </a:moveTo>
                <a:lnTo>
                  <a:pt x="19954" y="97930"/>
                </a:lnTo>
                <a:lnTo>
                  <a:pt x="39463" y="97930"/>
                </a:lnTo>
                <a:lnTo>
                  <a:pt x="58975" y="97930"/>
                </a:lnTo>
                <a:lnTo>
                  <a:pt x="78486" y="78404"/>
                </a:lnTo>
                <a:lnTo>
                  <a:pt x="97995" y="97930"/>
                </a:lnTo>
                <a:lnTo>
                  <a:pt x="117507" y="78404"/>
                </a:lnTo>
                <a:lnTo>
                  <a:pt x="137018" y="58879"/>
                </a:lnTo>
                <a:lnTo>
                  <a:pt x="156527" y="58879"/>
                </a:lnTo>
                <a:lnTo>
                  <a:pt x="156527" y="39355"/>
                </a:lnTo>
                <a:lnTo>
                  <a:pt x="176039" y="19830"/>
                </a:lnTo>
                <a:lnTo>
                  <a:pt x="195550" y="19830"/>
                </a:lnTo>
                <a:lnTo>
                  <a:pt x="215060" y="19830"/>
                </a:lnTo>
                <a:lnTo>
                  <a:pt x="234571" y="19830"/>
                </a:lnTo>
                <a:lnTo>
                  <a:pt x="254081" y="19830"/>
                </a:lnTo>
                <a:lnTo>
                  <a:pt x="273592" y="307"/>
                </a:lnTo>
                <a:lnTo>
                  <a:pt x="293103" y="307"/>
                </a:lnTo>
                <a:lnTo>
                  <a:pt x="312613" y="307"/>
                </a:lnTo>
                <a:lnTo>
                  <a:pt x="332124" y="19830"/>
                </a:lnTo>
                <a:lnTo>
                  <a:pt x="351635" y="39355"/>
                </a:lnTo>
                <a:lnTo>
                  <a:pt x="371145" y="39355"/>
                </a:lnTo>
                <a:lnTo>
                  <a:pt x="390656" y="58879"/>
                </a:lnTo>
                <a:lnTo>
                  <a:pt x="410167" y="58879"/>
                </a:lnTo>
                <a:lnTo>
                  <a:pt x="429677" y="78404"/>
                </a:lnTo>
                <a:lnTo>
                  <a:pt x="449188" y="97930"/>
                </a:lnTo>
                <a:lnTo>
                  <a:pt x="468698" y="78404"/>
                </a:lnTo>
                <a:lnTo>
                  <a:pt x="488209" y="58879"/>
                </a:lnTo>
                <a:lnTo>
                  <a:pt x="507720" y="58879"/>
                </a:lnTo>
                <a:lnTo>
                  <a:pt x="527230" y="78404"/>
                </a:lnTo>
                <a:lnTo>
                  <a:pt x="546741" y="97930"/>
                </a:lnTo>
                <a:lnTo>
                  <a:pt x="566252" y="97930"/>
                </a:lnTo>
                <a:lnTo>
                  <a:pt x="585762" y="117453"/>
                </a:lnTo>
                <a:lnTo>
                  <a:pt x="605273" y="117453"/>
                </a:lnTo>
                <a:lnTo>
                  <a:pt x="624784" y="97930"/>
                </a:lnTo>
                <a:lnTo>
                  <a:pt x="644294" y="97930"/>
                </a:lnTo>
                <a:lnTo>
                  <a:pt x="663806" y="97930"/>
                </a:lnTo>
                <a:lnTo>
                  <a:pt x="683315" y="78404"/>
                </a:lnTo>
                <a:lnTo>
                  <a:pt x="702826" y="78404"/>
                </a:lnTo>
                <a:lnTo>
                  <a:pt x="722338" y="78404"/>
                </a:lnTo>
                <a:lnTo>
                  <a:pt x="741847" y="78404"/>
                </a:lnTo>
                <a:lnTo>
                  <a:pt x="761359" y="78404"/>
                </a:lnTo>
                <a:lnTo>
                  <a:pt x="780870" y="97930"/>
                </a:lnTo>
                <a:lnTo>
                  <a:pt x="800379" y="117453"/>
                </a:lnTo>
                <a:lnTo>
                  <a:pt x="800379" y="136978"/>
                </a:lnTo>
                <a:lnTo>
                  <a:pt x="800379" y="156504"/>
                </a:lnTo>
                <a:lnTo>
                  <a:pt x="819891" y="176027"/>
                </a:lnTo>
                <a:lnTo>
                  <a:pt x="839400" y="176027"/>
                </a:lnTo>
                <a:lnTo>
                  <a:pt x="858911" y="195553"/>
                </a:lnTo>
                <a:lnTo>
                  <a:pt x="878423" y="195553"/>
                </a:lnTo>
                <a:lnTo>
                  <a:pt x="897932" y="195553"/>
                </a:lnTo>
                <a:lnTo>
                  <a:pt x="917444" y="176027"/>
                </a:lnTo>
                <a:lnTo>
                  <a:pt x="936955" y="195553"/>
                </a:lnTo>
                <a:lnTo>
                  <a:pt x="944247" y="195479"/>
                </a:lnTo>
                <a:lnTo>
                  <a:pt x="956464" y="195553"/>
                </a:lnTo>
              </a:path>
            </a:pathLst>
          </a:custGeom>
          <a:noFill/>
          <a:ln w="827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51" name="Forma libre: forma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5979222" y="7208386"/>
            <a:ext cx="687556" cy="257327"/>
          </a:xfrm>
          <a:custGeom>
            <a:avLst/>
            <a:gdLst>
              <a:gd name="connsiteX0" fmla="*/ 442 w 682872"/>
              <a:gd name="connsiteY0" fmla="*/ 215073 h 253813"/>
              <a:gd name="connsiteX1" fmla="*/ 19952 w 682872"/>
              <a:gd name="connsiteY1" fmla="*/ 215073 h 253813"/>
              <a:gd name="connsiteX2" fmla="*/ 39463 w 682872"/>
              <a:gd name="connsiteY2" fmla="*/ 215073 h 253813"/>
              <a:gd name="connsiteX3" fmla="*/ 58974 w 682872"/>
              <a:gd name="connsiteY3" fmla="*/ 215073 h 253813"/>
              <a:gd name="connsiteX4" fmla="*/ 78484 w 682872"/>
              <a:gd name="connsiteY4" fmla="*/ 215073 h 253813"/>
              <a:gd name="connsiteX5" fmla="*/ 97995 w 682872"/>
              <a:gd name="connsiteY5" fmla="*/ 215073 h 253813"/>
              <a:gd name="connsiteX6" fmla="*/ 117507 w 682872"/>
              <a:gd name="connsiteY6" fmla="*/ 234586 h 253813"/>
              <a:gd name="connsiteX7" fmla="*/ 137016 w 682872"/>
              <a:gd name="connsiteY7" fmla="*/ 254120 h 253813"/>
              <a:gd name="connsiteX8" fmla="*/ 156527 w 682872"/>
              <a:gd name="connsiteY8" fmla="*/ 234586 h 253813"/>
              <a:gd name="connsiteX9" fmla="*/ 176039 w 682872"/>
              <a:gd name="connsiteY9" fmla="*/ 234586 h 253813"/>
              <a:gd name="connsiteX10" fmla="*/ 195548 w 682872"/>
              <a:gd name="connsiteY10" fmla="*/ 215073 h 253813"/>
              <a:gd name="connsiteX11" fmla="*/ 215059 w 682872"/>
              <a:gd name="connsiteY11" fmla="*/ 215073 h 253813"/>
              <a:gd name="connsiteX12" fmla="*/ 234569 w 682872"/>
              <a:gd name="connsiteY12" fmla="*/ 195539 h 253813"/>
              <a:gd name="connsiteX13" fmla="*/ 254080 w 682872"/>
              <a:gd name="connsiteY13" fmla="*/ 195539 h 253813"/>
              <a:gd name="connsiteX14" fmla="*/ 273592 w 682872"/>
              <a:gd name="connsiteY14" fmla="*/ 176027 h 253813"/>
              <a:gd name="connsiteX15" fmla="*/ 293101 w 682872"/>
              <a:gd name="connsiteY15" fmla="*/ 156493 h 253813"/>
              <a:gd name="connsiteX16" fmla="*/ 312612 w 682872"/>
              <a:gd name="connsiteY16" fmla="*/ 156493 h 253813"/>
              <a:gd name="connsiteX17" fmla="*/ 332124 w 682872"/>
              <a:gd name="connsiteY17" fmla="*/ 136980 h 253813"/>
              <a:gd name="connsiteX18" fmla="*/ 351633 w 682872"/>
              <a:gd name="connsiteY18" fmla="*/ 136980 h 253813"/>
              <a:gd name="connsiteX19" fmla="*/ 371145 w 682872"/>
              <a:gd name="connsiteY19" fmla="*/ 136980 h 253813"/>
              <a:gd name="connsiteX20" fmla="*/ 390654 w 682872"/>
              <a:gd name="connsiteY20" fmla="*/ 117446 h 253813"/>
              <a:gd name="connsiteX21" fmla="*/ 410165 w 682872"/>
              <a:gd name="connsiteY21" fmla="*/ 136980 h 253813"/>
              <a:gd name="connsiteX22" fmla="*/ 429677 w 682872"/>
              <a:gd name="connsiteY22" fmla="*/ 136980 h 253813"/>
              <a:gd name="connsiteX23" fmla="*/ 449186 w 682872"/>
              <a:gd name="connsiteY23" fmla="*/ 136980 h 253813"/>
              <a:gd name="connsiteX24" fmla="*/ 468698 w 682872"/>
              <a:gd name="connsiteY24" fmla="*/ 117446 h 253813"/>
              <a:gd name="connsiteX25" fmla="*/ 488209 w 682872"/>
              <a:gd name="connsiteY25" fmla="*/ 97934 h 253813"/>
              <a:gd name="connsiteX26" fmla="*/ 507718 w 682872"/>
              <a:gd name="connsiteY26" fmla="*/ 97934 h 253813"/>
              <a:gd name="connsiteX27" fmla="*/ 527230 w 682872"/>
              <a:gd name="connsiteY27" fmla="*/ 97934 h 253813"/>
              <a:gd name="connsiteX28" fmla="*/ 546741 w 682872"/>
              <a:gd name="connsiteY28" fmla="*/ 97934 h 253813"/>
              <a:gd name="connsiteX29" fmla="*/ 566250 w 682872"/>
              <a:gd name="connsiteY29" fmla="*/ 97934 h 253813"/>
              <a:gd name="connsiteX30" fmla="*/ 585762 w 682872"/>
              <a:gd name="connsiteY30" fmla="*/ 78399 h 253813"/>
              <a:gd name="connsiteX31" fmla="*/ 605271 w 682872"/>
              <a:gd name="connsiteY31" fmla="*/ 58865 h 253813"/>
              <a:gd name="connsiteX32" fmla="*/ 624783 w 682872"/>
              <a:gd name="connsiteY32" fmla="*/ 58865 h 253813"/>
              <a:gd name="connsiteX33" fmla="*/ 644294 w 682872"/>
              <a:gd name="connsiteY33" fmla="*/ 58865 h 253813"/>
              <a:gd name="connsiteX34" fmla="*/ 663803 w 682872"/>
              <a:gd name="connsiteY34" fmla="*/ 39353 h 253813"/>
              <a:gd name="connsiteX35" fmla="*/ 683315 w 682872"/>
              <a:gd name="connsiteY35" fmla="*/ 19819 h 253813"/>
              <a:gd name="connsiteX36" fmla="*/ 683315 w 682872"/>
              <a:gd name="connsiteY36" fmla="*/ 306 h 2538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682872" h="253813">
                <a:moveTo>
                  <a:pt x="442" y="215073"/>
                </a:moveTo>
                <a:lnTo>
                  <a:pt x="19952" y="215073"/>
                </a:lnTo>
                <a:lnTo>
                  <a:pt x="39463" y="215073"/>
                </a:lnTo>
                <a:lnTo>
                  <a:pt x="58974" y="215073"/>
                </a:lnTo>
                <a:lnTo>
                  <a:pt x="78484" y="215073"/>
                </a:lnTo>
                <a:lnTo>
                  <a:pt x="97995" y="215073"/>
                </a:lnTo>
                <a:lnTo>
                  <a:pt x="117507" y="234586"/>
                </a:lnTo>
                <a:lnTo>
                  <a:pt x="137016" y="254120"/>
                </a:lnTo>
                <a:lnTo>
                  <a:pt x="156527" y="234586"/>
                </a:lnTo>
                <a:lnTo>
                  <a:pt x="176039" y="234586"/>
                </a:lnTo>
                <a:lnTo>
                  <a:pt x="195548" y="215073"/>
                </a:lnTo>
                <a:lnTo>
                  <a:pt x="215059" y="215073"/>
                </a:lnTo>
                <a:lnTo>
                  <a:pt x="234569" y="195539"/>
                </a:lnTo>
                <a:lnTo>
                  <a:pt x="254080" y="195539"/>
                </a:lnTo>
                <a:lnTo>
                  <a:pt x="273592" y="176027"/>
                </a:lnTo>
                <a:lnTo>
                  <a:pt x="293101" y="156493"/>
                </a:lnTo>
                <a:lnTo>
                  <a:pt x="312612" y="156493"/>
                </a:lnTo>
                <a:lnTo>
                  <a:pt x="332124" y="136980"/>
                </a:lnTo>
                <a:lnTo>
                  <a:pt x="351633" y="136980"/>
                </a:lnTo>
                <a:lnTo>
                  <a:pt x="371145" y="136980"/>
                </a:lnTo>
                <a:lnTo>
                  <a:pt x="390654" y="117446"/>
                </a:lnTo>
                <a:lnTo>
                  <a:pt x="410165" y="136980"/>
                </a:lnTo>
                <a:lnTo>
                  <a:pt x="429677" y="136980"/>
                </a:lnTo>
                <a:lnTo>
                  <a:pt x="449186" y="136980"/>
                </a:lnTo>
                <a:lnTo>
                  <a:pt x="468698" y="117446"/>
                </a:lnTo>
                <a:lnTo>
                  <a:pt x="488209" y="97934"/>
                </a:lnTo>
                <a:lnTo>
                  <a:pt x="507718" y="97934"/>
                </a:lnTo>
                <a:lnTo>
                  <a:pt x="527230" y="97934"/>
                </a:lnTo>
                <a:lnTo>
                  <a:pt x="546741" y="97934"/>
                </a:lnTo>
                <a:lnTo>
                  <a:pt x="566250" y="97934"/>
                </a:lnTo>
                <a:lnTo>
                  <a:pt x="585762" y="78399"/>
                </a:lnTo>
                <a:lnTo>
                  <a:pt x="605271" y="58865"/>
                </a:lnTo>
                <a:lnTo>
                  <a:pt x="624783" y="58865"/>
                </a:lnTo>
                <a:lnTo>
                  <a:pt x="644294" y="58865"/>
                </a:lnTo>
                <a:lnTo>
                  <a:pt x="663803" y="39353"/>
                </a:lnTo>
                <a:lnTo>
                  <a:pt x="683315" y="19819"/>
                </a:lnTo>
                <a:lnTo>
                  <a:pt x="683315" y="306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55" name="Forma libre: forma 54">
            <a:extLst>
              <a:ext uri="{FF2B5EF4-FFF2-40B4-BE49-F238E27FC236}">
                <a16:creationId xmlns:a16="http://schemas.microsoft.com/office/drawing/2014/main" id="{00000000-0008-0000-0400-000037000000}"/>
              </a:ext>
            </a:extLst>
          </xdr:cNvPr>
          <xdr:cNvSpPr/>
        </xdr:nvSpPr>
        <xdr:spPr>
          <a:xfrm>
            <a:off x="6608246" y="7524294"/>
            <a:ext cx="78043" cy="120650"/>
          </a:xfrm>
          <a:custGeom>
            <a:avLst/>
            <a:gdLst>
              <a:gd name="connsiteX0" fmla="*/ 58974 w 78043"/>
              <a:gd name="connsiteY0" fmla="*/ 117446 h 117139"/>
              <a:gd name="connsiteX1" fmla="*/ 78486 w 78043"/>
              <a:gd name="connsiteY1" fmla="*/ 97934 h 117139"/>
              <a:gd name="connsiteX2" fmla="*/ 58974 w 78043"/>
              <a:gd name="connsiteY2" fmla="*/ 78399 h 117139"/>
              <a:gd name="connsiteX3" fmla="*/ 58974 w 78043"/>
              <a:gd name="connsiteY3" fmla="*/ 58865 h 117139"/>
              <a:gd name="connsiteX4" fmla="*/ 39463 w 78043"/>
              <a:gd name="connsiteY4" fmla="*/ 39353 h 117139"/>
              <a:gd name="connsiteX5" fmla="*/ 39463 w 78043"/>
              <a:gd name="connsiteY5" fmla="*/ 19819 h 117139"/>
              <a:gd name="connsiteX6" fmla="*/ 19954 w 78043"/>
              <a:gd name="connsiteY6" fmla="*/ 19819 h 117139"/>
              <a:gd name="connsiteX7" fmla="*/ 11062 w 78043"/>
              <a:gd name="connsiteY7" fmla="*/ 10994 h 117139"/>
              <a:gd name="connsiteX8" fmla="*/ 442 w 78043"/>
              <a:gd name="connsiteY8" fmla="*/ 306 h 1171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78043" h="117139">
                <a:moveTo>
                  <a:pt x="58974" y="117446"/>
                </a:moveTo>
                <a:lnTo>
                  <a:pt x="78486" y="97934"/>
                </a:lnTo>
                <a:lnTo>
                  <a:pt x="58974" y="78399"/>
                </a:lnTo>
                <a:lnTo>
                  <a:pt x="58974" y="58865"/>
                </a:lnTo>
                <a:lnTo>
                  <a:pt x="39463" y="39353"/>
                </a:lnTo>
                <a:lnTo>
                  <a:pt x="39463" y="19819"/>
                </a:lnTo>
                <a:lnTo>
                  <a:pt x="19954" y="19819"/>
                </a:lnTo>
                <a:lnTo>
                  <a:pt x="11062" y="10994"/>
                </a:lnTo>
                <a:lnTo>
                  <a:pt x="442" y="306"/>
                </a:lnTo>
              </a:path>
            </a:pathLst>
          </a:custGeom>
          <a:noFill/>
          <a:ln w="64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58" name="Forma libre: forma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/>
        </xdr:nvSpPr>
        <xdr:spPr>
          <a:xfrm>
            <a:off x="6842375" y="6530500"/>
            <a:ext cx="336372" cy="615793"/>
          </a:xfrm>
          <a:custGeom>
            <a:avLst/>
            <a:gdLst>
              <a:gd name="connsiteX0" fmla="*/ 442 w 331688"/>
              <a:gd name="connsiteY0" fmla="*/ 605561 h 605254"/>
              <a:gd name="connsiteX1" fmla="*/ 19951 w 331688"/>
              <a:gd name="connsiteY1" fmla="*/ 586027 h 605254"/>
              <a:gd name="connsiteX2" fmla="*/ 39463 w 331688"/>
              <a:gd name="connsiteY2" fmla="*/ 566514 h 605254"/>
              <a:gd name="connsiteX3" fmla="*/ 19951 w 331688"/>
              <a:gd name="connsiteY3" fmla="*/ 546980 h 605254"/>
              <a:gd name="connsiteX4" fmla="*/ 19951 w 331688"/>
              <a:gd name="connsiteY4" fmla="*/ 527468 h 605254"/>
              <a:gd name="connsiteX5" fmla="*/ 19951 w 331688"/>
              <a:gd name="connsiteY5" fmla="*/ 507934 h 605254"/>
              <a:gd name="connsiteX6" fmla="*/ 39463 w 331688"/>
              <a:gd name="connsiteY6" fmla="*/ 488421 h 605254"/>
              <a:gd name="connsiteX7" fmla="*/ 58974 w 331688"/>
              <a:gd name="connsiteY7" fmla="*/ 468887 h 605254"/>
              <a:gd name="connsiteX8" fmla="*/ 78484 w 331688"/>
              <a:gd name="connsiteY8" fmla="*/ 468887 h 605254"/>
              <a:gd name="connsiteX9" fmla="*/ 97995 w 331688"/>
              <a:gd name="connsiteY9" fmla="*/ 468887 h 605254"/>
              <a:gd name="connsiteX10" fmla="*/ 117506 w 331688"/>
              <a:gd name="connsiteY10" fmla="*/ 449375 h 605254"/>
              <a:gd name="connsiteX11" fmla="*/ 137016 w 331688"/>
              <a:gd name="connsiteY11" fmla="*/ 429841 h 605254"/>
              <a:gd name="connsiteX12" fmla="*/ 156527 w 331688"/>
              <a:gd name="connsiteY12" fmla="*/ 410306 h 605254"/>
              <a:gd name="connsiteX13" fmla="*/ 156527 w 331688"/>
              <a:gd name="connsiteY13" fmla="*/ 390794 h 605254"/>
              <a:gd name="connsiteX14" fmla="*/ 156527 w 331688"/>
              <a:gd name="connsiteY14" fmla="*/ 371260 h 605254"/>
              <a:gd name="connsiteX15" fmla="*/ 156527 w 331688"/>
              <a:gd name="connsiteY15" fmla="*/ 351747 h 605254"/>
              <a:gd name="connsiteX16" fmla="*/ 137016 w 331688"/>
              <a:gd name="connsiteY16" fmla="*/ 332213 h 605254"/>
              <a:gd name="connsiteX17" fmla="*/ 137016 w 331688"/>
              <a:gd name="connsiteY17" fmla="*/ 312701 h 605254"/>
              <a:gd name="connsiteX18" fmla="*/ 137016 w 331688"/>
              <a:gd name="connsiteY18" fmla="*/ 293167 h 605254"/>
              <a:gd name="connsiteX19" fmla="*/ 137016 w 331688"/>
              <a:gd name="connsiteY19" fmla="*/ 273632 h 605254"/>
              <a:gd name="connsiteX20" fmla="*/ 117506 w 331688"/>
              <a:gd name="connsiteY20" fmla="*/ 254120 h 605254"/>
              <a:gd name="connsiteX21" fmla="*/ 117506 w 331688"/>
              <a:gd name="connsiteY21" fmla="*/ 234586 h 605254"/>
              <a:gd name="connsiteX22" fmla="*/ 137016 w 331688"/>
              <a:gd name="connsiteY22" fmla="*/ 234586 h 605254"/>
              <a:gd name="connsiteX23" fmla="*/ 156527 w 331688"/>
              <a:gd name="connsiteY23" fmla="*/ 215073 h 605254"/>
              <a:gd name="connsiteX24" fmla="*/ 176034 w 331688"/>
              <a:gd name="connsiteY24" fmla="*/ 195539 h 605254"/>
              <a:gd name="connsiteX25" fmla="*/ 176034 w 331688"/>
              <a:gd name="connsiteY25" fmla="*/ 176027 h 605254"/>
              <a:gd name="connsiteX26" fmla="*/ 176034 w 331688"/>
              <a:gd name="connsiteY26" fmla="*/ 156493 h 605254"/>
              <a:gd name="connsiteX27" fmla="*/ 195554 w 331688"/>
              <a:gd name="connsiteY27" fmla="*/ 156493 h 605254"/>
              <a:gd name="connsiteX28" fmla="*/ 215053 w 331688"/>
              <a:gd name="connsiteY28" fmla="*/ 156493 h 605254"/>
              <a:gd name="connsiteX29" fmla="*/ 234573 w 331688"/>
              <a:gd name="connsiteY29" fmla="*/ 156493 h 605254"/>
              <a:gd name="connsiteX30" fmla="*/ 254071 w 331688"/>
              <a:gd name="connsiteY30" fmla="*/ 156493 h 605254"/>
              <a:gd name="connsiteX31" fmla="*/ 273591 w 331688"/>
              <a:gd name="connsiteY31" fmla="*/ 156493 h 605254"/>
              <a:gd name="connsiteX32" fmla="*/ 293112 w 331688"/>
              <a:gd name="connsiteY32" fmla="*/ 136958 h 605254"/>
              <a:gd name="connsiteX33" fmla="*/ 312610 w 331688"/>
              <a:gd name="connsiteY33" fmla="*/ 117446 h 605254"/>
              <a:gd name="connsiteX34" fmla="*/ 312610 w 331688"/>
              <a:gd name="connsiteY34" fmla="*/ 97912 h 605254"/>
              <a:gd name="connsiteX35" fmla="*/ 312610 w 331688"/>
              <a:gd name="connsiteY35" fmla="*/ 78400 h 605254"/>
              <a:gd name="connsiteX36" fmla="*/ 312610 w 331688"/>
              <a:gd name="connsiteY36" fmla="*/ 58865 h 605254"/>
              <a:gd name="connsiteX37" fmla="*/ 312610 w 331688"/>
              <a:gd name="connsiteY37" fmla="*/ 39353 h 605254"/>
              <a:gd name="connsiteX38" fmla="*/ 332130 w 331688"/>
              <a:gd name="connsiteY38" fmla="*/ 19819 h 605254"/>
              <a:gd name="connsiteX39" fmla="*/ 332130 w 331688"/>
              <a:gd name="connsiteY39" fmla="*/ 307 h 6052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</a:cxnLst>
            <a:rect l="l" t="t" r="r" b="b"/>
            <a:pathLst>
              <a:path w="331688" h="605254">
                <a:moveTo>
                  <a:pt x="442" y="605561"/>
                </a:moveTo>
                <a:lnTo>
                  <a:pt x="19951" y="586027"/>
                </a:lnTo>
                <a:lnTo>
                  <a:pt x="39463" y="566514"/>
                </a:lnTo>
                <a:lnTo>
                  <a:pt x="19951" y="546980"/>
                </a:lnTo>
                <a:lnTo>
                  <a:pt x="19951" y="527468"/>
                </a:lnTo>
                <a:lnTo>
                  <a:pt x="19951" y="507934"/>
                </a:lnTo>
                <a:lnTo>
                  <a:pt x="39463" y="488421"/>
                </a:lnTo>
                <a:lnTo>
                  <a:pt x="58974" y="468887"/>
                </a:lnTo>
                <a:lnTo>
                  <a:pt x="78484" y="468887"/>
                </a:lnTo>
                <a:lnTo>
                  <a:pt x="97995" y="468887"/>
                </a:lnTo>
                <a:lnTo>
                  <a:pt x="117506" y="449375"/>
                </a:lnTo>
                <a:lnTo>
                  <a:pt x="137016" y="429841"/>
                </a:lnTo>
                <a:lnTo>
                  <a:pt x="156527" y="410306"/>
                </a:lnTo>
                <a:lnTo>
                  <a:pt x="156527" y="390794"/>
                </a:lnTo>
                <a:lnTo>
                  <a:pt x="156527" y="371260"/>
                </a:lnTo>
                <a:lnTo>
                  <a:pt x="156527" y="351747"/>
                </a:lnTo>
                <a:lnTo>
                  <a:pt x="137016" y="332213"/>
                </a:lnTo>
                <a:lnTo>
                  <a:pt x="137016" y="312701"/>
                </a:lnTo>
                <a:lnTo>
                  <a:pt x="137016" y="293167"/>
                </a:lnTo>
                <a:lnTo>
                  <a:pt x="137016" y="273632"/>
                </a:lnTo>
                <a:lnTo>
                  <a:pt x="117506" y="254120"/>
                </a:lnTo>
                <a:lnTo>
                  <a:pt x="117506" y="234586"/>
                </a:lnTo>
                <a:lnTo>
                  <a:pt x="137016" y="234586"/>
                </a:lnTo>
                <a:lnTo>
                  <a:pt x="156527" y="215073"/>
                </a:lnTo>
                <a:lnTo>
                  <a:pt x="176034" y="195539"/>
                </a:lnTo>
                <a:lnTo>
                  <a:pt x="176034" y="176027"/>
                </a:lnTo>
                <a:lnTo>
                  <a:pt x="176034" y="156493"/>
                </a:lnTo>
                <a:lnTo>
                  <a:pt x="195554" y="156493"/>
                </a:lnTo>
                <a:lnTo>
                  <a:pt x="215053" y="156493"/>
                </a:lnTo>
                <a:lnTo>
                  <a:pt x="234573" y="156493"/>
                </a:lnTo>
                <a:lnTo>
                  <a:pt x="254071" y="156493"/>
                </a:lnTo>
                <a:lnTo>
                  <a:pt x="273591" y="156493"/>
                </a:lnTo>
                <a:lnTo>
                  <a:pt x="293112" y="136958"/>
                </a:lnTo>
                <a:lnTo>
                  <a:pt x="312610" y="117446"/>
                </a:lnTo>
                <a:lnTo>
                  <a:pt x="312610" y="97912"/>
                </a:lnTo>
                <a:lnTo>
                  <a:pt x="312610" y="78400"/>
                </a:lnTo>
                <a:lnTo>
                  <a:pt x="312610" y="58865"/>
                </a:lnTo>
                <a:lnTo>
                  <a:pt x="312610" y="39353"/>
                </a:lnTo>
                <a:lnTo>
                  <a:pt x="332130" y="19819"/>
                </a:lnTo>
                <a:lnTo>
                  <a:pt x="332130" y="307"/>
                </a:lnTo>
              </a:path>
            </a:pathLst>
          </a:custGeom>
          <a:noFill/>
          <a:ln w="11103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59" name="Forma libre: forma 58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/>
        </xdr:nvSpPr>
        <xdr:spPr>
          <a:xfrm>
            <a:off x="6666779" y="7146293"/>
            <a:ext cx="175596" cy="62092"/>
          </a:xfrm>
          <a:custGeom>
            <a:avLst/>
            <a:gdLst>
              <a:gd name="connsiteX0" fmla="*/ 442 w 175596"/>
              <a:gd name="connsiteY0" fmla="*/ 58887 h 58580"/>
              <a:gd name="connsiteX1" fmla="*/ 19954 w 175596"/>
              <a:gd name="connsiteY1" fmla="*/ 39353 h 58580"/>
              <a:gd name="connsiteX2" fmla="*/ 39463 w 175596"/>
              <a:gd name="connsiteY2" fmla="*/ 19841 h 58580"/>
              <a:gd name="connsiteX3" fmla="*/ 58974 w 175596"/>
              <a:gd name="connsiteY3" fmla="*/ 19841 h 58580"/>
              <a:gd name="connsiteX4" fmla="*/ 78486 w 175596"/>
              <a:gd name="connsiteY4" fmla="*/ 39353 h 58580"/>
              <a:gd name="connsiteX5" fmla="*/ 97995 w 175596"/>
              <a:gd name="connsiteY5" fmla="*/ 19841 h 58580"/>
              <a:gd name="connsiteX6" fmla="*/ 117506 w 175596"/>
              <a:gd name="connsiteY6" fmla="*/ 19841 h 58580"/>
              <a:gd name="connsiteX7" fmla="*/ 137016 w 175596"/>
              <a:gd name="connsiteY7" fmla="*/ 39353 h 58580"/>
              <a:gd name="connsiteX8" fmla="*/ 156527 w 175596"/>
              <a:gd name="connsiteY8" fmla="*/ 19841 h 58580"/>
              <a:gd name="connsiteX9" fmla="*/ 176039 w 175596"/>
              <a:gd name="connsiteY9" fmla="*/ 306 h 585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75596" h="58580">
                <a:moveTo>
                  <a:pt x="442" y="58887"/>
                </a:moveTo>
                <a:lnTo>
                  <a:pt x="19954" y="39353"/>
                </a:lnTo>
                <a:lnTo>
                  <a:pt x="39463" y="19841"/>
                </a:lnTo>
                <a:lnTo>
                  <a:pt x="58974" y="19841"/>
                </a:lnTo>
                <a:lnTo>
                  <a:pt x="78486" y="39353"/>
                </a:lnTo>
                <a:lnTo>
                  <a:pt x="97995" y="19841"/>
                </a:lnTo>
                <a:lnTo>
                  <a:pt x="117506" y="19841"/>
                </a:lnTo>
                <a:lnTo>
                  <a:pt x="137016" y="39353"/>
                </a:lnTo>
                <a:lnTo>
                  <a:pt x="156527" y="19841"/>
                </a:lnTo>
                <a:lnTo>
                  <a:pt x="176039" y="306"/>
                </a:lnTo>
              </a:path>
            </a:pathLst>
          </a:custGeom>
          <a:noFill/>
          <a:ln w="1079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60" name="Forma libre: forma 59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SpPr/>
        </xdr:nvSpPr>
        <xdr:spPr>
          <a:xfrm>
            <a:off x="6608246" y="7208386"/>
            <a:ext cx="97552" cy="179234"/>
          </a:xfrm>
          <a:custGeom>
            <a:avLst/>
            <a:gdLst>
              <a:gd name="connsiteX0" fmla="*/ 442 w 97552"/>
              <a:gd name="connsiteY0" fmla="*/ 176027 h 175720"/>
              <a:gd name="connsiteX1" fmla="*/ 19954 w 97552"/>
              <a:gd name="connsiteY1" fmla="*/ 156493 h 175720"/>
              <a:gd name="connsiteX2" fmla="*/ 39463 w 97552"/>
              <a:gd name="connsiteY2" fmla="*/ 156493 h 175720"/>
              <a:gd name="connsiteX3" fmla="*/ 58974 w 97552"/>
              <a:gd name="connsiteY3" fmla="*/ 136980 h 175720"/>
              <a:gd name="connsiteX4" fmla="*/ 78486 w 97552"/>
              <a:gd name="connsiteY4" fmla="*/ 136980 h 175720"/>
              <a:gd name="connsiteX5" fmla="*/ 78486 w 97552"/>
              <a:gd name="connsiteY5" fmla="*/ 117446 h 175720"/>
              <a:gd name="connsiteX6" fmla="*/ 97995 w 97552"/>
              <a:gd name="connsiteY6" fmla="*/ 97934 h 175720"/>
              <a:gd name="connsiteX7" fmla="*/ 97995 w 97552"/>
              <a:gd name="connsiteY7" fmla="*/ 78399 h 175720"/>
              <a:gd name="connsiteX8" fmla="*/ 97995 w 97552"/>
              <a:gd name="connsiteY8" fmla="*/ 58865 h 175720"/>
              <a:gd name="connsiteX9" fmla="*/ 97995 w 97552"/>
              <a:gd name="connsiteY9" fmla="*/ 39353 h 175720"/>
              <a:gd name="connsiteX10" fmla="*/ 78486 w 97552"/>
              <a:gd name="connsiteY10" fmla="*/ 19819 h 175720"/>
              <a:gd name="connsiteX11" fmla="*/ 70948 w 97552"/>
              <a:gd name="connsiteY11" fmla="*/ 12369 h 175720"/>
              <a:gd name="connsiteX12" fmla="*/ 58974 w 97552"/>
              <a:gd name="connsiteY12" fmla="*/ 306 h 1757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97552" h="175720">
                <a:moveTo>
                  <a:pt x="442" y="176027"/>
                </a:moveTo>
                <a:lnTo>
                  <a:pt x="19954" y="156493"/>
                </a:lnTo>
                <a:lnTo>
                  <a:pt x="39463" y="156493"/>
                </a:lnTo>
                <a:lnTo>
                  <a:pt x="58974" y="136980"/>
                </a:lnTo>
                <a:lnTo>
                  <a:pt x="78486" y="136980"/>
                </a:lnTo>
                <a:lnTo>
                  <a:pt x="78486" y="117446"/>
                </a:lnTo>
                <a:lnTo>
                  <a:pt x="97995" y="97934"/>
                </a:lnTo>
                <a:lnTo>
                  <a:pt x="97995" y="78399"/>
                </a:lnTo>
                <a:lnTo>
                  <a:pt x="97995" y="58865"/>
                </a:lnTo>
                <a:lnTo>
                  <a:pt x="97995" y="39353"/>
                </a:lnTo>
                <a:lnTo>
                  <a:pt x="78486" y="19819"/>
                </a:lnTo>
                <a:lnTo>
                  <a:pt x="70948" y="12369"/>
                </a:lnTo>
                <a:lnTo>
                  <a:pt x="58974" y="306"/>
                </a:lnTo>
              </a:path>
            </a:pathLst>
          </a:custGeom>
          <a:noFill/>
          <a:ln w="979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61" name="Forma libre: forma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6588735" y="7387620"/>
            <a:ext cx="19511" cy="136673"/>
          </a:xfrm>
          <a:custGeom>
            <a:avLst/>
            <a:gdLst>
              <a:gd name="connsiteX0" fmla="*/ 19954 w 19511"/>
              <a:gd name="connsiteY0" fmla="*/ 136980 h 136673"/>
              <a:gd name="connsiteX1" fmla="*/ 19954 w 19511"/>
              <a:gd name="connsiteY1" fmla="*/ 117446 h 136673"/>
              <a:gd name="connsiteX2" fmla="*/ 19954 w 19511"/>
              <a:gd name="connsiteY2" fmla="*/ 97934 h 136673"/>
              <a:gd name="connsiteX3" fmla="*/ 442 w 19511"/>
              <a:gd name="connsiteY3" fmla="*/ 78399 h 136673"/>
              <a:gd name="connsiteX4" fmla="*/ 442 w 19511"/>
              <a:gd name="connsiteY4" fmla="*/ 58865 h 136673"/>
              <a:gd name="connsiteX5" fmla="*/ 442 w 19511"/>
              <a:gd name="connsiteY5" fmla="*/ 39353 h 136673"/>
              <a:gd name="connsiteX6" fmla="*/ 19954 w 19511"/>
              <a:gd name="connsiteY6" fmla="*/ 19819 h 136673"/>
              <a:gd name="connsiteX7" fmla="*/ 19954 w 19511"/>
              <a:gd name="connsiteY7" fmla="*/ 306 h 13667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9511" h="136673">
                <a:moveTo>
                  <a:pt x="19954" y="136980"/>
                </a:moveTo>
                <a:lnTo>
                  <a:pt x="19954" y="117446"/>
                </a:lnTo>
                <a:lnTo>
                  <a:pt x="19954" y="97934"/>
                </a:lnTo>
                <a:lnTo>
                  <a:pt x="442" y="78399"/>
                </a:lnTo>
                <a:lnTo>
                  <a:pt x="442" y="58865"/>
                </a:lnTo>
                <a:lnTo>
                  <a:pt x="442" y="39353"/>
                </a:lnTo>
                <a:lnTo>
                  <a:pt x="19954" y="19819"/>
                </a:lnTo>
                <a:lnTo>
                  <a:pt x="19954" y="306"/>
                </a:lnTo>
              </a:path>
            </a:pathLst>
          </a:custGeom>
          <a:noFill/>
          <a:ln w="943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63" name="Forma libre: forma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SpPr/>
        </xdr:nvSpPr>
        <xdr:spPr>
          <a:xfrm>
            <a:off x="7588453" y="6429359"/>
            <a:ext cx="63222" cy="260838"/>
          </a:xfrm>
          <a:custGeom>
            <a:avLst/>
            <a:gdLst>
              <a:gd name="connsiteX0" fmla="*/ 442 w 58538"/>
              <a:gd name="connsiteY0" fmla="*/ 254120 h 253813"/>
              <a:gd name="connsiteX1" fmla="*/ 442 w 58538"/>
              <a:gd name="connsiteY1" fmla="*/ 234585 h 253813"/>
              <a:gd name="connsiteX2" fmla="*/ 442 w 58538"/>
              <a:gd name="connsiteY2" fmla="*/ 215073 h 253813"/>
              <a:gd name="connsiteX3" fmla="*/ 442 w 58538"/>
              <a:gd name="connsiteY3" fmla="*/ 195539 h 253813"/>
              <a:gd name="connsiteX4" fmla="*/ 442 w 58538"/>
              <a:gd name="connsiteY4" fmla="*/ 176027 h 253813"/>
              <a:gd name="connsiteX5" fmla="*/ 19962 w 58538"/>
              <a:gd name="connsiteY5" fmla="*/ 156492 h 253813"/>
              <a:gd name="connsiteX6" fmla="*/ 19962 w 58538"/>
              <a:gd name="connsiteY6" fmla="*/ 136980 h 253813"/>
              <a:gd name="connsiteX7" fmla="*/ 442 w 58538"/>
              <a:gd name="connsiteY7" fmla="*/ 117446 h 253813"/>
              <a:gd name="connsiteX8" fmla="*/ 442 w 58538"/>
              <a:gd name="connsiteY8" fmla="*/ 97934 h 253813"/>
              <a:gd name="connsiteX9" fmla="*/ 442 w 58538"/>
              <a:gd name="connsiteY9" fmla="*/ 78400 h 253813"/>
              <a:gd name="connsiteX10" fmla="*/ 19962 w 58538"/>
              <a:gd name="connsiteY10" fmla="*/ 58865 h 253813"/>
              <a:gd name="connsiteX11" fmla="*/ 19962 w 58538"/>
              <a:gd name="connsiteY11" fmla="*/ 39353 h 253813"/>
              <a:gd name="connsiteX12" fmla="*/ 39483 w 58538"/>
              <a:gd name="connsiteY12" fmla="*/ 19819 h 253813"/>
              <a:gd name="connsiteX13" fmla="*/ 39483 w 58538"/>
              <a:gd name="connsiteY13" fmla="*/ 307 h 253813"/>
              <a:gd name="connsiteX14" fmla="*/ 58981 w 58538"/>
              <a:gd name="connsiteY14" fmla="*/ 307 h 2538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8538" h="253813">
                <a:moveTo>
                  <a:pt x="442" y="254120"/>
                </a:moveTo>
                <a:lnTo>
                  <a:pt x="442" y="234585"/>
                </a:lnTo>
                <a:lnTo>
                  <a:pt x="442" y="215073"/>
                </a:lnTo>
                <a:lnTo>
                  <a:pt x="442" y="195539"/>
                </a:lnTo>
                <a:lnTo>
                  <a:pt x="442" y="176027"/>
                </a:lnTo>
                <a:lnTo>
                  <a:pt x="19962" y="156492"/>
                </a:lnTo>
                <a:lnTo>
                  <a:pt x="19962" y="136980"/>
                </a:lnTo>
                <a:lnTo>
                  <a:pt x="442" y="117446"/>
                </a:lnTo>
                <a:lnTo>
                  <a:pt x="442" y="97934"/>
                </a:lnTo>
                <a:lnTo>
                  <a:pt x="442" y="78400"/>
                </a:lnTo>
                <a:lnTo>
                  <a:pt x="19962" y="58865"/>
                </a:lnTo>
                <a:lnTo>
                  <a:pt x="19962" y="39353"/>
                </a:lnTo>
                <a:lnTo>
                  <a:pt x="39483" y="19819"/>
                </a:lnTo>
                <a:lnTo>
                  <a:pt x="39483" y="307"/>
                </a:lnTo>
                <a:lnTo>
                  <a:pt x="58981" y="307"/>
                </a:lnTo>
              </a:path>
            </a:pathLst>
          </a:custGeom>
          <a:noFill/>
          <a:ln w="64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47" name="Forma libre: forma 10246">
            <a:extLst>
              <a:ext uri="{FF2B5EF4-FFF2-40B4-BE49-F238E27FC236}">
                <a16:creationId xmlns:a16="http://schemas.microsoft.com/office/drawing/2014/main" id="{00000000-0008-0000-0400-000007280000}"/>
              </a:ext>
            </a:extLst>
          </xdr:cNvPr>
          <xdr:cNvSpPr/>
        </xdr:nvSpPr>
        <xdr:spPr>
          <a:xfrm>
            <a:off x="7729713" y="6429359"/>
            <a:ext cx="468266" cy="420561"/>
          </a:xfrm>
          <a:custGeom>
            <a:avLst/>
            <a:gdLst>
              <a:gd name="connsiteX0" fmla="*/ 468708 w 468266"/>
              <a:gd name="connsiteY0" fmla="*/ 410328 h 410021"/>
              <a:gd name="connsiteX1" fmla="*/ 468708 w 468266"/>
              <a:gd name="connsiteY1" fmla="*/ 390794 h 410021"/>
              <a:gd name="connsiteX2" fmla="*/ 449188 w 468266"/>
              <a:gd name="connsiteY2" fmla="*/ 371259 h 410021"/>
              <a:gd name="connsiteX3" fmla="*/ 429690 w 468266"/>
              <a:gd name="connsiteY3" fmla="*/ 351747 h 410021"/>
              <a:gd name="connsiteX4" fmla="*/ 410169 w 468266"/>
              <a:gd name="connsiteY4" fmla="*/ 351747 h 410021"/>
              <a:gd name="connsiteX5" fmla="*/ 390671 w 468266"/>
              <a:gd name="connsiteY5" fmla="*/ 332213 h 410021"/>
              <a:gd name="connsiteX6" fmla="*/ 371151 w 468266"/>
              <a:gd name="connsiteY6" fmla="*/ 312701 h 410021"/>
              <a:gd name="connsiteX7" fmla="*/ 371151 w 468266"/>
              <a:gd name="connsiteY7" fmla="*/ 293166 h 410021"/>
              <a:gd name="connsiteX8" fmla="*/ 351653 w 468266"/>
              <a:gd name="connsiteY8" fmla="*/ 273654 h 410021"/>
              <a:gd name="connsiteX9" fmla="*/ 351653 w 468266"/>
              <a:gd name="connsiteY9" fmla="*/ 254120 h 410021"/>
              <a:gd name="connsiteX10" fmla="*/ 332132 w 468266"/>
              <a:gd name="connsiteY10" fmla="*/ 234585 h 410021"/>
              <a:gd name="connsiteX11" fmla="*/ 312612 w 468266"/>
              <a:gd name="connsiteY11" fmla="*/ 215073 h 410021"/>
              <a:gd name="connsiteX12" fmla="*/ 293114 w 468266"/>
              <a:gd name="connsiteY12" fmla="*/ 195539 h 410021"/>
              <a:gd name="connsiteX13" fmla="*/ 273593 w 468266"/>
              <a:gd name="connsiteY13" fmla="*/ 195539 h 410021"/>
              <a:gd name="connsiteX14" fmla="*/ 254095 w 468266"/>
              <a:gd name="connsiteY14" fmla="*/ 195539 h 410021"/>
              <a:gd name="connsiteX15" fmla="*/ 234575 w 468266"/>
              <a:gd name="connsiteY15" fmla="*/ 176027 h 410021"/>
              <a:gd name="connsiteX16" fmla="*/ 215077 w 468266"/>
              <a:gd name="connsiteY16" fmla="*/ 156492 h 410021"/>
              <a:gd name="connsiteX17" fmla="*/ 195557 w 468266"/>
              <a:gd name="connsiteY17" fmla="*/ 136980 h 410021"/>
              <a:gd name="connsiteX18" fmla="*/ 176036 w 468266"/>
              <a:gd name="connsiteY18" fmla="*/ 117446 h 410021"/>
              <a:gd name="connsiteX19" fmla="*/ 156538 w 468266"/>
              <a:gd name="connsiteY19" fmla="*/ 97934 h 410021"/>
              <a:gd name="connsiteX20" fmla="*/ 156538 w 468266"/>
              <a:gd name="connsiteY20" fmla="*/ 78400 h 410021"/>
              <a:gd name="connsiteX21" fmla="*/ 137018 w 468266"/>
              <a:gd name="connsiteY21" fmla="*/ 58865 h 410021"/>
              <a:gd name="connsiteX22" fmla="*/ 117520 w 468266"/>
              <a:gd name="connsiteY22" fmla="*/ 58865 h 410021"/>
              <a:gd name="connsiteX23" fmla="*/ 97999 w 468266"/>
              <a:gd name="connsiteY23" fmla="*/ 58865 h 410021"/>
              <a:gd name="connsiteX24" fmla="*/ 78501 w 468266"/>
              <a:gd name="connsiteY24" fmla="*/ 58865 h 410021"/>
              <a:gd name="connsiteX25" fmla="*/ 58981 w 468266"/>
              <a:gd name="connsiteY25" fmla="*/ 39353 h 410021"/>
              <a:gd name="connsiteX26" fmla="*/ 39483 w 468266"/>
              <a:gd name="connsiteY26" fmla="*/ 39353 h 410021"/>
              <a:gd name="connsiteX27" fmla="*/ 19962 w 468266"/>
              <a:gd name="connsiteY27" fmla="*/ 19819 h 410021"/>
              <a:gd name="connsiteX28" fmla="*/ 442 w 468266"/>
              <a:gd name="connsiteY28" fmla="*/ 307 h 4100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468266" h="410021">
                <a:moveTo>
                  <a:pt x="468708" y="410328"/>
                </a:moveTo>
                <a:lnTo>
                  <a:pt x="468708" y="390794"/>
                </a:lnTo>
                <a:lnTo>
                  <a:pt x="449188" y="371259"/>
                </a:lnTo>
                <a:lnTo>
                  <a:pt x="429690" y="351747"/>
                </a:lnTo>
                <a:lnTo>
                  <a:pt x="410169" y="351747"/>
                </a:lnTo>
                <a:lnTo>
                  <a:pt x="390671" y="332213"/>
                </a:lnTo>
                <a:lnTo>
                  <a:pt x="371151" y="312701"/>
                </a:lnTo>
                <a:lnTo>
                  <a:pt x="371151" y="293166"/>
                </a:lnTo>
                <a:lnTo>
                  <a:pt x="351653" y="273654"/>
                </a:lnTo>
                <a:lnTo>
                  <a:pt x="351653" y="254120"/>
                </a:lnTo>
                <a:lnTo>
                  <a:pt x="332132" y="234585"/>
                </a:lnTo>
                <a:lnTo>
                  <a:pt x="312612" y="215073"/>
                </a:lnTo>
                <a:lnTo>
                  <a:pt x="293114" y="195539"/>
                </a:lnTo>
                <a:lnTo>
                  <a:pt x="273593" y="195539"/>
                </a:lnTo>
                <a:lnTo>
                  <a:pt x="254095" y="195539"/>
                </a:lnTo>
                <a:lnTo>
                  <a:pt x="234575" y="176027"/>
                </a:lnTo>
                <a:lnTo>
                  <a:pt x="215077" y="156492"/>
                </a:lnTo>
                <a:lnTo>
                  <a:pt x="195557" y="136980"/>
                </a:lnTo>
                <a:lnTo>
                  <a:pt x="176036" y="117446"/>
                </a:lnTo>
                <a:lnTo>
                  <a:pt x="156538" y="97934"/>
                </a:lnTo>
                <a:lnTo>
                  <a:pt x="156538" y="78400"/>
                </a:lnTo>
                <a:lnTo>
                  <a:pt x="137018" y="58865"/>
                </a:lnTo>
                <a:lnTo>
                  <a:pt x="117520" y="58865"/>
                </a:lnTo>
                <a:lnTo>
                  <a:pt x="97999" y="58865"/>
                </a:lnTo>
                <a:lnTo>
                  <a:pt x="78501" y="58865"/>
                </a:lnTo>
                <a:lnTo>
                  <a:pt x="58981" y="39353"/>
                </a:lnTo>
                <a:lnTo>
                  <a:pt x="39483" y="39353"/>
                </a:lnTo>
                <a:lnTo>
                  <a:pt x="19962" y="19819"/>
                </a:lnTo>
                <a:lnTo>
                  <a:pt x="442" y="307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48" name="Forma libre: forma 10247">
            <a:extLst>
              <a:ext uri="{FF2B5EF4-FFF2-40B4-BE49-F238E27FC236}">
                <a16:creationId xmlns:a16="http://schemas.microsoft.com/office/drawing/2014/main" id="{00000000-0008-0000-0400-000008280000}"/>
              </a:ext>
            </a:extLst>
          </xdr:cNvPr>
          <xdr:cNvSpPr/>
        </xdr:nvSpPr>
        <xdr:spPr>
          <a:xfrm>
            <a:off x="5354882" y="6589058"/>
            <a:ext cx="785109" cy="198765"/>
          </a:xfrm>
          <a:custGeom>
            <a:avLst/>
            <a:gdLst>
              <a:gd name="connsiteX0" fmla="*/ 442 w 780425"/>
              <a:gd name="connsiteY0" fmla="*/ 176027 h 195254"/>
              <a:gd name="connsiteX1" fmla="*/ 19951 w 780425"/>
              <a:gd name="connsiteY1" fmla="*/ 176027 h 195254"/>
              <a:gd name="connsiteX2" fmla="*/ 39463 w 780425"/>
              <a:gd name="connsiteY2" fmla="*/ 156515 h 195254"/>
              <a:gd name="connsiteX3" fmla="*/ 58972 w 780425"/>
              <a:gd name="connsiteY3" fmla="*/ 156515 h 195254"/>
              <a:gd name="connsiteX4" fmla="*/ 78484 w 780425"/>
              <a:gd name="connsiteY4" fmla="*/ 176027 h 195254"/>
              <a:gd name="connsiteX5" fmla="*/ 97995 w 780425"/>
              <a:gd name="connsiteY5" fmla="*/ 176027 h 195254"/>
              <a:gd name="connsiteX6" fmla="*/ 117504 w 780425"/>
              <a:gd name="connsiteY6" fmla="*/ 176027 h 195254"/>
              <a:gd name="connsiteX7" fmla="*/ 137016 w 780425"/>
              <a:gd name="connsiteY7" fmla="*/ 195561 h 195254"/>
              <a:gd name="connsiteX8" fmla="*/ 156527 w 780425"/>
              <a:gd name="connsiteY8" fmla="*/ 195561 h 195254"/>
              <a:gd name="connsiteX9" fmla="*/ 176037 w 780425"/>
              <a:gd name="connsiteY9" fmla="*/ 195561 h 195254"/>
              <a:gd name="connsiteX10" fmla="*/ 195548 w 780425"/>
              <a:gd name="connsiteY10" fmla="*/ 195561 h 195254"/>
              <a:gd name="connsiteX11" fmla="*/ 215057 w 780425"/>
              <a:gd name="connsiteY11" fmla="*/ 176027 h 195254"/>
              <a:gd name="connsiteX12" fmla="*/ 234569 w 780425"/>
              <a:gd name="connsiteY12" fmla="*/ 176027 h 195254"/>
              <a:gd name="connsiteX13" fmla="*/ 254080 w 780425"/>
              <a:gd name="connsiteY13" fmla="*/ 176027 h 195254"/>
              <a:gd name="connsiteX14" fmla="*/ 273589 w 780425"/>
              <a:gd name="connsiteY14" fmla="*/ 176027 h 195254"/>
              <a:gd name="connsiteX15" fmla="*/ 293101 w 780425"/>
              <a:gd name="connsiteY15" fmla="*/ 156515 h 195254"/>
              <a:gd name="connsiteX16" fmla="*/ 312612 w 780425"/>
              <a:gd name="connsiteY16" fmla="*/ 156515 h 195254"/>
              <a:gd name="connsiteX17" fmla="*/ 332122 w 780425"/>
              <a:gd name="connsiteY17" fmla="*/ 136980 h 195254"/>
              <a:gd name="connsiteX18" fmla="*/ 351633 w 780425"/>
              <a:gd name="connsiteY18" fmla="*/ 136980 h 195254"/>
              <a:gd name="connsiteX19" fmla="*/ 371145 w 780425"/>
              <a:gd name="connsiteY19" fmla="*/ 136980 h 195254"/>
              <a:gd name="connsiteX20" fmla="*/ 390654 w 780425"/>
              <a:gd name="connsiteY20" fmla="*/ 136980 h 195254"/>
              <a:gd name="connsiteX21" fmla="*/ 410165 w 780425"/>
              <a:gd name="connsiteY21" fmla="*/ 136980 h 195254"/>
              <a:gd name="connsiteX22" fmla="*/ 429675 w 780425"/>
              <a:gd name="connsiteY22" fmla="*/ 136980 h 195254"/>
              <a:gd name="connsiteX23" fmla="*/ 449186 w 780425"/>
              <a:gd name="connsiteY23" fmla="*/ 136980 h 195254"/>
              <a:gd name="connsiteX24" fmla="*/ 468697 w 780425"/>
              <a:gd name="connsiteY24" fmla="*/ 136980 h 195254"/>
              <a:gd name="connsiteX25" fmla="*/ 488207 w 780425"/>
              <a:gd name="connsiteY25" fmla="*/ 136980 h 195254"/>
              <a:gd name="connsiteX26" fmla="*/ 507718 w 780425"/>
              <a:gd name="connsiteY26" fmla="*/ 156515 h 195254"/>
              <a:gd name="connsiteX27" fmla="*/ 527230 w 780425"/>
              <a:gd name="connsiteY27" fmla="*/ 136980 h 195254"/>
              <a:gd name="connsiteX28" fmla="*/ 546739 w 780425"/>
              <a:gd name="connsiteY28" fmla="*/ 117468 h 195254"/>
              <a:gd name="connsiteX29" fmla="*/ 566250 w 780425"/>
              <a:gd name="connsiteY29" fmla="*/ 117468 h 195254"/>
              <a:gd name="connsiteX30" fmla="*/ 585762 w 780425"/>
              <a:gd name="connsiteY30" fmla="*/ 117468 h 195254"/>
              <a:gd name="connsiteX31" fmla="*/ 605271 w 780425"/>
              <a:gd name="connsiteY31" fmla="*/ 117468 h 195254"/>
              <a:gd name="connsiteX32" fmla="*/ 624783 w 780425"/>
              <a:gd name="connsiteY32" fmla="*/ 97934 h 195254"/>
              <a:gd name="connsiteX33" fmla="*/ 624783 w 780425"/>
              <a:gd name="connsiteY33" fmla="*/ 78400 h 195254"/>
              <a:gd name="connsiteX34" fmla="*/ 644292 w 780425"/>
              <a:gd name="connsiteY34" fmla="*/ 58888 h 195254"/>
              <a:gd name="connsiteX35" fmla="*/ 644292 w 780425"/>
              <a:gd name="connsiteY35" fmla="*/ 39353 h 195254"/>
              <a:gd name="connsiteX36" fmla="*/ 663803 w 780425"/>
              <a:gd name="connsiteY36" fmla="*/ 19841 h 195254"/>
              <a:gd name="connsiteX37" fmla="*/ 683315 w 780425"/>
              <a:gd name="connsiteY37" fmla="*/ 307 h 195254"/>
              <a:gd name="connsiteX38" fmla="*/ 702824 w 780425"/>
              <a:gd name="connsiteY38" fmla="*/ 307 h 195254"/>
              <a:gd name="connsiteX39" fmla="*/ 722335 w 780425"/>
              <a:gd name="connsiteY39" fmla="*/ 307 h 195254"/>
              <a:gd name="connsiteX40" fmla="*/ 741847 w 780425"/>
              <a:gd name="connsiteY40" fmla="*/ 19841 h 195254"/>
              <a:gd name="connsiteX41" fmla="*/ 761356 w 780425"/>
              <a:gd name="connsiteY41" fmla="*/ 19841 h 195254"/>
              <a:gd name="connsiteX42" fmla="*/ 780868 w 780425"/>
              <a:gd name="connsiteY42" fmla="*/ 39353 h 1952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</a:cxnLst>
            <a:rect l="l" t="t" r="r" b="b"/>
            <a:pathLst>
              <a:path w="780425" h="195254">
                <a:moveTo>
                  <a:pt x="442" y="176027"/>
                </a:moveTo>
                <a:lnTo>
                  <a:pt x="19951" y="176027"/>
                </a:lnTo>
                <a:lnTo>
                  <a:pt x="39463" y="156515"/>
                </a:lnTo>
                <a:lnTo>
                  <a:pt x="58972" y="156515"/>
                </a:lnTo>
                <a:lnTo>
                  <a:pt x="78484" y="176027"/>
                </a:lnTo>
                <a:lnTo>
                  <a:pt x="97995" y="176027"/>
                </a:lnTo>
                <a:lnTo>
                  <a:pt x="117504" y="176027"/>
                </a:lnTo>
                <a:lnTo>
                  <a:pt x="137016" y="195561"/>
                </a:lnTo>
                <a:lnTo>
                  <a:pt x="156527" y="195561"/>
                </a:lnTo>
                <a:lnTo>
                  <a:pt x="176037" y="195561"/>
                </a:lnTo>
                <a:lnTo>
                  <a:pt x="195548" y="195561"/>
                </a:lnTo>
                <a:lnTo>
                  <a:pt x="215057" y="176027"/>
                </a:lnTo>
                <a:lnTo>
                  <a:pt x="234569" y="176027"/>
                </a:lnTo>
                <a:lnTo>
                  <a:pt x="254080" y="176027"/>
                </a:lnTo>
                <a:lnTo>
                  <a:pt x="273589" y="176027"/>
                </a:lnTo>
                <a:lnTo>
                  <a:pt x="293101" y="156515"/>
                </a:lnTo>
                <a:lnTo>
                  <a:pt x="312612" y="156515"/>
                </a:lnTo>
                <a:lnTo>
                  <a:pt x="332122" y="136980"/>
                </a:lnTo>
                <a:lnTo>
                  <a:pt x="351633" y="136980"/>
                </a:lnTo>
                <a:lnTo>
                  <a:pt x="371145" y="136980"/>
                </a:lnTo>
                <a:lnTo>
                  <a:pt x="390654" y="136980"/>
                </a:lnTo>
                <a:lnTo>
                  <a:pt x="410165" y="136980"/>
                </a:lnTo>
                <a:lnTo>
                  <a:pt x="429675" y="136980"/>
                </a:lnTo>
                <a:lnTo>
                  <a:pt x="449186" y="136980"/>
                </a:lnTo>
                <a:lnTo>
                  <a:pt x="468697" y="136980"/>
                </a:lnTo>
                <a:lnTo>
                  <a:pt x="488207" y="136980"/>
                </a:lnTo>
                <a:lnTo>
                  <a:pt x="507718" y="156515"/>
                </a:lnTo>
                <a:lnTo>
                  <a:pt x="527230" y="136980"/>
                </a:lnTo>
                <a:lnTo>
                  <a:pt x="546739" y="117468"/>
                </a:lnTo>
                <a:lnTo>
                  <a:pt x="566250" y="117468"/>
                </a:lnTo>
                <a:lnTo>
                  <a:pt x="585762" y="117468"/>
                </a:lnTo>
                <a:lnTo>
                  <a:pt x="605271" y="117468"/>
                </a:lnTo>
                <a:lnTo>
                  <a:pt x="624783" y="97934"/>
                </a:lnTo>
                <a:lnTo>
                  <a:pt x="624783" y="78400"/>
                </a:lnTo>
                <a:lnTo>
                  <a:pt x="644292" y="58888"/>
                </a:lnTo>
                <a:lnTo>
                  <a:pt x="644292" y="39353"/>
                </a:lnTo>
                <a:lnTo>
                  <a:pt x="663803" y="19841"/>
                </a:lnTo>
                <a:lnTo>
                  <a:pt x="683315" y="307"/>
                </a:lnTo>
                <a:lnTo>
                  <a:pt x="702824" y="307"/>
                </a:lnTo>
                <a:lnTo>
                  <a:pt x="722335" y="307"/>
                </a:lnTo>
                <a:lnTo>
                  <a:pt x="741847" y="19841"/>
                </a:lnTo>
                <a:lnTo>
                  <a:pt x="761356" y="19841"/>
                </a:lnTo>
                <a:lnTo>
                  <a:pt x="780868" y="39353"/>
                </a:lnTo>
              </a:path>
            </a:pathLst>
          </a:custGeom>
          <a:noFill/>
          <a:ln w="1409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49" name="Forma libre: forma 10248">
            <a:extLst>
              <a:ext uri="{FF2B5EF4-FFF2-40B4-BE49-F238E27FC236}">
                <a16:creationId xmlns:a16="http://schemas.microsoft.com/office/drawing/2014/main" id="{00000000-0008-0000-0400-000009280000}"/>
              </a:ext>
            </a:extLst>
          </xdr:cNvPr>
          <xdr:cNvSpPr/>
        </xdr:nvSpPr>
        <xdr:spPr>
          <a:xfrm>
            <a:off x="4764877" y="6768290"/>
            <a:ext cx="590004" cy="537723"/>
          </a:xfrm>
          <a:custGeom>
            <a:avLst/>
            <a:gdLst>
              <a:gd name="connsiteX0" fmla="*/ 442 w 585320"/>
              <a:gd name="connsiteY0" fmla="*/ 507955 h 527183"/>
              <a:gd name="connsiteX1" fmla="*/ 19953 w 585320"/>
              <a:gd name="connsiteY1" fmla="*/ 527490 h 527183"/>
              <a:gd name="connsiteX2" fmla="*/ 39464 w 585320"/>
              <a:gd name="connsiteY2" fmla="*/ 507955 h 527183"/>
              <a:gd name="connsiteX3" fmla="*/ 58974 w 585320"/>
              <a:gd name="connsiteY3" fmla="*/ 507955 h 527183"/>
              <a:gd name="connsiteX4" fmla="*/ 78485 w 585320"/>
              <a:gd name="connsiteY4" fmla="*/ 488421 h 527183"/>
              <a:gd name="connsiteX5" fmla="*/ 97996 w 585320"/>
              <a:gd name="connsiteY5" fmla="*/ 488421 h 527183"/>
              <a:gd name="connsiteX6" fmla="*/ 117506 w 585320"/>
              <a:gd name="connsiteY6" fmla="*/ 468909 h 527183"/>
              <a:gd name="connsiteX7" fmla="*/ 137017 w 585320"/>
              <a:gd name="connsiteY7" fmla="*/ 449375 h 527183"/>
              <a:gd name="connsiteX8" fmla="*/ 156528 w 585320"/>
              <a:gd name="connsiteY8" fmla="*/ 429862 h 527183"/>
              <a:gd name="connsiteX9" fmla="*/ 176038 w 585320"/>
              <a:gd name="connsiteY9" fmla="*/ 429862 h 527183"/>
              <a:gd name="connsiteX10" fmla="*/ 195549 w 585320"/>
              <a:gd name="connsiteY10" fmla="*/ 449375 h 527183"/>
              <a:gd name="connsiteX11" fmla="*/ 215060 w 585320"/>
              <a:gd name="connsiteY11" fmla="*/ 468909 h 527183"/>
              <a:gd name="connsiteX12" fmla="*/ 234570 w 585320"/>
              <a:gd name="connsiteY12" fmla="*/ 449375 h 527183"/>
              <a:gd name="connsiteX13" fmla="*/ 254081 w 585320"/>
              <a:gd name="connsiteY13" fmla="*/ 429862 h 527183"/>
              <a:gd name="connsiteX14" fmla="*/ 273591 w 585320"/>
              <a:gd name="connsiteY14" fmla="*/ 429862 h 527183"/>
              <a:gd name="connsiteX15" fmla="*/ 293102 w 585320"/>
              <a:gd name="connsiteY15" fmla="*/ 410328 h 527183"/>
              <a:gd name="connsiteX16" fmla="*/ 312614 w 585320"/>
              <a:gd name="connsiteY16" fmla="*/ 390816 h 527183"/>
              <a:gd name="connsiteX17" fmla="*/ 332123 w 585320"/>
              <a:gd name="connsiteY17" fmla="*/ 390816 h 527183"/>
              <a:gd name="connsiteX18" fmla="*/ 351634 w 585320"/>
              <a:gd name="connsiteY18" fmla="*/ 390816 h 527183"/>
              <a:gd name="connsiteX19" fmla="*/ 371146 w 585320"/>
              <a:gd name="connsiteY19" fmla="*/ 410328 h 527183"/>
              <a:gd name="connsiteX20" fmla="*/ 390655 w 585320"/>
              <a:gd name="connsiteY20" fmla="*/ 410328 h 527183"/>
              <a:gd name="connsiteX21" fmla="*/ 410167 w 585320"/>
              <a:gd name="connsiteY21" fmla="*/ 390816 h 527183"/>
              <a:gd name="connsiteX22" fmla="*/ 410167 w 585320"/>
              <a:gd name="connsiteY22" fmla="*/ 371282 h 527183"/>
              <a:gd name="connsiteX23" fmla="*/ 410167 w 585320"/>
              <a:gd name="connsiteY23" fmla="*/ 351747 h 527183"/>
              <a:gd name="connsiteX24" fmla="*/ 429676 w 585320"/>
              <a:gd name="connsiteY24" fmla="*/ 332235 h 527183"/>
              <a:gd name="connsiteX25" fmla="*/ 429676 w 585320"/>
              <a:gd name="connsiteY25" fmla="*/ 312701 h 527183"/>
              <a:gd name="connsiteX26" fmla="*/ 449187 w 585320"/>
              <a:gd name="connsiteY26" fmla="*/ 293189 h 527183"/>
              <a:gd name="connsiteX27" fmla="*/ 449187 w 585320"/>
              <a:gd name="connsiteY27" fmla="*/ 273654 h 527183"/>
              <a:gd name="connsiteX28" fmla="*/ 449187 w 585320"/>
              <a:gd name="connsiteY28" fmla="*/ 254142 h 527183"/>
              <a:gd name="connsiteX29" fmla="*/ 468699 w 585320"/>
              <a:gd name="connsiteY29" fmla="*/ 234608 h 527183"/>
              <a:gd name="connsiteX30" fmla="*/ 488208 w 585320"/>
              <a:gd name="connsiteY30" fmla="*/ 215096 h 527183"/>
              <a:gd name="connsiteX31" fmla="*/ 507719 w 585320"/>
              <a:gd name="connsiteY31" fmla="*/ 195561 h 527183"/>
              <a:gd name="connsiteX32" fmla="*/ 507719 w 585320"/>
              <a:gd name="connsiteY32" fmla="*/ 176027 h 527183"/>
              <a:gd name="connsiteX33" fmla="*/ 527231 w 585320"/>
              <a:gd name="connsiteY33" fmla="*/ 156515 h 527183"/>
              <a:gd name="connsiteX34" fmla="*/ 527231 w 585320"/>
              <a:gd name="connsiteY34" fmla="*/ 136980 h 527183"/>
              <a:gd name="connsiteX35" fmla="*/ 546740 w 585320"/>
              <a:gd name="connsiteY35" fmla="*/ 117468 h 527183"/>
              <a:gd name="connsiteX36" fmla="*/ 566252 w 585320"/>
              <a:gd name="connsiteY36" fmla="*/ 97934 h 527183"/>
              <a:gd name="connsiteX37" fmla="*/ 566252 w 585320"/>
              <a:gd name="connsiteY37" fmla="*/ 78422 h 527183"/>
              <a:gd name="connsiteX38" fmla="*/ 566252 w 585320"/>
              <a:gd name="connsiteY38" fmla="*/ 58887 h 527183"/>
              <a:gd name="connsiteX39" fmla="*/ 566252 w 585320"/>
              <a:gd name="connsiteY39" fmla="*/ 39353 h 527183"/>
              <a:gd name="connsiteX40" fmla="*/ 566252 w 585320"/>
              <a:gd name="connsiteY40" fmla="*/ 19841 h 527183"/>
              <a:gd name="connsiteX41" fmla="*/ 574556 w 585320"/>
              <a:gd name="connsiteY41" fmla="*/ 11748 h 527183"/>
              <a:gd name="connsiteX42" fmla="*/ 585763 w 585320"/>
              <a:gd name="connsiteY42" fmla="*/ 307 h 5271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</a:cxnLst>
            <a:rect l="l" t="t" r="r" b="b"/>
            <a:pathLst>
              <a:path w="585320" h="527183">
                <a:moveTo>
                  <a:pt x="442" y="507955"/>
                </a:moveTo>
                <a:lnTo>
                  <a:pt x="19953" y="527490"/>
                </a:lnTo>
                <a:lnTo>
                  <a:pt x="39464" y="507955"/>
                </a:lnTo>
                <a:lnTo>
                  <a:pt x="58974" y="507955"/>
                </a:lnTo>
                <a:lnTo>
                  <a:pt x="78485" y="488421"/>
                </a:lnTo>
                <a:lnTo>
                  <a:pt x="97996" y="488421"/>
                </a:lnTo>
                <a:lnTo>
                  <a:pt x="117506" y="468909"/>
                </a:lnTo>
                <a:lnTo>
                  <a:pt x="137017" y="449375"/>
                </a:lnTo>
                <a:lnTo>
                  <a:pt x="156528" y="429862"/>
                </a:lnTo>
                <a:lnTo>
                  <a:pt x="176038" y="429862"/>
                </a:lnTo>
                <a:lnTo>
                  <a:pt x="195549" y="449375"/>
                </a:lnTo>
                <a:lnTo>
                  <a:pt x="215060" y="468909"/>
                </a:lnTo>
                <a:lnTo>
                  <a:pt x="234570" y="449375"/>
                </a:lnTo>
                <a:lnTo>
                  <a:pt x="254081" y="429862"/>
                </a:lnTo>
                <a:lnTo>
                  <a:pt x="273591" y="429862"/>
                </a:lnTo>
                <a:lnTo>
                  <a:pt x="293102" y="410328"/>
                </a:lnTo>
                <a:lnTo>
                  <a:pt x="312614" y="390816"/>
                </a:lnTo>
                <a:lnTo>
                  <a:pt x="332123" y="390816"/>
                </a:lnTo>
                <a:lnTo>
                  <a:pt x="351634" y="390816"/>
                </a:lnTo>
                <a:lnTo>
                  <a:pt x="371146" y="410328"/>
                </a:lnTo>
                <a:lnTo>
                  <a:pt x="390655" y="410328"/>
                </a:lnTo>
                <a:lnTo>
                  <a:pt x="410167" y="390816"/>
                </a:lnTo>
                <a:lnTo>
                  <a:pt x="410167" y="371282"/>
                </a:lnTo>
                <a:lnTo>
                  <a:pt x="410167" y="351747"/>
                </a:lnTo>
                <a:lnTo>
                  <a:pt x="429676" y="332235"/>
                </a:lnTo>
                <a:lnTo>
                  <a:pt x="429676" y="312701"/>
                </a:lnTo>
                <a:lnTo>
                  <a:pt x="449187" y="293189"/>
                </a:lnTo>
                <a:lnTo>
                  <a:pt x="449187" y="273654"/>
                </a:lnTo>
                <a:lnTo>
                  <a:pt x="449187" y="254142"/>
                </a:lnTo>
                <a:lnTo>
                  <a:pt x="468699" y="234608"/>
                </a:lnTo>
                <a:lnTo>
                  <a:pt x="488208" y="215096"/>
                </a:lnTo>
                <a:lnTo>
                  <a:pt x="507719" y="195561"/>
                </a:lnTo>
                <a:lnTo>
                  <a:pt x="507719" y="176027"/>
                </a:lnTo>
                <a:lnTo>
                  <a:pt x="527231" y="156515"/>
                </a:lnTo>
                <a:lnTo>
                  <a:pt x="527231" y="136980"/>
                </a:lnTo>
                <a:lnTo>
                  <a:pt x="546740" y="117468"/>
                </a:lnTo>
                <a:lnTo>
                  <a:pt x="566252" y="97934"/>
                </a:lnTo>
                <a:lnTo>
                  <a:pt x="566252" y="78422"/>
                </a:lnTo>
                <a:lnTo>
                  <a:pt x="566252" y="58887"/>
                </a:lnTo>
                <a:lnTo>
                  <a:pt x="566252" y="39353"/>
                </a:lnTo>
                <a:lnTo>
                  <a:pt x="566252" y="19841"/>
                </a:lnTo>
                <a:lnTo>
                  <a:pt x="574556" y="11748"/>
                </a:lnTo>
                <a:lnTo>
                  <a:pt x="585763" y="307"/>
                </a:lnTo>
              </a:path>
            </a:pathLst>
          </a:custGeom>
          <a:noFill/>
          <a:ln w="1334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0" name="Forma libre: forma 10249">
            <a:extLst>
              <a:ext uri="{FF2B5EF4-FFF2-40B4-BE49-F238E27FC236}">
                <a16:creationId xmlns:a16="http://schemas.microsoft.com/office/drawing/2014/main" id="{00000000-0008-0000-0400-00000A280000}"/>
              </a:ext>
            </a:extLst>
          </xdr:cNvPr>
          <xdr:cNvSpPr/>
        </xdr:nvSpPr>
        <xdr:spPr>
          <a:xfrm>
            <a:off x="6139991" y="6510966"/>
            <a:ext cx="1038756" cy="159696"/>
          </a:xfrm>
          <a:custGeom>
            <a:avLst/>
            <a:gdLst>
              <a:gd name="connsiteX0" fmla="*/ 442 w 1034072"/>
              <a:gd name="connsiteY0" fmla="*/ 117446 h 156185"/>
              <a:gd name="connsiteX1" fmla="*/ 19954 w 1034072"/>
              <a:gd name="connsiteY1" fmla="*/ 117446 h 156185"/>
              <a:gd name="connsiteX2" fmla="*/ 39463 w 1034072"/>
              <a:gd name="connsiteY2" fmla="*/ 97934 h 156185"/>
              <a:gd name="connsiteX3" fmla="*/ 58974 w 1034072"/>
              <a:gd name="connsiteY3" fmla="*/ 78400 h 156185"/>
              <a:gd name="connsiteX4" fmla="*/ 78484 w 1034072"/>
              <a:gd name="connsiteY4" fmla="*/ 58887 h 156185"/>
              <a:gd name="connsiteX5" fmla="*/ 97995 w 1034072"/>
              <a:gd name="connsiteY5" fmla="*/ 58887 h 156185"/>
              <a:gd name="connsiteX6" fmla="*/ 117507 w 1034072"/>
              <a:gd name="connsiteY6" fmla="*/ 78400 h 156185"/>
              <a:gd name="connsiteX7" fmla="*/ 137016 w 1034072"/>
              <a:gd name="connsiteY7" fmla="*/ 78400 h 156185"/>
              <a:gd name="connsiteX8" fmla="*/ 156527 w 1034072"/>
              <a:gd name="connsiteY8" fmla="*/ 97934 h 156185"/>
              <a:gd name="connsiteX9" fmla="*/ 176039 w 1034072"/>
              <a:gd name="connsiteY9" fmla="*/ 97934 h 156185"/>
              <a:gd name="connsiteX10" fmla="*/ 195548 w 1034072"/>
              <a:gd name="connsiteY10" fmla="*/ 78400 h 156185"/>
              <a:gd name="connsiteX11" fmla="*/ 215059 w 1034072"/>
              <a:gd name="connsiteY11" fmla="*/ 78400 h 156185"/>
              <a:gd name="connsiteX12" fmla="*/ 234569 w 1034072"/>
              <a:gd name="connsiteY12" fmla="*/ 78400 h 156185"/>
              <a:gd name="connsiteX13" fmla="*/ 254080 w 1034072"/>
              <a:gd name="connsiteY13" fmla="*/ 97934 h 156185"/>
              <a:gd name="connsiteX14" fmla="*/ 273592 w 1034072"/>
              <a:gd name="connsiteY14" fmla="*/ 78400 h 156185"/>
              <a:gd name="connsiteX15" fmla="*/ 293101 w 1034072"/>
              <a:gd name="connsiteY15" fmla="*/ 78400 h 156185"/>
              <a:gd name="connsiteX16" fmla="*/ 312612 w 1034072"/>
              <a:gd name="connsiteY16" fmla="*/ 78400 h 156185"/>
              <a:gd name="connsiteX17" fmla="*/ 332124 w 1034072"/>
              <a:gd name="connsiteY17" fmla="*/ 78400 h 156185"/>
              <a:gd name="connsiteX18" fmla="*/ 351633 w 1034072"/>
              <a:gd name="connsiteY18" fmla="*/ 78400 h 156185"/>
              <a:gd name="connsiteX19" fmla="*/ 371145 w 1034072"/>
              <a:gd name="connsiteY19" fmla="*/ 78400 h 156185"/>
              <a:gd name="connsiteX20" fmla="*/ 390656 w 1034072"/>
              <a:gd name="connsiteY20" fmla="*/ 78400 h 156185"/>
              <a:gd name="connsiteX21" fmla="*/ 410165 w 1034072"/>
              <a:gd name="connsiteY21" fmla="*/ 97934 h 156185"/>
              <a:gd name="connsiteX22" fmla="*/ 429677 w 1034072"/>
              <a:gd name="connsiteY22" fmla="*/ 97934 h 156185"/>
              <a:gd name="connsiteX23" fmla="*/ 449186 w 1034072"/>
              <a:gd name="connsiteY23" fmla="*/ 117446 h 156185"/>
              <a:gd name="connsiteX24" fmla="*/ 468697 w 1034072"/>
              <a:gd name="connsiteY24" fmla="*/ 117446 h 156185"/>
              <a:gd name="connsiteX25" fmla="*/ 488209 w 1034072"/>
              <a:gd name="connsiteY25" fmla="*/ 136980 h 156185"/>
              <a:gd name="connsiteX26" fmla="*/ 507718 w 1034072"/>
              <a:gd name="connsiteY26" fmla="*/ 136980 h 156185"/>
              <a:gd name="connsiteX27" fmla="*/ 527230 w 1034072"/>
              <a:gd name="connsiteY27" fmla="*/ 156492 h 156185"/>
              <a:gd name="connsiteX28" fmla="*/ 546741 w 1034072"/>
              <a:gd name="connsiteY28" fmla="*/ 156492 h 156185"/>
              <a:gd name="connsiteX29" fmla="*/ 566250 w 1034072"/>
              <a:gd name="connsiteY29" fmla="*/ 136980 h 156185"/>
              <a:gd name="connsiteX30" fmla="*/ 585762 w 1034072"/>
              <a:gd name="connsiteY30" fmla="*/ 117446 h 156185"/>
              <a:gd name="connsiteX31" fmla="*/ 605273 w 1034072"/>
              <a:gd name="connsiteY31" fmla="*/ 97934 h 156185"/>
              <a:gd name="connsiteX32" fmla="*/ 624783 w 1034072"/>
              <a:gd name="connsiteY32" fmla="*/ 97934 h 156185"/>
              <a:gd name="connsiteX33" fmla="*/ 644294 w 1034072"/>
              <a:gd name="connsiteY33" fmla="*/ 97934 h 156185"/>
              <a:gd name="connsiteX34" fmla="*/ 663803 w 1034072"/>
              <a:gd name="connsiteY34" fmla="*/ 78400 h 156185"/>
              <a:gd name="connsiteX35" fmla="*/ 683315 w 1034072"/>
              <a:gd name="connsiteY35" fmla="*/ 78400 h 156185"/>
              <a:gd name="connsiteX36" fmla="*/ 702826 w 1034072"/>
              <a:gd name="connsiteY36" fmla="*/ 97934 h 156185"/>
              <a:gd name="connsiteX37" fmla="*/ 722336 w 1034072"/>
              <a:gd name="connsiteY37" fmla="*/ 97934 h 156185"/>
              <a:gd name="connsiteX38" fmla="*/ 741847 w 1034072"/>
              <a:gd name="connsiteY38" fmla="*/ 97934 h 156185"/>
              <a:gd name="connsiteX39" fmla="*/ 761358 w 1034072"/>
              <a:gd name="connsiteY39" fmla="*/ 97934 h 156185"/>
              <a:gd name="connsiteX40" fmla="*/ 780868 w 1034072"/>
              <a:gd name="connsiteY40" fmla="*/ 78400 h 156185"/>
              <a:gd name="connsiteX41" fmla="*/ 800379 w 1034072"/>
              <a:gd name="connsiteY41" fmla="*/ 58887 h 156185"/>
              <a:gd name="connsiteX42" fmla="*/ 819891 w 1034072"/>
              <a:gd name="connsiteY42" fmla="*/ 39353 h 156185"/>
              <a:gd name="connsiteX43" fmla="*/ 839400 w 1034072"/>
              <a:gd name="connsiteY43" fmla="*/ 19841 h 156185"/>
              <a:gd name="connsiteX44" fmla="*/ 858911 w 1034072"/>
              <a:gd name="connsiteY44" fmla="*/ 307 h 156185"/>
              <a:gd name="connsiteX45" fmla="*/ 878418 w 1034072"/>
              <a:gd name="connsiteY45" fmla="*/ 307 h 156185"/>
              <a:gd name="connsiteX46" fmla="*/ 897939 w 1034072"/>
              <a:gd name="connsiteY46" fmla="*/ 307 h 156185"/>
              <a:gd name="connsiteX47" fmla="*/ 917437 w 1034072"/>
              <a:gd name="connsiteY47" fmla="*/ 307 h 156185"/>
              <a:gd name="connsiteX48" fmla="*/ 936957 w 1034072"/>
              <a:gd name="connsiteY48" fmla="*/ 19841 h 156185"/>
              <a:gd name="connsiteX49" fmla="*/ 956455 w 1034072"/>
              <a:gd name="connsiteY49" fmla="*/ 19841 h 156185"/>
              <a:gd name="connsiteX50" fmla="*/ 975976 w 1034072"/>
              <a:gd name="connsiteY50" fmla="*/ 307 h 156185"/>
              <a:gd name="connsiteX51" fmla="*/ 995496 w 1034072"/>
              <a:gd name="connsiteY51" fmla="*/ 307 h 156185"/>
              <a:gd name="connsiteX52" fmla="*/ 1014994 w 1034072"/>
              <a:gd name="connsiteY52" fmla="*/ 307 h 156185"/>
              <a:gd name="connsiteX53" fmla="*/ 1025674 w 1034072"/>
              <a:gd name="connsiteY53" fmla="*/ 9974 h 156185"/>
              <a:gd name="connsiteX54" fmla="*/ 1034514 w 1034072"/>
              <a:gd name="connsiteY54" fmla="*/ 19841 h 1561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</a:cxnLst>
            <a:rect l="l" t="t" r="r" b="b"/>
            <a:pathLst>
              <a:path w="1034072" h="156185">
                <a:moveTo>
                  <a:pt x="442" y="117446"/>
                </a:moveTo>
                <a:lnTo>
                  <a:pt x="19954" y="117446"/>
                </a:lnTo>
                <a:lnTo>
                  <a:pt x="39463" y="97934"/>
                </a:lnTo>
                <a:lnTo>
                  <a:pt x="58974" y="78400"/>
                </a:lnTo>
                <a:lnTo>
                  <a:pt x="78484" y="58887"/>
                </a:lnTo>
                <a:lnTo>
                  <a:pt x="97995" y="58887"/>
                </a:lnTo>
                <a:lnTo>
                  <a:pt x="117507" y="78400"/>
                </a:lnTo>
                <a:lnTo>
                  <a:pt x="137016" y="78400"/>
                </a:lnTo>
                <a:lnTo>
                  <a:pt x="156527" y="97934"/>
                </a:lnTo>
                <a:lnTo>
                  <a:pt x="176039" y="97934"/>
                </a:lnTo>
                <a:lnTo>
                  <a:pt x="195548" y="78400"/>
                </a:lnTo>
                <a:lnTo>
                  <a:pt x="215059" y="78400"/>
                </a:lnTo>
                <a:lnTo>
                  <a:pt x="234569" y="78400"/>
                </a:lnTo>
                <a:lnTo>
                  <a:pt x="254080" y="97934"/>
                </a:lnTo>
                <a:lnTo>
                  <a:pt x="273592" y="78400"/>
                </a:lnTo>
                <a:lnTo>
                  <a:pt x="293101" y="78400"/>
                </a:lnTo>
                <a:lnTo>
                  <a:pt x="312612" y="78400"/>
                </a:lnTo>
                <a:lnTo>
                  <a:pt x="332124" y="78400"/>
                </a:lnTo>
                <a:lnTo>
                  <a:pt x="351633" y="78400"/>
                </a:lnTo>
                <a:lnTo>
                  <a:pt x="371145" y="78400"/>
                </a:lnTo>
                <a:lnTo>
                  <a:pt x="390656" y="78400"/>
                </a:lnTo>
                <a:lnTo>
                  <a:pt x="410165" y="97934"/>
                </a:lnTo>
                <a:lnTo>
                  <a:pt x="429677" y="97934"/>
                </a:lnTo>
                <a:lnTo>
                  <a:pt x="449186" y="117446"/>
                </a:lnTo>
                <a:lnTo>
                  <a:pt x="468697" y="117446"/>
                </a:lnTo>
                <a:lnTo>
                  <a:pt x="488209" y="136980"/>
                </a:lnTo>
                <a:lnTo>
                  <a:pt x="507718" y="136980"/>
                </a:lnTo>
                <a:lnTo>
                  <a:pt x="527230" y="156492"/>
                </a:lnTo>
                <a:lnTo>
                  <a:pt x="546741" y="156492"/>
                </a:lnTo>
                <a:lnTo>
                  <a:pt x="566250" y="136980"/>
                </a:lnTo>
                <a:lnTo>
                  <a:pt x="585762" y="117446"/>
                </a:lnTo>
                <a:lnTo>
                  <a:pt x="605273" y="97934"/>
                </a:lnTo>
                <a:lnTo>
                  <a:pt x="624783" y="97934"/>
                </a:lnTo>
                <a:lnTo>
                  <a:pt x="644294" y="97934"/>
                </a:lnTo>
                <a:lnTo>
                  <a:pt x="663803" y="78400"/>
                </a:lnTo>
                <a:lnTo>
                  <a:pt x="683315" y="78400"/>
                </a:lnTo>
                <a:lnTo>
                  <a:pt x="702826" y="97934"/>
                </a:lnTo>
                <a:lnTo>
                  <a:pt x="722336" y="97934"/>
                </a:lnTo>
                <a:lnTo>
                  <a:pt x="741847" y="97934"/>
                </a:lnTo>
                <a:lnTo>
                  <a:pt x="761358" y="97934"/>
                </a:lnTo>
                <a:lnTo>
                  <a:pt x="780868" y="78400"/>
                </a:lnTo>
                <a:lnTo>
                  <a:pt x="800379" y="58887"/>
                </a:lnTo>
                <a:lnTo>
                  <a:pt x="819891" y="39353"/>
                </a:lnTo>
                <a:lnTo>
                  <a:pt x="839400" y="19841"/>
                </a:lnTo>
                <a:lnTo>
                  <a:pt x="858911" y="307"/>
                </a:lnTo>
                <a:lnTo>
                  <a:pt x="878418" y="307"/>
                </a:lnTo>
                <a:lnTo>
                  <a:pt x="897939" y="307"/>
                </a:lnTo>
                <a:lnTo>
                  <a:pt x="917437" y="307"/>
                </a:lnTo>
                <a:lnTo>
                  <a:pt x="936957" y="19841"/>
                </a:lnTo>
                <a:lnTo>
                  <a:pt x="956455" y="19841"/>
                </a:lnTo>
                <a:lnTo>
                  <a:pt x="975976" y="307"/>
                </a:lnTo>
                <a:lnTo>
                  <a:pt x="995496" y="307"/>
                </a:lnTo>
                <a:lnTo>
                  <a:pt x="1014994" y="307"/>
                </a:lnTo>
                <a:lnTo>
                  <a:pt x="1025674" y="9974"/>
                </a:lnTo>
                <a:lnTo>
                  <a:pt x="1034514" y="19841"/>
                </a:lnTo>
              </a:path>
            </a:pathLst>
          </a:custGeom>
          <a:noFill/>
          <a:ln w="14333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1" name="Forma libre: forma 10250">
            <a:extLst>
              <a:ext uri="{FF2B5EF4-FFF2-40B4-BE49-F238E27FC236}">
                <a16:creationId xmlns:a16="http://schemas.microsoft.com/office/drawing/2014/main" id="{00000000-0008-0000-0400-00000B280000}"/>
              </a:ext>
            </a:extLst>
          </xdr:cNvPr>
          <xdr:cNvSpPr/>
        </xdr:nvSpPr>
        <xdr:spPr>
          <a:xfrm>
            <a:off x="7846790" y="6152499"/>
            <a:ext cx="2216" cy="19512"/>
          </a:xfrm>
          <a:custGeom>
            <a:avLst/>
            <a:gdLst>
              <a:gd name="connsiteX0" fmla="*/ 442 w 2216"/>
              <a:gd name="connsiteY0" fmla="*/ 19819 h 19512"/>
              <a:gd name="connsiteX1" fmla="*/ 442 w 2216"/>
              <a:gd name="connsiteY1" fmla="*/ 307 h 195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16" h="19512">
                <a:moveTo>
                  <a:pt x="442" y="19819"/>
                </a:moveTo>
                <a:lnTo>
                  <a:pt x="442" y="307"/>
                </a:lnTo>
              </a:path>
            </a:pathLst>
          </a:custGeom>
          <a:noFill/>
          <a:ln w="2281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2" name="Forma libre: forma 10251">
            <a:extLst>
              <a:ext uri="{FF2B5EF4-FFF2-40B4-BE49-F238E27FC236}">
                <a16:creationId xmlns:a16="http://schemas.microsoft.com/office/drawing/2014/main" id="{00000000-0008-0000-0400-00000C280000}"/>
              </a:ext>
            </a:extLst>
          </xdr:cNvPr>
          <xdr:cNvSpPr/>
        </xdr:nvSpPr>
        <xdr:spPr>
          <a:xfrm>
            <a:off x="7768753" y="6172011"/>
            <a:ext cx="78036" cy="198766"/>
          </a:xfrm>
          <a:custGeom>
            <a:avLst/>
            <a:gdLst>
              <a:gd name="connsiteX0" fmla="*/ 442 w 78036"/>
              <a:gd name="connsiteY0" fmla="*/ 195561 h 195254"/>
              <a:gd name="connsiteX1" fmla="*/ 19940 w 78036"/>
              <a:gd name="connsiteY1" fmla="*/ 176027 h 195254"/>
              <a:gd name="connsiteX2" fmla="*/ 39460 w 78036"/>
              <a:gd name="connsiteY2" fmla="*/ 156515 h 195254"/>
              <a:gd name="connsiteX3" fmla="*/ 39460 w 78036"/>
              <a:gd name="connsiteY3" fmla="*/ 136981 h 195254"/>
              <a:gd name="connsiteX4" fmla="*/ 39460 w 78036"/>
              <a:gd name="connsiteY4" fmla="*/ 117469 h 195254"/>
              <a:gd name="connsiteX5" fmla="*/ 58959 w 78036"/>
              <a:gd name="connsiteY5" fmla="*/ 97934 h 195254"/>
              <a:gd name="connsiteX6" fmla="*/ 58959 w 78036"/>
              <a:gd name="connsiteY6" fmla="*/ 78422 h 195254"/>
              <a:gd name="connsiteX7" fmla="*/ 78479 w 78036"/>
              <a:gd name="connsiteY7" fmla="*/ 58888 h 195254"/>
              <a:gd name="connsiteX8" fmla="*/ 78479 w 78036"/>
              <a:gd name="connsiteY8" fmla="*/ 39375 h 195254"/>
              <a:gd name="connsiteX9" fmla="*/ 78479 w 78036"/>
              <a:gd name="connsiteY9" fmla="*/ 19841 h 195254"/>
              <a:gd name="connsiteX10" fmla="*/ 78412 w 78036"/>
              <a:gd name="connsiteY10" fmla="*/ 12081 h 195254"/>
              <a:gd name="connsiteX11" fmla="*/ 78479 w 78036"/>
              <a:gd name="connsiteY11" fmla="*/ 307 h 1952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8036" h="195254">
                <a:moveTo>
                  <a:pt x="442" y="195561"/>
                </a:moveTo>
                <a:lnTo>
                  <a:pt x="19940" y="176027"/>
                </a:lnTo>
                <a:lnTo>
                  <a:pt x="39460" y="156515"/>
                </a:lnTo>
                <a:lnTo>
                  <a:pt x="39460" y="136981"/>
                </a:lnTo>
                <a:lnTo>
                  <a:pt x="39460" y="117469"/>
                </a:lnTo>
                <a:lnTo>
                  <a:pt x="58959" y="97934"/>
                </a:lnTo>
                <a:lnTo>
                  <a:pt x="58959" y="78422"/>
                </a:lnTo>
                <a:lnTo>
                  <a:pt x="78479" y="58888"/>
                </a:lnTo>
                <a:lnTo>
                  <a:pt x="78479" y="39375"/>
                </a:lnTo>
                <a:lnTo>
                  <a:pt x="78479" y="19841"/>
                </a:lnTo>
                <a:lnTo>
                  <a:pt x="78412" y="12081"/>
                </a:lnTo>
                <a:lnTo>
                  <a:pt x="78479" y="307"/>
                </a:lnTo>
              </a:path>
            </a:pathLst>
          </a:custGeom>
          <a:noFill/>
          <a:ln w="20439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3" name="Forma libre: forma 10252">
            <a:extLst>
              <a:ext uri="{FF2B5EF4-FFF2-40B4-BE49-F238E27FC236}">
                <a16:creationId xmlns:a16="http://schemas.microsoft.com/office/drawing/2014/main" id="{00000000-0008-0000-0400-00000D280000}"/>
              </a:ext>
            </a:extLst>
          </xdr:cNvPr>
          <xdr:cNvSpPr/>
        </xdr:nvSpPr>
        <xdr:spPr>
          <a:xfrm>
            <a:off x="7729713" y="6370778"/>
            <a:ext cx="39040" cy="58580"/>
          </a:xfrm>
          <a:custGeom>
            <a:avLst/>
            <a:gdLst>
              <a:gd name="connsiteX0" fmla="*/ 442 w 39040"/>
              <a:gd name="connsiteY0" fmla="*/ 58888 h 58580"/>
              <a:gd name="connsiteX1" fmla="*/ 19962 w 39040"/>
              <a:gd name="connsiteY1" fmla="*/ 39353 h 58580"/>
              <a:gd name="connsiteX2" fmla="*/ 39483 w 39040"/>
              <a:gd name="connsiteY2" fmla="*/ 19841 h 58580"/>
              <a:gd name="connsiteX3" fmla="*/ 39483 w 39040"/>
              <a:gd name="connsiteY3" fmla="*/ 307 h 585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39040" h="58580">
                <a:moveTo>
                  <a:pt x="442" y="58888"/>
                </a:moveTo>
                <a:lnTo>
                  <a:pt x="19962" y="39353"/>
                </a:lnTo>
                <a:lnTo>
                  <a:pt x="39483" y="19841"/>
                </a:lnTo>
                <a:lnTo>
                  <a:pt x="39483" y="307"/>
                </a:lnTo>
              </a:path>
            </a:pathLst>
          </a:custGeom>
          <a:noFill/>
          <a:ln w="2027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4" name="Forma libre: forma 10253">
            <a:extLst>
              <a:ext uri="{FF2B5EF4-FFF2-40B4-BE49-F238E27FC236}">
                <a16:creationId xmlns:a16="http://schemas.microsoft.com/office/drawing/2014/main" id="{00000000-0008-0000-0400-00000E280000}"/>
              </a:ext>
            </a:extLst>
          </xdr:cNvPr>
          <xdr:cNvSpPr/>
        </xdr:nvSpPr>
        <xdr:spPr>
          <a:xfrm>
            <a:off x="7651675" y="6429359"/>
            <a:ext cx="78037" cy="23026"/>
          </a:xfrm>
          <a:custGeom>
            <a:avLst/>
            <a:gdLst>
              <a:gd name="connsiteX0" fmla="*/ 442 w 78037"/>
              <a:gd name="connsiteY0" fmla="*/ 307 h 19512"/>
              <a:gd name="connsiteX1" fmla="*/ 19962 w 78037"/>
              <a:gd name="connsiteY1" fmla="*/ 19819 h 19512"/>
              <a:gd name="connsiteX2" fmla="*/ 39461 w 78037"/>
              <a:gd name="connsiteY2" fmla="*/ 19819 h 19512"/>
              <a:gd name="connsiteX3" fmla="*/ 58981 w 78037"/>
              <a:gd name="connsiteY3" fmla="*/ 19819 h 19512"/>
              <a:gd name="connsiteX4" fmla="*/ 78479 w 78037"/>
              <a:gd name="connsiteY4" fmla="*/ 307 h 195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8037" h="19512">
                <a:moveTo>
                  <a:pt x="442" y="307"/>
                </a:moveTo>
                <a:lnTo>
                  <a:pt x="19962" y="19819"/>
                </a:lnTo>
                <a:lnTo>
                  <a:pt x="39461" y="19819"/>
                </a:lnTo>
                <a:lnTo>
                  <a:pt x="58981" y="19819"/>
                </a:lnTo>
                <a:lnTo>
                  <a:pt x="78479" y="307"/>
                </a:lnTo>
              </a:path>
            </a:pathLst>
          </a:custGeom>
          <a:noFill/>
          <a:ln w="19758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5" name="Forma libre: forma 10254">
            <a:extLst>
              <a:ext uri="{FF2B5EF4-FFF2-40B4-BE49-F238E27FC236}">
                <a16:creationId xmlns:a16="http://schemas.microsoft.com/office/drawing/2014/main" id="{00000000-0008-0000-0400-00000F280000}"/>
              </a:ext>
            </a:extLst>
          </xdr:cNvPr>
          <xdr:cNvSpPr/>
        </xdr:nvSpPr>
        <xdr:spPr>
          <a:xfrm>
            <a:off x="7393360" y="6370778"/>
            <a:ext cx="258315" cy="58580"/>
          </a:xfrm>
          <a:custGeom>
            <a:avLst/>
            <a:gdLst>
              <a:gd name="connsiteX0" fmla="*/ 442 w 253631"/>
              <a:gd name="connsiteY0" fmla="*/ 58888 h 58580"/>
              <a:gd name="connsiteX1" fmla="*/ 19940 w 253631"/>
              <a:gd name="connsiteY1" fmla="*/ 58888 h 58580"/>
              <a:gd name="connsiteX2" fmla="*/ 39461 w 253631"/>
              <a:gd name="connsiteY2" fmla="*/ 58888 h 58580"/>
              <a:gd name="connsiteX3" fmla="*/ 58981 w 253631"/>
              <a:gd name="connsiteY3" fmla="*/ 39353 h 58580"/>
              <a:gd name="connsiteX4" fmla="*/ 78479 w 253631"/>
              <a:gd name="connsiteY4" fmla="*/ 39353 h 58580"/>
              <a:gd name="connsiteX5" fmla="*/ 97999 w 253631"/>
              <a:gd name="connsiteY5" fmla="*/ 39353 h 58580"/>
              <a:gd name="connsiteX6" fmla="*/ 117497 w 253631"/>
              <a:gd name="connsiteY6" fmla="*/ 19841 h 58580"/>
              <a:gd name="connsiteX7" fmla="*/ 137018 w 253631"/>
              <a:gd name="connsiteY7" fmla="*/ 307 h 58580"/>
              <a:gd name="connsiteX8" fmla="*/ 156516 w 253631"/>
              <a:gd name="connsiteY8" fmla="*/ 307 h 58580"/>
              <a:gd name="connsiteX9" fmla="*/ 176036 w 253631"/>
              <a:gd name="connsiteY9" fmla="*/ 19841 h 58580"/>
              <a:gd name="connsiteX10" fmla="*/ 195535 w 253631"/>
              <a:gd name="connsiteY10" fmla="*/ 19841 h 58580"/>
              <a:gd name="connsiteX11" fmla="*/ 215055 w 253631"/>
              <a:gd name="connsiteY11" fmla="*/ 19841 h 58580"/>
              <a:gd name="connsiteX12" fmla="*/ 234575 w 253631"/>
              <a:gd name="connsiteY12" fmla="*/ 39353 h 58580"/>
              <a:gd name="connsiteX13" fmla="*/ 242795 w 253631"/>
              <a:gd name="connsiteY13" fmla="*/ 46870 h 58580"/>
              <a:gd name="connsiteX14" fmla="*/ 254073 w 253631"/>
              <a:gd name="connsiteY14" fmla="*/ 58888 h 585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253631" h="58580">
                <a:moveTo>
                  <a:pt x="442" y="58888"/>
                </a:moveTo>
                <a:lnTo>
                  <a:pt x="19940" y="58888"/>
                </a:lnTo>
                <a:lnTo>
                  <a:pt x="39461" y="58888"/>
                </a:lnTo>
                <a:lnTo>
                  <a:pt x="58981" y="39353"/>
                </a:lnTo>
                <a:lnTo>
                  <a:pt x="78479" y="39353"/>
                </a:lnTo>
                <a:lnTo>
                  <a:pt x="97999" y="39353"/>
                </a:lnTo>
                <a:lnTo>
                  <a:pt x="117497" y="19841"/>
                </a:lnTo>
                <a:lnTo>
                  <a:pt x="137018" y="307"/>
                </a:lnTo>
                <a:lnTo>
                  <a:pt x="156516" y="307"/>
                </a:lnTo>
                <a:lnTo>
                  <a:pt x="176036" y="19841"/>
                </a:lnTo>
                <a:lnTo>
                  <a:pt x="195535" y="19841"/>
                </a:lnTo>
                <a:lnTo>
                  <a:pt x="215055" y="19841"/>
                </a:lnTo>
                <a:lnTo>
                  <a:pt x="234575" y="39353"/>
                </a:lnTo>
                <a:lnTo>
                  <a:pt x="242795" y="46870"/>
                </a:lnTo>
                <a:lnTo>
                  <a:pt x="254073" y="58888"/>
                </a:lnTo>
              </a:path>
            </a:pathLst>
          </a:custGeom>
          <a:noFill/>
          <a:ln w="1850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6" name="Forma libre: forma 10255">
            <a:extLst>
              <a:ext uri="{FF2B5EF4-FFF2-40B4-BE49-F238E27FC236}">
                <a16:creationId xmlns:a16="http://schemas.microsoft.com/office/drawing/2014/main" id="{00000000-0008-0000-0400-000010280000}"/>
              </a:ext>
            </a:extLst>
          </xdr:cNvPr>
          <xdr:cNvSpPr/>
        </xdr:nvSpPr>
        <xdr:spPr>
          <a:xfrm>
            <a:off x="7178747" y="6429359"/>
            <a:ext cx="214612" cy="101141"/>
          </a:xfrm>
          <a:custGeom>
            <a:avLst/>
            <a:gdLst>
              <a:gd name="connsiteX0" fmla="*/ 442 w 214612"/>
              <a:gd name="connsiteY0" fmla="*/ 97934 h 97627"/>
              <a:gd name="connsiteX1" fmla="*/ 19940 w 214612"/>
              <a:gd name="connsiteY1" fmla="*/ 78400 h 97627"/>
              <a:gd name="connsiteX2" fmla="*/ 39461 w 214612"/>
              <a:gd name="connsiteY2" fmla="*/ 78400 h 97627"/>
              <a:gd name="connsiteX3" fmla="*/ 58959 w 214612"/>
              <a:gd name="connsiteY3" fmla="*/ 58865 h 97627"/>
              <a:gd name="connsiteX4" fmla="*/ 78479 w 214612"/>
              <a:gd name="connsiteY4" fmla="*/ 39353 h 97627"/>
              <a:gd name="connsiteX5" fmla="*/ 97977 w 214612"/>
              <a:gd name="connsiteY5" fmla="*/ 19819 h 97627"/>
              <a:gd name="connsiteX6" fmla="*/ 117497 w 214612"/>
              <a:gd name="connsiteY6" fmla="*/ 307 h 97627"/>
              <a:gd name="connsiteX7" fmla="*/ 137018 w 214612"/>
              <a:gd name="connsiteY7" fmla="*/ 307 h 97627"/>
              <a:gd name="connsiteX8" fmla="*/ 156516 w 214612"/>
              <a:gd name="connsiteY8" fmla="*/ 307 h 97627"/>
              <a:gd name="connsiteX9" fmla="*/ 176036 w 214612"/>
              <a:gd name="connsiteY9" fmla="*/ 307 h 97627"/>
              <a:gd name="connsiteX10" fmla="*/ 195535 w 214612"/>
              <a:gd name="connsiteY10" fmla="*/ 307 h 97627"/>
              <a:gd name="connsiteX11" fmla="*/ 215055 w 214612"/>
              <a:gd name="connsiteY11" fmla="*/ 307 h 976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214612" h="97627">
                <a:moveTo>
                  <a:pt x="442" y="97934"/>
                </a:moveTo>
                <a:lnTo>
                  <a:pt x="19940" y="78400"/>
                </a:lnTo>
                <a:lnTo>
                  <a:pt x="39461" y="78400"/>
                </a:lnTo>
                <a:lnTo>
                  <a:pt x="58959" y="58865"/>
                </a:lnTo>
                <a:lnTo>
                  <a:pt x="78479" y="39353"/>
                </a:lnTo>
                <a:lnTo>
                  <a:pt x="97977" y="19819"/>
                </a:lnTo>
                <a:lnTo>
                  <a:pt x="117497" y="307"/>
                </a:lnTo>
                <a:lnTo>
                  <a:pt x="137018" y="307"/>
                </a:lnTo>
                <a:lnTo>
                  <a:pt x="156516" y="307"/>
                </a:lnTo>
                <a:lnTo>
                  <a:pt x="176036" y="307"/>
                </a:lnTo>
                <a:lnTo>
                  <a:pt x="195535" y="307"/>
                </a:lnTo>
                <a:lnTo>
                  <a:pt x="215055" y="307"/>
                </a:lnTo>
              </a:path>
            </a:pathLst>
          </a:custGeom>
          <a:noFill/>
          <a:ln w="18318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7" name="Forma libre: forma 10256">
            <a:extLst>
              <a:ext uri="{FF2B5EF4-FFF2-40B4-BE49-F238E27FC236}">
                <a16:creationId xmlns:a16="http://schemas.microsoft.com/office/drawing/2014/main" id="{00000000-0008-0000-0400-000011280000}"/>
              </a:ext>
            </a:extLst>
          </xdr:cNvPr>
          <xdr:cNvSpPr/>
        </xdr:nvSpPr>
        <xdr:spPr>
          <a:xfrm>
            <a:off x="8334555" y="5614789"/>
            <a:ext cx="2216" cy="19525"/>
          </a:xfrm>
          <a:custGeom>
            <a:avLst/>
            <a:gdLst>
              <a:gd name="connsiteX0" fmla="*/ 442 w 2216"/>
              <a:gd name="connsiteY0" fmla="*/ 19832 h 19525"/>
              <a:gd name="connsiteX1" fmla="*/ 442 w 2216"/>
              <a:gd name="connsiteY1" fmla="*/ 307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16" h="19525">
                <a:moveTo>
                  <a:pt x="442" y="19832"/>
                </a:moveTo>
                <a:lnTo>
                  <a:pt x="442" y="307"/>
                </a:lnTo>
              </a:path>
            </a:pathLst>
          </a:custGeom>
          <a:noFill/>
          <a:ln w="2311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58" name="Forma libre: forma 10257">
            <a:extLst>
              <a:ext uri="{FF2B5EF4-FFF2-40B4-BE49-F238E27FC236}">
                <a16:creationId xmlns:a16="http://schemas.microsoft.com/office/drawing/2014/main" id="{00000000-0008-0000-0400-000012280000}"/>
              </a:ext>
            </a:extLst>
          </xdr:cNvPr>
          <xdr:cNvSpPr/>
        </xdr:nvSpPr>
        <xdr:spPr>
          <a:xfrm>
            <a:off x="7846790" y="5634314"/>
            <a:ext cx="507262" cy="518184"/>
          </a:xfrm>
          <a:custGeom>
            <a:avLst/>
            <a:gdLst>
              <a:gd name="connsiteX0" fmla="*/ 442 w 507262"/>
              <a:gd name="connsiteY0" fmla="*/ 507951 h 507644"/>
              <a:gd name="connsiteX1" fmla="*/ 19940 w 507262"/>
              <a:gd name="connsiteY1" fmla="*/ 488417 h 507644"/>
              <a:gd name="connsiteX2" fmla="*/ 19940 w 507262"/>
              <a:gd name="connsiteY2" fmla="*/ 468905 h 507644"/>
              <a:gd name="connsiteX3" fmla="*/ 39460 w 507262"/>
              <a:gd name="connsiteY3" fmla="*/ 449373 h 507644"/>
              <a:gd name="connsiteX4" fmla="*/ 58959 w 507262"/>
              <a:gd name="connsiteY4" fmla="*/ 429849 h 507644"/>
              <a:gd name="connsiteX5" fmla="*/ 78479 w 507262"/>
              <a:gd name="connsiteY5" fmla="*/ 410324 h 507644"/>
              <a:gd name="connsiteX6" fmla="*/ 78479 w 507262"/>
              <a:gd name="connsiteY6" fmla="*/ 390801 h 507644"/>
              <a:gd name="connsiteX7" fmla="*/ 78479 w 507262"/>
              <a:gd name="connsiteY7" fmla="*/ 371275 h 507644"/>
              <a:gd name="connsiteX8" fmla="*/ 97999 w 507262"/>
              <a:gd name="connsiteY8" fmla="*/ 351750 h 507644"/>
              <a:gd name="connsiteX9" fmla="*/ 117497 w 507262"/>
              <a:gd name="connsiteY9" fmla="*/ 351750 h 507644"/>
              <a:gd name="connsiteX10" fmla="*/ 137018 w 507262"/>
              <a:gd name="connsiteY10" fmla="*/ 332226 h 507644"/>
              <a:gd name="connsiteX11" fmla="*/ 156516 w 507262"/>
              <a:gd name="connsiteY11" fmla="*/ 332226 h 507644"/>
              <a:gd name="connsiteX12" fmla="*/ 176036 w 507262"/>
              <a:gd name="connsiteY12" fmla="*/ 312701 h 507644"/>
              <a:gd name="connsiteX13" fmla="*/ 176036 w 507262"/>
              <a:gd name="connsiteY13" fmla="*/ 293175 h 507644"/>
              <a:gd name="connsiteX14" fmla="*/ 195534 w 507262"/>
              <a:gd name="connsiteY14" fmla="*/ 273652 h 507644"/>
              <a:gd name="connsiteX15" fmla="*/ 195534 w 507262"/>
              <a:gd name="connsiteY15" fmla="*/ 254127 h 507644"/>
              <a:gd name="connsiteX16" fmla="*/ 215055 w 507262"/>
              <a:gd name="connsiteY16" fmla="*/ 234603 h 507644"/>
              <a:gd name="connsiteX17" fmla="*/ 234575 w 507262"/>
              <a:gd name="connsiteY17" fmla="*/ 215078 h 507644"/>
              <a:gd name="connsiteX18" fmla="*/ 254073 w 507262"/>
              <a:gd name="connsiteY18" fmla="*/ 215078 h 507644"/>
              <a:gd name="connsiteX19" fmla="*/ 273594 w 507262"/>
              <a:gd name="connsiteY19" fmla="*/ 215078 h 507644"/>
              <a:gd name="connsiteX20" fmla="*/ 293092 w 507262"/>
              <a:gd name="connsiteY20" fmla="*/ 215078 h 507644"/>
              <a:gd name="connsiteX21" fmla="*/ 312612 w 507262"/>
              <a:gd name="connsiteY21" fmla="*/ 195552 h 507644"/>
              <a:gd name="connsiteX22" fmla="*/ 332110 w 507262"/>
              <a:gd name="connsiteY22" fmla="*/ 195552 h 507644"/>
              <a:gd name="connsiteX23" fmla="*/ 351631 w 507262"/>
              <a:gd name="connsiteY23" fmla="*/ 195552 h 507644"/>
              <a:gd name="connsiteX24" fmla="*/ 371151 w 507262"/>
              <a:gd name="connsiteY24" fmla="*/ 215078 h 507644"/>
              <a:gd name="connsiteX25" fmla="*/ 390649 w 507262"/>
              <a:gd name="connsiteY25" fmla="*/ 215078 h 507644"/>
              <a:gd name="connsiteX26" fmla="*/ 410169 w 507262"/>
              <a:gd name="connsiteY26" fmla="*/ 234603 h 507644"/>
              <a:gd name="connsiteX27" fmla="*/ 429668 w 507262"/>
              <a:gd name="connsiteY27" fmla="*/ 215078 h 507644"/>
              <a:gd name="connsiteX28" fmla="*/ 449188 w 507262"/>
              <a:gd name="connsiteY28" fmla="*/ 215078 h 507644"/>
              <a:gd name="connsiteX29" fmla="*/ 468686 w 507262"/>
              <a:gd name="connsiteY29" fmla="*/ 195552 h 507644"/>
              <a:gd name="connsiteX30" fmla="*/ 468686 w 507262"/>
              <a:gd name="connsiteY30" fmla="*/ 176029 h 507644"/>
              <a:gd name="connsiteX31" fmla="*/ 449188 w 507262"/>
              <a:gd name="connsiteY31" fmla="*/ 156504 h 507644"/>
              <a:gd name="connsiteX32" fmla="*/ 468686 w 507262"/>
              <a:gd name="connsiteY32" fmla="*/ 136978 h 507644"/>
              <a:gd name="connsiteX33" fmla="*/ 488207 w 507262"/>
              <a:gd name="connsiteY33" fmla="*/ 117455 h 507644"/>
              <a:gd name="connsiteX34" fmla="*/ 507705 w 507262"/>
              <a:gd name="connsiteY34" fmla="*/ 97929 h 507644"/>
              <a:gd name="connsiteX35" fmla="*/ 507705 w 507262"/>
              <a:gd name="connsiteY35" fmla="*/ 78404 h 507644"/>
              <a:gd name="connsiteX36" fmla="*/ 507705 w 507262"/>
              <a:gd name="connsiteY36" fmla="*/ 58881 h 507644"/>
              <a:gd name="connsiteX37" fmla="*/ 507705 w 507262"/>
              <a:gd name="connsiteY37" fmla="*/ 39355 h 507644"/>
              <a:gd name="connsiteX38" fmla="*/ 507705 w 507262"/>
              <a:gd name="connsiteY38" fmla="*/ 19832 h 507644"/>
              <a:gd name="connsiteX39" fmla="*/ 488207 w 507262"/>
              <a:gd name="connsiteY39" fmla="*/ 307 h 50764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</a:cxnLst>
            <a:rect l="l" t="t" r="r" b="b"/>
            <a:pathLst>
              <a:path w="507262" h="507644">
                <a:moveTo>
                  <a:pt x="442" y="507951"/>
                </a:moveTo>
                <a:lnTo>
                  <a:pt x="19940" y="488417"/>
                </a:lnTo>
                <a:lnTo>
                  <a:pt x="19940" y="468905"/>
                </a:lnTo>
                <a:lnTo>
                  <a:pt x="39460" y="449373"/>
                </a:lnTo>
                <a:lnTo>
                  <a:pt x="58959" y="429849"/>
                </a:lnTo>
                <a:lnTo>
                  <a:pt x="78479" y="410324"/>
                </a:lnTo>
                <a:lnTo>
                  <a:pt x="78479" y="390801"/>
                </a:lnTo>
                <a:lnTo>
                  <a:pt x="78479" y="371275"/>
                </a:lnTo>
                <a:lnTo>
                  <a:pt x="97999" y="351750"/>
                </a:lnTo>
                <a:lnTo>
                  <a:pt x="117497" y="351750"/>
                </a:lnTo>
                <a:lnTo>
                  <a:pt x="137018" y="332226"/>
                </a:lnTo>
                <a:lnTo>
                  <a:pt x="156516" y="332226"/>
                </a:lnTo>
                <a:lnTo>
                  <a:pt x="176036" y="312701"/>
                </a:lnTo>
                <a:lnTo>
                  <a:pt x="176036" y="293175"/>
                </a:lnTo>
                <a:lnTo>
                  <a:pt x="195534" y="273652"/>
                </a:lnTo>
                <a:lnTo>
                  <a:pt x="195534" y="254127"/>
                </a:lnTo>
                <a:lnTo>
                  <a:pt x="215055" y="234603"/>
                </a:lnTo>
                <a:lnTo>
                  <a:pt x="234575" y="215078"/>
                </a:lnTo>
                <a:lnTo>
                  <a:pt x="254073" y="215078"/>
                </a:lnTo>
                <a:lnTo>
                  <a:pt x="273594" y="215078"/>
                </a:lnTo>
                <a:lnTo>
                  <a:pt x="293092" y="215078"/>
                </a:lnTo>
                <a:lnTo>
                  <a:pt x="312612" y="195552"/>
                </a:lnTo>
                <a:lnTo>
                  <a:pt x="332110" y="195552"/>
                </a:lnTo>
                <a:lnTo>
                  <a:pt x="351631" y="195552"/>
                </a:lnTo>
                <a:lnTo>
                  <a:pt x="371151" y="215078"/>
                </a:lnTo>
                <a:lnTo>
                  <a:pt x="390649" y="215078"/>
                </a:lnTo>
                <a:lnTo>
                  <a:pt x="410169" y="234603"/>
                </a:lnTo>
                <a:lnTo>
                  <a:pt x="429668" y="215078"/>
                </a:lnTo>
                <a:lnTo>
                  <a:pt x="449188" y="215078"/>
                </a:lnTo>
                <a:lnTo>
                  <a:pt x="468686" y="195552"/>
                </a:lnTo>
                <a:lnTo>
                  <a:pt x="468686" y="176029"/>
                </a:lnTo>
                <a:lnTo>
                  <a:pt x="449188" y="156504"/>
                </a:lnTo>
                <a:lnTo>
                  <a:pt x="468686" y="136978"/>
                </a:lnTo>
                <a:lnTo>
                  <a:pt x="488207" y="117455"/>
                </a:lnTo>
                <a:lnTo>
                  <a:pt x="507705" y="97929"/>
                </a:lnTo>
                <a:lnTo>
                  <a:pt x="507705" y="78404"/>
                </a:lnTo>
                <a:lnTo>
                  <a:pt x="507705" y="58881"/>
                </a:lnTo>
                <a:lnTo>
                  <a:pt x="507705" y="39355"/>
                </a:lnTo>
                <a:lnTo>
                  <a:pt x="507705" y="19832"/>
                </a:lnTo>
                <a:lnTo>
                  <a:pt x="488207" y="307"/>
                </a:lnTo>
              </a:path>
            </a:pathLst>
          </a:custGeom>
          <a:noFill/>
          <a:ln w="22963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0" name="Forma libre: forma 10259">
            <a:extLst>
              <a:ext uri="{FF2B5EF4-FFF2-40B4-BE49-F238E27FC236}">
                <a16:creationId xmlns:a16="http://schemas.microsoft.com/office/drawing/2014/main" id="{00000000-0008-0000-0400-000014280000}"/>
              </a:ext>
            </a:extLst>
          </xdr:cNvPr>
          <xdr:cNvSpPr/>
        </xdr:nvSpPr>
        <xdr:spPr>
          <a:xfrm>
            <a:off x="5038025" y="3459408"/>
            <a:ext cx="117064" cy="561790"/>
          </a:xfrm>
          <a:custGeom>
            <a:avLst/>
            <a:gdLst>
              <a:gd name="connsiteX0" fmla="*/ 93438 w 117064"/>
              <a:gd name="connsiteY0" fmla="*/ 307 h 551253"/>
              <a:gd name="connsiteX1" fmla="*/ 97997 w 117064"/>
              <a:gd name="connsiteY1" fmla="*/ 4870 h 551253"/>
              <a:gd name="connsiteX2" fmla="*/ 117507 w 117064"/>
              <a:gd name="connsiteY2" fmla="*/ 24393 h 551253"/>
              <a:gd name="connsiteX3" fmla="*/ 97997 w 117064"/>
              <a:gd name="connsiteY3" fmla="*/ 43919 h 551253"/>
              <a:gd name="connsiteX4" fmla="*/ 97997 w 117064"/>
              <a:gd name="connsiteY4" fmla="*/ 63444 h 551253"/>
              <a:gd name="connsiteX5" fmla="*/ 97997 w 117064"/>
              <a:gd name="connsiteY5" fmla="*/ 82968 h 551253"/>
              <a:gd name="connsiteX6" fmla="*/ 97997 w 117064"/>
              <a:gd name="connsiteY6" fmla="*/ 102493 h 551253"/>
              <a:gd name="connsiteX7" fmla="*/ 97997 w 117064"/>
              <a:gd name="connsiteY7" fmla="*/ 122018 h 551253"/>
              <a:gd name="connsiteX8" fmla="*/ 78486 w 117064"/>
              <a:gd name="connsiteY8" fmla="*/ 141542 h 551253"/>
              <a:gd name="connsiteX9" fmla="*/ 78486 w 117064"/>
              <a:gd name="connsiteY9" fmla="*/ 161067 h 551253"/>
              <a:gd name="connsiteX10" fmla="*/ 78486 w 117064"/>
              <a:gd name="connsiteY10" fmla="*/ 180592 h 551253"/>
              <a:gd name="connsiteX11" fmla="*/ 58975 w 117064"/>
              <a:gd name="connsiteY11" fmla="*/ 200116 h 551253"/>
              <a:gd name="connsiteX12" fmla="*/ 39465 w 117064"/>
              <a:gd name="connsiteY12" fmla="*/ 219641 h 551253"/>
              <a:gd name="connsiteX13" fmla="*/ 19954 w 117064"/>
              <a:gd name="connsiteY13" fmla="*/ 239166 h 551253"/>
              <a:gd name="connsiteX14" fmla="*/ 442 w 117064"/>
              <a:gd name="connsiteY14" fmla="*/ 258690 h 551253"/>
              <a:gd name="connsiteX15" fmla="*/ 442 w 117064"/>
              <a:gd name="connsiteY15" fmla="*/ 278215 h 551253"/>
              <a:gd name="connsiteX16" fmla="*/ 442 w 117064"/>
              <a:gd name="connsiteY16" fmla="*/ 297740 h 551253"/>
              <a:gd name="connsiteX17" fmla="*/ 442 w 117064"/>
              <a:gd name="connsiteY17" fmla="*/ 317264 h 551253"/>
              <a:gd name="connsiteX18" fmla="*/ 19954 w 117064"/>
              <a:gd name="connsiteY18" fmla="*/ 336789 h 551253"/>
              <a:gd name="connsiteX19" fmla="*/ 39465 w 117064"/>
              <a:gd name="connsiteY19" fmla="*/ 356314 h 551253"/>
              <a:gd name="connsiteX20" fmla="*/ 58975 w 117064"/>
              <a:gd name="connsiteY20" fmla="*/ 375838 h 551253"/>
              <a:gd name="connsiteX21" fmla="*/ 58975 w 117064"/>
              <a:gd name="connsiteY21" fmla="*/ 395363 h 551253"/>
              <a:gd name="connsiteX22" fmla="*/ 58975 w 117064"/>
              <a:gd name="connsiteY22" fmla="*/ 414888 h 551253"/>
              <a:gd name="connsiteX23" fmla="*/ 78486 w 117064"/>
              <a:gd name="connsiteY23" fmla="*/ 434412 h 551253"/>
              <a:gd name="connsiteX24" fmla="*/ 78486 w 117064"/>
              <a:gd name="connsiteY24" fmla="*/ 453937 h 551253"/>
              <a:gd name="connsiteX25" fmla="*/ 97997 w 117064"/>
              <a:gd name="connsiteY25" fmla="*/ 473462 h 551253"/>
              <a:gd name="connsiteX26" fmla="*/ 97997 w 117064"/>
              <a:gd name="connsiteY26" fmla="*/ 492986 h 551253"/>
              <a:gd name="connsiteX27" fmla="*/ 117507 w 117064"/>
              <a:gd name="connsiteY27" fmla="*/ 512511 h 551253"/>
              <a:gd name="connsiteX28" fmla="*/ 117507 w 117064"/>
              <a:gd name="connsiteY28" fmla="*/ 532036 h 551253"/>
              <a:gd name="connsiteX29" fmla="*/ 117507 w 117064"/>
              <a:gd name="connsiteY29" fmla="*/ 551560 h 5512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</a:cxnLst>
            <a:rect l="l" t="t" r="r" b="b"/>
            <a:pathLst>
              <a:path w="117064" h="551253">
                <a:moveTo>
                  <a:pt x="93438" y="307"/>
                </a:moveTo>
                <a:lnTo>
                  <a:pt x="97997" y="4870"/>
                </a:lnTo>
                <a:lnTo>
                  <a:pt x="117507" y="24393"/>
                </a:lnTo>
                <a:lnTo>
                  <a:pt x="97997" y="43919"/>
                </a:lnTo>
                <a:lnTo>
                  <a:pt x="97997" y="63444"/>
                </a:lnTo>
                <a:lnTo>
                  <a:pt x="97997" y="82968"/>
                </a:lnTo>
                <a:lnTo>
                  <a:pt x="97997" y="102493"/>
                </a:lnTo>
                <a:lnTo>
                  <a:pt x="97997" y="122018"/>
                </a:lnTo>
                <a:lnTo>
                  <a:pt x="78486" y="141542"/>
                </a:lnTo>
                <a:lnTo>
                  <a:pt x="78486" y="161067"/>
                </a:lnTo>
                <a:lnTo>
                  <a:pt x="78486" y="180592"/>
                </a:lnTo>
                <a:lnTo>
                  <a:pt x="58975" y="200116"/>
                </a:lnTo>
                <a:lnTo>
                  <a:pt x="39465" y="219641"/>
                </a:lnTo>
                <a:lnTo>
                  <a:pt x="19954" y="239166"/>
                </a:lnTo>
                <a:lnTo>
                  <a:pt x="442" y="258690"/>
                </a:lnTo>
                <a:lnTo>
                  <a:pt x="442" y="278215"/>
                </a:lnTo>
                <a:lnTo>
                  <a:pt x="442" y="297740"/>
                </a:lnTo>
                <a:lnTo>
                  <a:pt x="442" y="317264"/>
                </a:lnTo>
                <a:lnTo>
                  <a:pt x="19954" y="336789"/>
                </a:lnTo>
                <a:lnTo>
                  <a:pt x="39465" y="356314"/>
                </a:lnTo>
                <a:lnTo>
                  <a:pt x="58975" y="375838"/>
                </a:lnTo>
                <a:lnTo>
                  <a:pt x="58975" y="395363"/>
                </a:lnTo>
                <a:lnTo>
                  <a:pt x="58975" y="414888"/>
                </a:lnTo>
                <a:lnTo>
                  <a:pt x="78486" y="434412"/>
                </a:lnTo>
                <a:lnTo>
                  <a:pt x="78486" y="453937"/>
                </a:lnTo>
                <a:lnTo>
                  <a:pt x="97997" y="473462"/>
                </a:lnTo>
                <a:lnTo>
                  <a:pt x="97997" y="492986"/>
                </a:lnTo>
                <a:lnTo>
                  <a:pt x="117507" y="512511"/>
                </a:lnTo>
                <a:lnTo>
                  <a:pt x="117507" y="532036"/>
                </a:lnTo>
                <a:lnTo>
                  <a:pt x="117507" y="551560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1" name="Forma libre: forma 10260">
            <a:extLst>
              <a:ext uri="{FF2B5EF4-FFF2-40B4-BE49-F238E27FC236}">
                <a16:creationId xmlns:a16="http://schemas.microsoft.com/office/drawing/2014/main" id="{00000000-0008-0000-0400-000015280000}"/>
              </a:ext>
            </a:extLst>
          </xdr:cNvPr>
          <xdr:cNvSpPr/>
        </xdr:nvSpPr>
        <xdr:spPr>
          <a:xfrm>
            <a:off x="5155090" y="4021198"/>
            <a:ext cx="258321" cy="775514"/>
          </a:xfrm>
          <a:custGeom>
            <a:avLst/>
            <a:gdLst>
              <a:gd name="connsiteX0" fmla="*/ 442 w 253637"/>
              <a:gd name="connsiteY0" fmla="*/ 307 h 761461"/>
              <a:gd name="connsiteX1" fmla="*/ 442 w 253637"/>
              <a:gd name="connsiteY1" fmla="*/ 19832 h 761461"/>
              <a:gd name="connsiteX2" fmla="*/ 442 w 253637"/>
              <a:gd name="connsiteY2" fmla="*/ 39356 h 761461"/>
              <a:gd name="connsiteX3" fmla="*/ 19954 w 253637"/>
              <a:gd name="connsiteY3" fmla="*/ 58880 h 761461"/>
              <a:gd name="connsiteX4" fmla="*/ 19954 w 253637"/>
              <a:gd name="connsiteY4" fmla="*/ 78405 h 761461"/>
              <a:gd name="connsiteX5" fmla="*/ 39463 w 253637"/>
              <a:gd name="connsiteY5" fmla="*/ 97931 h 761461"/>
              <a:gd name="connsiteX6" fmla="*/ 39463 w 253637"/>
              <a:gd name="connsiteY6" fmla="*/ 117454 h 761461"/>
              <a:gd name="connsiteX7" fmla="*/ 39463 w 253637"/>
              <a:gd name="connsiteY7" fmla="*/ 136980 h 761461"/>
              <a:gd name="connsiteX8" fmla="*/ 58975 w 253637"/>
              <a:gd name="connsiteY8" fmla="*/ 156505 h 761461"/>
              <a:gd name="connsiteX9" fmla="*/ 78486 w 253637"/>
              <a:gd name="connsiteY9" fmla="*/ 156505 h 761461"/>
              <a:gd name="connsiteX10" fmla="*/ 78486 w 253637"/>
              <a:gd name="connsiteY10" fmla="*/ 176028 h 761461"/>
              <a:gd name="connsiteX11" fmla="*/ 97995 w 253637"/>
              <a:gd name="connsiteY11" fmla="*/ 176028 h 761461"/>
              <a:gd name="connsiteX12" fmla="*/ 117507 w 253637"/>
              <a:gd name="connsiteY12" fmla="*/ 195554 h 761461"/>
              <a:gd name="connsiteX13" fmla="*/ 117507 w 253637"/>
              <a:gd name="connsiteY13" fmla="*/ 215079 h 761461"/>
              <a:gd name="connsiteX14" fmla="*/ 117507 w 253637"/>
              <a:gd name="connsiteY14" fmla="*/ 234603 h 761461"/>
              <a:gd name="connsiteX15" fmla="*/ 117507 w 253637"/>
              <a:gd name="connsiteY15" fmla="*/ 254128 h 761461"/>
              <a:gd name="connsiteX16" fmla="*/ 117507 w 253637"/>
              <a:gd name="connsiteY16" fmla="*/ 273651 h 761461"/>
              <a:gd name="connsiteX17" fmla="*/ 117507 w 253637"/>
              <a:gd name="connsiteY17" fmla="*/ 293177 h 761461"/>
              <a:gd name="connsiteX18" fmla="*/ 117507 w 253637"/>
              <a:gd name="connsiteY18" fmla="*/ 312702 h 761461"/>
              <a:gd name="connsiteX19" fmla="*/ 137018 w 253637"/>
              <a:gd name="connsiteY19" fmla="*/ 332225 h 761461"/>
              <a:gd name="connsiteX20" fmla="*/ 137018 w 253637"/>
              <a:gd name="connsiteY20" fmla="*/ 351751 h 761461"/>
              <a:gd name="connsiteX21" fmla="*/ 156527 w 253637"/>
              <a:gd name="connsiteY21" fmla="*/ 371276 h 761461"/>
              <a:gd name="connsiteX22" fmla="*/ 176039 w 253637"/>
              <a:gd name="connsiteY22" fmla="*/ 390800 h 761461"/>
              <a:gd name="connsiteX23" fmla="*/ 195550 w 253637"/>
              <a:gd name="connsiteY23" fmla="*/ 410325 h 761461"/>
              <a:gd name="connsiteX24" fmla="*/ 195550 w 253637"/>
              <a:gd name="connsiteY24" fmla="*/ 429851 h 761461"/>
              <a:gd name="connsiteX25" fmla="*/ 195550 w 253637"/>
              <a:gd name="connsiteY25" fmla="*/ 449374 h 761461"/>
              <a:gd name="connsiteX26" fmla="*/ 215060 w 253637"/>
              <a:gd name="connsiteY26" fmla="*/ 468899 h 761461"/>
              <a:gd name="connsiteX27" fmla="*/ 215060 w 253637"/>
              <a:gd name="connsiteY27" fmla="*/ 488423 h 761461"/>
              <a:gd name="connsiteX28" fmla="*/ 215060 w 253637"/>
              <a:gd name="connsiteY28" fmla="*/ 507948 h 761461"/>
              <a:gd name="connsiteX29" fmla="*/ 215060 w 253637"/>
              <a:gd name="connsiteY29" fmla="*/ 527474 h 761461"/>
              <a:gd name="connsiteX30" fmla="*/ 234571 w 253637"/>
              <a:gd name="connsiteY30" fmla="*/ 546997 h 761461"/>
              <a:gd name="connsiteX31" fmla="*/ 254080 w 253637"/>
              <a:gd name="connsiteY31" fmla="*/ 566522 h 761461"/>
              <a:gd name="connsiteX32" fmla="*/ 254080 w 253637"/>
              <a:gd name="connsiteY32" fmla="*/ 586048 h 761461"/>
              <a:gd name="connsiteX33" fmla="*/ 234571 w 253637"/>
              <a:gd name="connsiteY33" fmla="*/ 605571 h 761461"/>
              <a:gd name="connsiteX34" fmla="*/ 215060 w 253637"/>
              <a:gd name="connsiteY34" fmla="*/ 625097 h 761461"/>
              <a:gd name="connsiteX35" fmla="*/ 215060 w 253637"/>
              <a:gd name="connsiteY35" fmla="*/ 644620 h 761461"/>
              <a:gd name="connsiteX36" fmla="*/ 215060 w 253637"/>
              <a:gd name="connsiteY36" fmla="*/ 664145 h 761461"/>
              <a:gd name="connsiteX37" fmla="*/ 215060 w 253637"/>
              <a:gd name="connsiteY37" fmla="*/ 683671 h 761461"/>
              <a:gd name="connsiteX38" fmla="*/ 195550 w 253637"/>
              <a:gd name="connsiteY38" fmla="*/ 703194 h 761461"/>
              <a:gd name="connsiteX39" fmla="*/ 195550 w 253637"/>
              <a:gd name="connsiteY39" fmla="*/ 722719 h 761461"/>
              <a:gd name="connsiteX40" fmla="*/ 195550 w 253637"/>
              <a:gd name="connsiteY40" fmla="*/ 742245 h 761461"/>
              <a:gd name="connsiteX41" fmla="*/ 195550 w 253637"/>
              <a:gd name="connsiteY41" fmla="*/ 761768 h 7614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</a:cxnLst>
            <a:rect l="l" t="t" r="r" b="b"/>
            <a:pathLst>
              <a:path w="253637" h="761461">
                <a:moveTo>
                  <a:pt x="442" y="307"/>
                </a:moveTo>
                <a:lnTo>
                  <a:pt x="442" y="19832"/>
                </a:lnTo>
                <a:lnTo>
                  <a:pt x="442" y="39356"/>
                </a:lnTo>
                <a:lnTo>
                  <a:pt x="19954" y="58880"/>
                </a:lnTo>
                <a:lnTo>
                  <a:pt x="19954" y="78405"/>
                </a:lnTo>
                <a:lnTo>
                  <a:pt x="39463" y="97931"/>
                </a:lnTo>
                <a:lnTo>
                  <a:pt x="39463" y="117454"/>
                </a:lnTo>
                <a:lnTo>
                  <a:pt x="39463" y="136980"/>
                </a:lnTo>
                <a:lnTo>
                  <a:pt x="58975" y="156505"/>
                </a:lnTo>
                <a:lnTo>
                  <a:pt x="78486" y="156505"/>
                </a:lnTo>
                <a:lnTo>
                  <a:pt x="78486" y="176028"/>
                </a:lnTo>
                <a:lnTo>
                  <a:pt x="97995" y="176028"/>
                </a:lnTo>
                <a:lnTo>
                  <a:pt x="117507" y="195554"/>
                </a:lnTo>
                <a:lnTo>
                  <a:pt x="117507" y="215079"/>
                </a:lnTo>
                <a:lnTo>
                  <a:pt x="117507" y="234603"/>
                </a:lnTo>
                <a:lnTo>
                  <a:pt x="117507" y="254128"/>
                </a:lnTo>
                <a:lnTo>
                  <a:pt x="117507" y="273651"/>
                </a:lnTo>
                <a:lnTo>
                  <a:pt x="117507" y="293177"/>
                </a:lnTo>
                <a:lnTo>
                  <a:pt x="117507" y="312702"/>
                </a:lnTo>
                <a:lnTo>
                  <a:pt x="137018" y="332225"/>
                </a:lnTo>
                <a:lnTo>
                  <a:pt x="137018" y="351751"/>
                </a:lnTo>
                <a:lnTo>
                  <a:pt x="156527" y="371276"/>
                </a:lnTo>
                <a:lnTo>
                  <a:pt x="176039" y="390800"/>
                </a:lnTo>
                <a:lnTo>
                  <a:pt x="195550" y="410325"/>
                </a:lnTo>
                <a:lnTo>
                  <a:pt x="195550" y="429851"/>
                </a:lnTo>
                <a:lnTo>
                  <a:pt x="195550" y="449374"/>
                </a:lnTo>
                <a:lnTo>
                  <a:pt x="215060" y="468899"/>
                </a:lnTo>
                <a:lnTo>
                  <a:pt x="215060" y="488423"/>
                </a:lnTo>
                <a:lnTo>
                  <a:pt x="215060" y="507948"/>
                </a:lnTo>
                <a:lnTo>
                  <a:pt x="215060" y="527474"/>
                </a:lnTo>
                <a:lnTo>
                  <a:pt x="234571" y="546997"/>
                </a:lnTo>
                <a:lnTo>
                  <a:pt x="254080" y="566522"/>
                </a:lnTo>
                <a:lnTo>
                  <a:pt x="254080" y="586048"/>
                </a:lnTo>
                <a:lnTo>
                  <a:pt x="234571" y="605571"/>
                </a:lnTo>
                <a:lnTo>
                  <a:pt x="215060" y="625097"/>
                </a:lnTo>
                <a:lnTo>
                  <a:pt x="215060" y="644620"/>
                </a:lnTo>
                <a:lnTo>
                  <a:pt x="215060" y="664145"/>
                </a:lnTo>
                <a:lnTo>
                  <a:pt x="215060" y="683671"/>
                </a:lnTo>
                <a:lnTo>
                  <a:pt x="195550" y="703194"/>
                </a:lnTo>
                <a:lnTo>
                  <a:pt x="195550" y="722719"/>
                </a:lnTo>
                <a:lnTo>
                  <a:pt x="195550" y="742245"/>
                </a:lnTo>
                <a:lnTo>
                  <a:pt x="195550" y="761768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2" name="Forma libre: forma 10261">
            <a:extLst>
              <a:ext uri="{FF2B5EF4-FFF2-40B4-BE49-F238E27FC236}">
                <a16:creationId xmlns:a16="http://schemas.microsoft.com/office/drawing/2014/main" id="{00000000-0008-0000-0400-000016280000}"/>
              </a:ext>
            </a:extLst>
          </xdr:cNvPr>
          <xdr:cNvSpPr/>
        </xdr:nvSpPr>
        <xdr:spPr>
          <a:xfrm>
            <a:off x="5413412" y="3881015"/>
            <a:ext cx="863153" cy="537703"/>
          </a:xfrm>
          <a:custGeom>
            <a:avLst/>
            <a:gdLst>
              <a:gd name="connsiteX0" fmla="*/ 442 w 858469"/>
              <a:gd name="connsiteY0" fmla="*/ 39356 h 527165"/>
              <a:gd name="connsiteX1" fmla="*/ 19954 w 858469"/>
              <a:gd name="connsiteY1" fmla="*/ 39356 h 527165"/>
              <a:gd name="connsiteX2" fmla="*/ 39465 w 858469"/>
              <a:gd name="connsiteY2" fmla="*/ 39356 h 527165"/>
              <a:gd name="connsiteX3" fmla="*/ 58974 w 858469"/>
              <a:gd name="connsiteY3" fmla="*/ 39356 h 527165"/>
              <a:gd name="connsiteX4" fmla="*/ 78486 w 858469"/>
              <a:gd name="connsiteY4" fmla="*/ 39356 h 527165"/>
              <a:gd name="connsiteX5" fmla="*/ 97997 w 858469"/>
              <a:gd name="connsiteY5" fmla="*/ 39356 h 527165"/>
              <a:gd name="connsiteX6" fmla="*/ 117507 w 858469"/>
              <a:gd name="connsiteY6" fmla="*/ 39356 h 527165"/>
              <a:gd name="connsiteX7" fmla="*/ 137018 w 858469"/>
              <a:gd name="connsiteY7" fmla="*/ 39356 h 527165"/>
              <a:gd name="connsiteX8" fmla="*/ 156527 w 858469"/>
              <a:gd name="connsiteY8" fmla="*/ 19831 h 527165"/>
              <a:gd name="connsiteX9" fmla="*/ 176039 w 858469"/>
              <a:gd name="connsiteY9" fmla="*/ 307 h 527165"/>
              <a:gd name="connsiteX10" fmla="*/ 195550 w 858469"/>
              <a:gd name="connsiteY10" fmla="*/ 307 h 527165"/>
              <a:gd name="connsiteX11" fmla="*/ 215060 w 858469"/>
              <a:gd name="connsiteY11" fmla="*/ 307 h 527165"/>
              <a:gd name="connsiteX12" fmla="*/ 234571 w 858469"/>
              <a:gd name="connsiteY12" fmla="*/ 19831 h 527165"/>
              <a:gd name="connsiteX13" fmla="*/ 254082 w 858469"/>
              <a:gd name="connsiteY13" fmla="*/ 39356 h 527165"/>
              <a:gd name="connsiteX14" fmla="*/ 254082 w 858469"/>
              <a:gd name="connsiteY14" fmla="*/ 58881 h 527165"/>
              <a:gd name="connsiteX15" fmla="*/ 273592 w 858469"/>
              <a:gd name="connsiteY15" fmla="*/ 78405 h 527165"/>
              <a:gd name="connsiteX16" fmla="*/ 293103 w 858469"/>
              <a:gd name="connsiteY16" fmla="*/ 97930 h 527165"/>
              <a:gd name="connsiteX17" fmla="*/ 293103 w 858469"/>
              <a:gd name="connsiteY17" fmla="*/ 117455 h 527165"/>
              <a:gd name="connsiteX18" fmla="*/ 312615 w 858469"/>
              <a:gd name="connsiteY18" fmla="*/ 136979 h 527165"/>
              <a:gd name="connsiteX19" fmla="*/ 332124 w 858469"/>
              <a:gd name="connsiteY19" fmla="*/ 156504 h 527165"/>
              <a:gd name="connsiteX20" fmla="*/ 351635 w 858469"/>
              <a:gd name="connsiteY20" fmla="*/ 176029 h 527165"/>
              <a:gd name="connsiteX21" fmla="*/ 371145 w 858469"/>
              <a:gd name="connsiteY21" fmla="*/ 176029 h 527165"/>
              <a:gd name="connsiteX22" fmla="*/ 390656 w 858469"/>
              <a:gd name="connsiteY22" fmla="*/ 195552 h 527165"/>
              <a:gd name="connsiteX23" fmla="*/ 410168 w 858469"/>
              <a:gd name="connsiteY23" fmla="*/ 195552 h 527165"/>
              <a:gd name="connsiteX24" fmla="*/ 429677 w 858469"/>
              <a:gd name="connsiteY24" fmla="*/ 215078 h 527165"/>
              <a:gd name="connsiteX25" fmla="*/ 449188 w 858469"/>
              <a:gd name="connsiteY25" fmla="*/ 234603 h 527165"/>
              <a:gd name="connsiteX26" fmla="*/ 468700 w 858469"/>
              <a:gd name="connsiteY26" fmla="*/ 254127 h 527165"/>
              <a:gd name="connsiteX27" fmla="*/ 488209 w 858469"/>
              <a:gd name="connsiteY27" fmla="*/ 273652 h 527165"/>
              <a:gd name="connsiteX28" fmla="*/ 507720 w 858469"/>
              <a:gd name="connsiteY28" fmla="*/ 273652 h 527165"/>
              <a:gd name="connsiteX29" fmla="*/ 527232 w 858469"/>
              <a:gd name="connsiteY29" fmla="*/ 273652 h 527165"/>
              <a:gd name="connsiteX30" fmla="*/ 546741 w 858469"/>
              <a:gd name="connsiteY30" fmla="*/ 273652 h 527165"/>
              <a:gd name="connsiteX31" fmla="*/ 566253 w 858469"/>
              <a:gd name="connsiteY31" fmla="*/ 273652 h 527165"/>
              <a:gd name="connsiteX32" fmla="*/ 585762 w 858469"/>
              <a:gd name="connsiteY32" fmla="*/ 293178 h 527165"/>
              <a:gd name="connsiteX33" fmla="*/ 605273 w 858469"/>
              <a:gd name="connsiteY33" fmla="*/ 312701 h 527165"/>
              <a:gd name="connsiteX34" fmla="*/ 624785 w 858469"/>
              <a:gd name="connsiteY34" fmla="*/ 312701 h 527165"/>
              <a:gd name="connsiteX35" fmla="*/ 644294 w 858469"/>
              <a:gd name="connsiteY35" fmla="*/ 312701 h 527165"/>
              <a:gd name="connsiteX36" fmla="*/ 663806 w 858469"/>
              <a:gd name="connsiteY36" fmla="*/ 293178 h 527165"/>
              <a:gd name="connsiteX37" fmla="*/ 683317 w 858469"/>
              <a:gd name="connsiteY37" fmla="*/ 312701 h 527165"/>
              <a:gd name="connsiteX38" fmla="*/ 702826 w 858469"/>
              <a:gd name="connsiteY38" fmla="*/ 312701 h 527165"/>
              <a:gd name="connsiteX39" fmla="*/ 722338 w 858469"/>
              <a:gd name="connsiteY39" fmla="*/ 312701 h 527165"/>
              <a:gd name="connsiteX40" fmla="*/ 741849 w 858469"/>
              <a:gd name="connsiteY40" fmla="*/ 332226 h 527165"/>
              <a:gd name="connsiteX41" fmla="*/ 761358 w 858469"/>
              <a:gd name="connsiteY41" fmla="*/ 351752 h 527165"/>
              <a:gd name="connsiteX42" fmla="*/ 780870 w 858469"/>
              <a:gd name="connsiteY42" fmla="*/ 351752 h 527165"/>
              <a:gd name="connsiteX43" fmla="*/ 800379 w 858469"/>
              <a:gd name="connsiteY43" fmla="*/ 351752 h 527165"/>
              <a:gd name="connsiteX44" fmla="*/ 819891 w 858469"/>
              <a:gd name="connsiteY44" fmla="*/ 371275 h 527165"/>
              <a:gd name="connsiteX45" fmla="*/ 819891 w 858469"/>
              <a:gd name="connsiteY45" fmla="*/ 390801 h 527165"/>
              <a:gd name="connsiteX46" fmla="*/ 839402 w 858469"/>
              <a:gd name="connsiteY46" fmla="*/ 410324 h 527165"/>
              <a:gd name="connsiteX47" fmla="*/ 819891 w 858469"/>
              <a:gd name="connsiteY47" fmla="*/ 429849 h 527165"/>
              <a:gd name="connsiteX48" fmla="*/ 839402 w 858469"/>
              <a:gd name="connsiteY48" fmla="*/ 449375 h 527165"/>
              <a:gd name="connsiteX49" fmla="*/ 839402 w 858469"/>
              <a:gd name="connsiteY49" fmla="*/ 468898 h 527165"/>
              <a:gd name="connsiteX50" fmla="*/ 839402 w 858469"/>
              <a:gd name="connsiteY50" fmla="*/ 488424 h 527165"/>
              <a:gd name="connsiteX51" fmla="*/ 858911 w 858469"/>
              <a:gd name="connsiteY51" fmla="*/ 507949 h 527165"/>
              <a:gd name="connsiteX52" fmla="*/ 858911 w 858469"/>
              <a:gd name="connsiteY52" fmla="*/ 527472 h 5271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</a:cxnLst>
            <a:rect l="l" t="t" r="r" b="b"/>
            <a:pathLst>
              <a:path w="858469" h="527165">
                <a:moveTo>
                  <a:pt x="442" y="39356"/>
                </a:moveTo>
                <a:lnTo>
                  <a:pt x="19954" y="39356"/>
                </a:lnTo>
                <a:lnTo>
                  <a:pt x="39465" y="39356"/>
                </a:lnTo>
                <a:lnTo>
                  <a:pt x="58974" y="39356"/>
                </a:lnTo>
                <a:lnTo>
                  <a:pt x="78486" y="39356"/>
                </a:lnTo>
                <a:lnTo>
                  <a:pt x="97997" y="39356"/>
                </a:lnTo>
                <a:lnTo>
                  <a:pt x="117507" y="39356"/>
                </a:lnTo>
                <a:lnTo>
                  <a:pt x="137018" y="39356"/>
                </a:lnTo>
                <a:lnTo>
                  <a:pt x="156527" y="19831"/>
                </a:lnTo>
                <a:lnTo>
                  <a:pt x="176039" y="307"/>
                </a:lnTo>
                <a:lnTo>
                  <a:pt x="195550" y="307"/>
                </a:lnTo>
                <a:lnTo>
                  <a:pt x="215060" y="307"/>
                </a:lnTo>
                <a:lnTo>
                  <a:pt x="234571" y="19831"/>
                </a:lnTo>
                <a:lnTo>
                  <a:pt x="254082" y="39356"/>
                </a:lnTo>
                <a:lnTo>
                  <a:pt x="254082" y="58881"/>
                </a:lnTo>
                <a:lnTo>
                  <a:pt x="273592" y="78405"/>
                </a:lnTo>
                <a:lnTo>
                  <a:pt x="293103" y="97930"/>
                </a:lnTo>
                <a:lnTo>
                  <a:pt x="293103" y="117455"/>
                </a:lnTo>
                <a:lnTo>
                  <a:pt x="312615" y="136979"/>
                </a:lnTo>
                <a:lnTo>
                  <a:pt x="332124" y="156504"/>
                </a:lnTo>
                <a:lnTo>
                  <a:pt x="351635" y="176029"/>
                </a:lnTo>
                <a:lnTo>
                  <a:pt x="371145" y="176029"/>
                </a:lnTo>
                <a:lnTo>
                  <a:pt x="390656" y="195552"/>
                </a:lnTo>
                <a:lnTo>
                  <a:pt x="410168" y="195552"/>
                </a:lnTo>
                <a:lnTo>
                  <a:pt x="429677" y="215078"/>
                </a:lnTo>
                <a:lnTo>
                  <a:pt x="449188" y="234603"/>
                </a:lnTo>
                <a:lnTo>
                  <a:pt x="468700" y="254127"/>
                </a:lnTo>
                <a:lnTo>
                  <a:pt x="488209" y="273652"/>
                </a:lnTo>
                <a:lnTo>
                  <a:pt x="507720" y="273652"/>
                </a:lnTo>
                <a:lnTo>
                  <a:pt x="527232" y="273652"/>
                </a:lnTo>
                <a:lnTo>
                  <a:pt x="546741" y="273652"/>
                </a:lnTo>
                <a:lnTo>
                  <a:pt x="566253" y="273652"/>
                </a:lnTo>
                <a:lnTo>
                  <a:pt x="585762" y="293178"/>
                </a:lnTo>
                <a:lnTo>
                  <a:pt x="605273" y="312701"/>
                </a:lnTo>
                <a:lnTo>
                  <a:pt x="624785" y="312701"/>
                </a:lnTo>
                <a:lnTo>
                  <a:pt x="644294" y="312701"/>
                </a:lnTo>
                <a:lnTo>
                  <a:pt x="663806" y="293178"/>
                </a:lnTo>
                <a:lnTo>
                  <a:pt x="683317" y="312701"/>
                </a:lnTo>
                <a:lnTo>
                  <a:pt x="702826" y="312701"/>
                </a:lnTo>
                <a:lnTo>
                  <a:pt x="722338" y="312701"/>
                </a:lnTo>
                <a:lnTo>
                  <a:pt x="741849" y="332226"/>
                </a:lnTo>
                <a:lnTo>
                  <a:pt x="761358" y="351752"/>
                </a:lnTo>
                <a:lnTo>
                  <a:pt x="780870" y="351752"/>
                </a:lnTo>
                <a:lnTo>
                  <a:pt x="800379" y="351752"/>
                </a:lnTo>
                <a:lnTo>
                  <a:pt x="819891" y="371275"/>
                </a:lnTo>
                <a:lnTo>
                  <a:pt x="819891" y="390801"/>
                </a:lnTo>
                <a:lnTo>
                  <a:pt x="839402" y="410324"/>
                </a:lnTo>
                <a:lnTo>
                  <a:pt x="819891" y="429849"/>
                </a:lnTo>
                <a:lnTo>
                  <a:pt x="839402" y="449375"/>
                </a:lnTo>
                <a:lnTo>
                  <a:pt x="839402" y="468898"/>
                </a:lnTo>
                <a:lnTo>
                  <a:pt x="839402" y="488424"/>
                </a:lnTo>
                <a:lnTo>
                  <a:pt x="858911" y="507949"/>
                </a:lnTo>
                <a:lnTo>
                  <a:pt x="858911" y="527472"/>
                </a:lnTo>
              </a:path>
            </a:pathLst>
          </a:custGeom>
          <a:noFill/>
          <a:ln w="26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3" name="Forma libre: forma 10262">
            <a:extLst>
              <a:ext uri="{FF2B5EF4-FFF2-40B4-BE49-F238E27FC236}">
                <a16:creationId xmlns:a16="http://schemas.microsoft.com/office/drawing/2014/main" id="{00000000-0008-0000-0400-000017280000}"/>
              </a:ext>
            </a:extLst>
          </xdr:cNvPr>
          <xdr:cNvSpPr/>
        </xdr:nvSpPr>
        <xdr:spPr>
          <a:xfrm>
            <a:off x="6276565" y="4418718"/>
            <a:ext cx="448745" cy="859614"/>
          </a:xfrm>
          <a:custGeom>
            <a:avLst/>
            <a:gdLst>
              <a:gd name="connsiteX0" fmla="*/ 442 w 448745"/>
              <a:gd name="connsiteY0" fmla="*/ 307 h 842049"/>
              <a:gd name="connsiteX1" fmla="*/ 442 w 448745"/>
              <a:gd name="connsiteY1" fmla="*/ 19832 h 842049"/>
              <a:gd name="connsiteX2" fmla="*/ 442 w 448745"/>
              <a:gd name="connsiteY2" fmla="*/ 39358 h 842049"/>
              <a:gd name="connsiteX3" fmla="*/ 442 w 448745"/>
              <a:gd name="connsiteY3" fmla="*/ 58881 h 842049"/>
              <a:gd name="connsiteX4" fmla="*/ 442 w 448745"/>
              <a:gd name="connsiteY4" fmla="*/ 78406 h 842049"/>
              <a:gd name="connsiteX5" fmla="*/ 442 w 448745"/>
              <a:gd name="connsiteY5" fmla="*/ 97930 h 842049"/>
              <a:gd name="connsiteX6" fmla="*/ 19954 w 448745"/>
              <a:gd name="connsiteY6" fmla="*/ 117455 h 842049"/>
              <a:gd name="connsiteX7" fmla="*/ 19954 w 448745"/>
              <a:gd name="connsiteY7" fmla="*/ 136981 h 842049"/>
              <a:gd name="connsiteX8" fmla="*/ 442 w 448745"/>
              <a:gd name="connsiteY8" fmla="*/ 156504 h 842049"/>
              <a:gd name="connsiteX9" fmla="*/ 442 w 448745"/>
              <a:gd name="connsiteY9" fmla="*/ 176029 h 842049"/>
              <a:gd name="connsiteX10" fmla="*/ 442 w 448745"/>
              <a:gd name="connsiteY10" fmla="*/ 195555 h 842049"/>
              <a:gd name="connsiteX11" fmla="*/ 442 w 448745"/>
              <a:gd name="connsiteY11" fmla="*/ 215078 h 842049"/>
              <a:gd name="connsiteX12" fmla="*/ 442 w 448745"/>
              <a:gd name="connsiteY12" fmla="*/ 234604 h 842049"/>
              <a:gd name="connsiteX13" fmla="*/ 442 w 448745"/>
              <a:gd name="connsiteY13" fmla="*/ 254127 h 842049"/>
              <a:gd name="connsiteX14" fmla="*/ 19954 w 448745"/>
              <a:gd name="connsiteY14" fmla="*/ 273652 h 842049"/>
              <a:gd name="connsiteX15" fmla="*/ 39465 w 448745"/>
              <a:gd name="connsiteY15" fmla="*/ 293178 h 842049"/>
              <a:gd name="connsiteX16" fmla="*/ 58974 w 448745"/>
              <a:gd name="connsiteY16" fmla="*/ 312701 h 842049"/>
              <a:gd name="connsiteX17" fmla="*/ 58974 w 448745"/>
              <a:gd name="connsiteY17" fmla="*/ 332227 h 842049"/>
              <a:gd name="connsiteX18" fmla="*/ 78486 w 448745"/>
              <a:gd name="connsiteY18" fmla="*/ 351752 h 842049"/>
              <a:gd name="connsiteX19" fmla="*/ 97995 w 448745"/>
              <a:gd name="connsiteY19" fmla="*/ 371275 h 842049"/>
              <a:gd name="connsiteX20" fmla="*/ 117507 w 448745"/>
              <a:gd name="connsiteY20" fmla="*/ 390801 h 842049"/>
              <a:gd name="connsiteX21" fmla="*/ 117507 w 448745"/>
              <a:gd name="connsiteY21" fmla="*/ 410326 h 842049"/>
              <a:gd name="connsiteX22" fmla="*/ 137018 w 448745"/>
              <a:gd name="connsiteY22" fmla="*/ 429849 h 842049"/>
              <a:gd name="connsiteX23" fmla="*/ 156527 w 448745"/>
              <a:gd name="connsiteY23" fmla="*/ 449375 h 842049"/>
              <a:gd name="connsiteX24" fmla="*/ 156527 w 448745"/>
              <a:gd name="connsiteY24" fmla="*/ 468898 h 842049"/>
              <a:gd name="connsiteX25" fmla="*/ 156527 w 448745"/>
              <a:gd name="connsiteY25" fmla="*/ 488424 h 842049"/>
              <a:gd name="connsiteX26" fmla="*/ 176039 w 448745"/>
              <a:gd name="connsiteY26" fmla="*/ 507949 h 842049"/>
              <a:gd name="connsiteX27" fmla="*/ 195550 w 448745"/>
              <a:gd name="connsiteY27" fmla="*/ 507949 h 842049"/>
              <a:gd name="connsiteX28" fmla="*/ 215059 w 448745"/>
              <a:gd name="connsiteY28" fmla="*/ 507949 h 842049"/>
              <a:gd name="connsiteX29" fmla="*/ 234571 w 448745"/>
              <a:gd name="connsiteY29" fmla="*/ 507949 h 842049"/>
              <a:gd name="connsiteX30" fmla="*/ 254082 w 448745"/>
              <a:gd name="connsiteY30" fmla="*/ 507949 h 842049"/>
              <a:gd name="connsiteX31" fmla="*/ 273592 w 448745"/>
              <a:gd name="connsiteY31" fmla="*/ 507949 h 842049"/>
              <a:gd name="connsiteX32" fmla="*/ 293103 w 448745"/>
              <a:gd name="connsiteY32" fmla="*/ 507949 h 842049"/>
              <a:gd name="connsiteX33" fmla="*/ 312612 w 448745"/>
              <a:gd name="connsiteY33" fmla="*/ 507949 h 842049"/>
              <a:gd name="connsiteX34" fmla="*/ 332124 w 448745"/>
              <a:gd name="connsiteY34" fmla="*/ 507949 h 842049"/>
              <a:gd name="connsiteX35" fmla="*/ 351635 w 448745"/>
              <a:gd name="connsiteY35" fmla="*/ 527472 h 842049"/>
              <a:gd name="connsiteX36" fmla="*/ 371145 w 448745"/>
              <a:gd name="connsiteY36" fmla="*/ 546998 h 842049"/>
              <a:gd name="connsiteX37" fmla="*/ 371145 w 448745"/>
              <a:gd name="connsiteY37" fmla="*/ 566523 h 842049"/>
              <a:gd name="connsiteX38" fmla="*/ 371145 w 448745"/>
              <a:gd name="connsiteY38" fmla="*/ 586047 h 842049"/>
              <a:gd name="connsiteX39" fmla="*/ 371145 w 448745"/>
              <a:gd name="connsiteY39" fmla="*/ 605572 h 842049"/>
              <a:gd name="connsiteX40" fmla="*/ 371145 w 448745"/>
              <a:gd name="connsiteY40" fmla="*/ 625098 h 842049"/>
              <a:gd name="connsiteX41" fmla="*/ 371145 w 448745"/>
              <a:gd name="connsiteY41" fmla="*/ 644621 h 842049"/>
              <a:gd name="connsiteX42" fmla="*/ 390656 w 448745"/>
              <a:gd name="connsiteY42" fmla="*/ 664146 h 842049"/>
              <a:gd name="connsiteX43" fmla="*/ 390656 w 448745"/>
              <a:gd name="connsiteY43" fmla="*/ 683670 h 842049"/>
              <a:gd name="connsiteX44" fmla="*/ 390656 w 448745"/>
              <a:gd name="connsiteY44" fmla="*/ 703195 h 842049"/>
              <a:gd name="connsiteX45" fmla="*/ 390656 w 448745"/>
              <a:gd name="connsiteY45" fmla="*/ 722721 h 842049"/>
              <a:gd name="connsiteX46" fmla="*/ 390656 w 448745"/>
              <a:gd name="connsiteY46" fmla="*/ 742244 h 842049"/>
              <a:gd name="connsiteX47" fmla="*/ 390656 w 448745"/>
              <a:gd name="connsiteY47" fmla="*/ 761769 h 842049"/>
              <a:gd name="connsiteX48" fmla="*/ 410167 w 448745"/>
              <a:gd name="connsiteY48" fmla="*/ 781295 h 842049"/>
              <a:gd name="connsiteX49" fmla="*/ 429677 w 448745"/>
              <a:gd name="connsiteY49" fmla="*/ 800818 h 842049"/>
              <a:gd name="connsiteX50" fmla="*/ 449188 w 448745"/>
              <a:gd name="connsiteY50" fmla="*/ 820343 h 842049"/>
              <a:gd name="connsiteX51" fmla="*/ 439681 w 448745"/>
              <a:gd name="connsiteY51" fmla="*/ 842357 h 8420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448745" h="842049">
                <a:moveTo>
                  <a:pt x="442" y="307"/>
                </a:moveTo>
                <a:lnTo>
                  <a:pt x="442" y="19832"/>
                </a:lnTo>
                <a:lnTo>
                  <a:pt x="442" y="39358"/>
                </a:lnTo>
                <a:lnTo>
                  <a:pt x="442" y="58881"/>
                </a:lnTo>
                <a:lnTo>
                  <a:pt x="442" y="78406"/>
                </a:lnTo>
                <a:lnTo>
                  <a:pt x="442" y="97930"/>
                </a:lnTo>
                <a:lnTo>
                  <a:pt x="19954" y="117455"/>
                </a:lnTo>
                <a:lnTo>
                  <a:pt x="19954" y="136981"/>
                </a:lnTo>
                <a:lnTo>
                  <a:pt x="442" y="156504"/>
                </a:lnTo>
                <a:lnTo>
                  <a:pt x="442" y="176029"/>
                </a:lnTo>
                <a:lnTo>
                  <a:pt x="442" y="195555"/>
                </a:lnTo>
                <a:lnTo>
                  <a:pt x="442" y="215078"/>
                </a:lnTo>
                <a:lnTo>
                  <a:pt x="442" y="234604"/>
                </a:lnTo>
                <a:lnTo>
                  <a:pt x="442" y="254127"/>
                </a:lnTo>
                <a:lnTo>
                  <a:pt x="19954" y="273652"/>
                </a:lnTo>
                <a:lnTo>
                  <a:pt x="39465" y="293178"/>
                </a:lnTo>
                <a:lnTo>
                  <a:pt x="58974" y="312701"/>
                </a:lnTo>
                <a:lnTo>
                  <a:pt x="58974" y="332227"/>
                </a:lnTo>
                <a:lnTo>
                  <a:pt x="78486" y="351752"/>
                </a:lnTo>
                <a:lnTo>
                  <a:pt x="97995" y="371275"/>
                </a:lnTo>
                <a:lnTo>
                  <a:pt x="117507" y="390801"/>
                </a:lnTo>
                <a:lnTo>
                  <a:pt x="117507" y="410326"/>
                </a:lnTo>
                <a:lnTo>
                  <a:pt x="137018" y="429849"/>
                </a:lnTo>
                <a:lnTo>
                  <a:pt x="156527" y="449375"/>
                </a:lnTo>
                <a:lnTo>
                  <a:pt x="156527" y="468898"/>
                </a:lnTo>
                <a:lnTo>
                  <a:pt x="156527" y="488424"/>
                </a:lnTo>
                <a:lnTo>
                  <a:pt x="176039" y="507949"/>
                </a:lnTo>
                <a:lnTo>
                  <a:pt x="195550" y="507949"/>
                </a:lnTo>
                <a:lnTo>
                  <a:pt x="215059" y="507949"/>
                </a:lnTo>
                <a:lnTo>
                  <a:pt x="234571" y="507949"/>
                </a:lnTo>
                <a:lnTo>
                  <a:pt x="254082" y="507949"/>
                </a:lnTo>
                <a:lnTo>
                  <a:pt x="273592" y="507949"/>
                </a:lnTo>
                <a:lnTo>
                  <a:pt x="293103" y="507949"/>
                </a:lnTo>
                <a:lnTo>
                  <a:pt x="312612" y="507949"/>
                </a:lnTo>
                <a:lnTo>
                  <a:pt x="332124" y="507949"/>
                </a:lnTo>
                <a:lnTo>
                  <a:pt x="351635" y="527472"/>
                </a:lnTo>
                <a:lnTo>
                  <a:pt x="371145" y="546998"/>
                </a:lnTo>
                <a:lnTo>
                  <a:pt x="371145" y="566523"/>
                </a:lnTo>
                <a:lnTo>
                  <a:pt x="371145" y="586047"/>
                </a:lnTo>
                <a:lnTo>
                  <a:pt x="371145" y="605572"/>
                </a:lnTo>
                <a:lnTo>
                  <a:pt x="371145" y="625098"/>
                </a:lnTo>
                <a:lnTo>
                  <a:pt x="371145" y="644621"/>
                </a:lnTo>
                <a:lnTo>
                  <a:pt x="390656" y="664146"/>
                </a:lnTo>
                <a:lnTo>
                  <a:pt x="390656" y="683670"/>
                </a:lnTo>
                <a:lnTo>
                  <a:pt x="390656" y="703195"/>
                </a:lnTo>
                <a:lnTo>
                  <a:pt x="390656" y="722721"/>
                </a:lnTo>
                <a:lnTo>
                  <a:pt x="390656" y="742244"/>
                </a:lnTo>
                <a:lnTo>
                  <a:pt x="390656" y="761769"/>
                </a:lnTo>
                <a:lnTo>
                  <a:pt x="410167" y="781295"/>
                </a:lnTo>
                <a:lnTo>
                  <a:pt x="429677" y="800818"/>
                </a:lnTo>
                <a:lnTo>
                  <a:pt x="449188" y="820343"/>
                </a:lnTo>
                <a:lnTo>
                  <a:pt x="439681" y="842357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4" name="Forma libre: forma 10263">
            <a:extLst>
              <a:ext uri="{FF2B5EF4-FFF2-40B4-BE49-F238E27FC236}">
                <a16:creationId xmlns:a16="http://schemas.microsoft.com/office/drawing/2014/main" id="{00000000-0008-0000-0400-000018280000}"/>
              </a:ext>
            </a:extLst>
          </xdr:cNvPr>
          <xdr:cNvSpPr/>
        </xdr:nvSpPr>
        <xdr:spPr>
          <a:xfrm>
            <a:off x="4201430" y="4301569"/>
            <a:ext cx="973171" cy="475619"/>
          </a:xfrm>
          <a:custGeom>
            <a:avLst/>
            <a:gdLst>
              <a:gd name="connsiteX0" fmla="*/ 442 w 968487"/>
              <a:gd name="connsiteY0" fmla="*/ 19832 h 468593"/>
              <a:gd name="connsiteX1" fmla="*/ 12908 w 968487"/>
              <a:gd name="connsiteY1" fmla="*/ 19832 h 468593"/>
              <a:gd name="connsiteX2" fmla="*/ 32417 w 968487"/>
              <a:gd name="connsiteY2" fmla="*/ 39358 h 468593"/>
              <a:gd name="connsiteX3" fmla="*/ 51929 w 968487"/>
              <a:gd name="connsiteY3" fmla="*/ 58881 h 468593"/>
              <a:gd name="connsiteX4" fmla="*/ 71440 w 968487"/>
              <a:gd name="connsiteY4" fmla="*/ 58881 h 468593"/>
              <a:gd name="connsiteX5" fmla="*/ 90949 w 968487"/>
              <a:gd name="connsiteY5" fmla="*/ 58881 h 468593"/>
              <a:gd name="connsiteX6" fmla="*/ 110461 w 968487"/>
              <a:gd name="connsiteY6" fmla="*/ 58881 h 468593"/>
              <a:gd name="connsiteX7" fmla="*/ 129972 w 968487"/>
              <a:gd name="connsiteY7" fmla="*/ 39358 h 468593"/>
              <a:gd name="connsiteX8" fmla="*/ 149482 w 968487"/>
              <a:gd name="connsiteY8" fmla="*/ 39358 h 468593"/>
              <a:gd name="connsiteX9" fmla="*/ 168993 w 968487"/>
              <a:gd name="connsiteY9" fmla="*/ 39358 h 468593"/>
              <a:gd name="connsiteX10" fmla="*/ 188502 w 968487"/>
              <a:gd name="connsiteY10" fmla="*/ 39358 h 468593"/>
              <a:gd name="connsiteX11" fmla="*/ 208014 w 968487"/>
              <a:gd name="connsiteY11" fmla="*/ 19832 h 468593"/>
              <a:gd name="connsiteX12" fmla="*/ 227525 w 968487"/>
              <a:gd name="connsiteY12" fmla="*/ 307 h 468593"/>
              <a:gd name="connsiteX13" fmla="*/ 247034 w 968487"/>
              <a:gd name="connsiteY13" fmla="*/ 307 h 468593"/>
              <a:gd name="connsiteX14" fmla="*/ 266546 w 968487"/>
              <a:gd name="connsiteY14" fmla="*/ 307 h 468593"/>
              <a:gd name="connsiteX15" fmla="*/ 286057 w 968487"/>
              <a:gd name="connsiteY15" fmla="*/ 307 h 468593"/>
              <a:gd name="connsiteX16" fmla="*/ 305567 w 968487"/>
              <a:gd name="connsiteY16" fmla="*/ 307 h 468593"/>
              <a:gd name="connsiteX17" fmla="*/ 325078 w 968487"/>
              <a:gd name="connsiteY17" fmla="*/ 19832 h 468593"/>
              <a:gd name="connsiteX18" fmla="*/ 344590 w 968487"/>
              <a:gd name="connsiteY18" fmla="*/ 39358 h 468593"/>
              <a:gd name="connsiteX19" fmla="*/ 364099 w 968487"/>
              <a:gd name="connsiteY19" fmla="*/ 58881 h 468593"/>
              <a:gd name="connsiteX20" fmla="*/ 383610 w 968487"/>
              <a:gd name="connsiteY20" fmla="*/ 78406 h 468593"/>
              <a:gd name="connsiteX21" fmla="*/ 403120 w 968487"/>
              <a:gd name="connsiteY21" fmla="*/ 97932 h 468593"/>
              <a:gd name="connsiteX22" fmla="*/ 422631 w 968487"/>
              <a:gd name="connsiteY22" fmla="*/ 117455 h 468593"/>
              <a:gd name="connsiteX23" fmla="*/ 442142 w 968487"/>
              <a:gd name="connsiteY23" fmla="*/ 136981 h 468593"/>
              <a:gd name="connsiteX24" fmla="*/ 461652 w 968487"/>
              <a:gd name="connsiteY24" fmla="*/ 136981 h 468593"/>
              <a:gd name="connsiteX25" fmla="*/ 481163 w 968487"/>
              <a:gd name="connsiteY25" fmla="*/ 136981 h 468593"/>
              <a:gd name="connsiteX26" fmla="*/ 500674 w 968487"/>
              <a:gd name="connsiteY26" fmla="*/ 117455 h 468593"/>
              <a:gd name="connsiteX27" fmla="*/ 520184 w 968487"/>
              <a:gd name="connsiteY27" fmla="*/ 136981 h 468593"/>
              <a:gd name="connsiteX28" fmla="*/ 539695 w 968487"/>
              <a:gd name="connsiteY28" fmla="*/ 156506 h 468593"/>
              <a:gd name="connsiteX29" fmla="*/ 539695 w 968487"/>
              <a:gd name="connsiteY29" fmla="*/ 176029 h 468593"/>
              <a:gd name="connsiteX30" fmla="*/ 559206 w 968487"/>
              <a:gd name="connsiteY30" fmla="*/ 195555 h 468593"/>
              <a:gd name="connsiteX31" fmla="*/ 578716 w 968487"/>
              <a:gd name="connsiteY31" fmla="*/ 195555 h 468593"/>
              <a:gd name="connsiteX32" fmla="*/ 598227 w 968487"/>
              <a:gd name="connsiteY32" fmla="*/ 215078 h 468593"/>
              <a:gd name="connsiteX33" fmla="*/ 617738 w 968487"/>
              <a:gd name="connsiteY33" fmla="*/ 234604 h 468593"/>
              <a:gd name="connsiteX34" fmla="*/ 637248 w 968487"/>
              <a:gd name="connsiteY34" fmla="*/ 234604 h 468593"/>
              <a:gd name="connsiteX35" fmla="*/ 656759 w 968487"/>
              <a:gd name="connsiteY35" fmla="*/ 234604 h 468593"/>
              <a:gd name="connsiteX36" fmla="*/ 676270 w 968487"/>
              <a:gd name="connsiteY36" fmla="*/ 254129 h 468593"/>
              <a:gd name="connsiteX37" fmla="*/ 695780 w 968487"/>
              <a:gd name="connsiteY37" fmla="*/ 254129 h 468593"/>
              <a:gd name="connsiteX38" fmla="*/ 715291 w 968487"/>
              <a:gd name="connsiteY38" fmla="*/ 254129 h 468593"/>
              <a:gd name="connsiteX39" fmla="*/ 734802 w 968487"/>
              <a:gd name="connsiteY39" fmla="*/ 254129 h 468593"/>
              <a:gd name="connsiteX40" fmla="*/ 754312 w 968487"/>
              <a:gd name="connsiteY40" fmla="*/ 273652 h 468593"/>
              <a:gd name="connsiteX41" fmla="*/ 754312 w 968487"/>
              <a:gd name="connsiteY41" fmla="*/ 293178 h 468593"/>
              <a:gd name="connsiteX42" fmla="*/ 754312 w 968487"/>
              <a:gd name="connsiteY42" fmla="*/ 312703 h 468593"/>
              <a:gd name="connsiteX43" fmla="*/ 773823 w 968487"/>
              <a:gd name="connsiteY43" fmla="*/ 332227 h 468593"/>
              <a:gd name="connsiteX44" fmla="*/ 793334 w 968487"/>
              <a:gd name="connsiteY44" fmla="*/ 351752 h 468593"/>
              <a:gd name="connsiteX45" fmla="*/ 812845 w 968487"/>
              <a:gd name="connsiteY45" fmla="*/ 371275 h 468593"/>
              <a:gd name="connsiteX46" fmla="*/ 832354 w 968487"/>
              <a:gd name="connsiteY46" fmla="*/ 390801 h 468593"/>
              <a:gd name="connsiteX47" fmla="*/ 851866 w 968487"/>
              <a:gd name="connsiteY47" fmla="*/ 390801 h 468593"/>
              <a:gd name="connsiteX48" fmla="*/ 871377 w 968487"/>
              <a:gd name="connsiteY48" fmla="*/ 410326 h 468593"/>
              <a:gd name="connsiteX49" fmla="*/ 890886 w 968487"/>
              <a:gd name="connsiteY49" fmla="*/ 429849 h 468593"/>
              <a:gd name="connsiteX50" fmla="*/ 910398 w 968487"/>
              <a:gd name="connsiteY50" fmla="*/ 449375 h 468593"/>
              <a:gd name="connsiteX51" fmla="*/ 929909 w 968487"/>
              <a:gd name="connsiteY51" fmla="*/ 468900 h 468593"/>
              <a:gd name="connsiteX52" fmla="*/ 949418 w 968487"/>
              <a:gd name="connsiteY52" fmla="*/ 468900 h 468593"/>
              <a:gd name="connsiteX53" fmla="*/ 968930 w 968487"/>
              <a:gd name="connsiteY53" fmla="*/ 449375 h 4685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</a:cxnLst>
            <a:rect l="l" t="t" r="r" b="b"/>
            <a:pathLst>
              <a:path w="968487" h="468593">
                <a:moveTo>
                  <a:pt x="442" y="19832"/>
                </a:moveTo>
                <a:lnTo>
                  <a:pt x="12908" y="19832"/>
                </a:lnTo>
                <a:lnTo>
                  <a:pt x="32417" y="39358"/>
                </a:lnTo>
                <a:lnTo>
                  <a:pt x="51929" y="58881"/>
                </a:lnTo>
                <a:lnTo>
                  <a:pt x="71440" y="58881"/>
                </a:lnTo>
                <a:lnTo>
                  <a:pt x="90949" y="58881"/>
                </a:lnTo>
                <a:lnTo>
                  <a:pt x="110461" y="58881"/>
                </a:lnTo>
                <a:lnTo>
                  <a:pt x="129972" y="39358"/>
                </a:lnTo>
                <a:lnTo>
                  <a:pt x="149482" y="39358"/>
                </a:lnTo>
                <a:lnTo>
                  <a:pt x="168993" y="39358"/>
                </a:lnTo>
                <a:lnTo>
                  <a:pt x="188502" y="39358"/>
                </a:lnTo>
                <a:lnTo>
                  <a:pt x="208014" y="19832"/>
                </a:lnTo>
                <a:lnTo>
                  <a:pt x="227525" y="307"/>
                </a:lnTo>
                <a:lnTo>
                  <a:pt x="247034" y="307"/>
                </a:lnTo>
                <a:lnTo>
                  <a:pt x="266546" y="307"/>
                </a:lnTo>
                <a:lnTo>
                  <a:pt x="286057" y="307"/>
                </a:lnTo>
                <a:lnTo>
                  <a:pt x="305567" y="307"/>
                </a:lnTo>
                <a:lnTo>
                  <a:pt x="325078" y="19832"/>
                </a:lnTo>
                <a:lnTo>
                  <a:pt x="344590" y="39358"/>
                </a:lnTo>
                <a:lnTo>
                  <a:pt x="364099" y="58881"/>
                </a:lnTo>
                <a:lnTo>
                  <a:pt x="383610" y="78406"/>
                </a:lnTo>
                <a:lnTo>
                  <a:pt x="403120" y="97932"/>
                </a:lnTo>
                <a:lnTo>
                  <a:pt x="422631" y="117455"/>
                </a:lnTo>
                <a:lnTo>
                  <a:pt x="442142" y="136981"/>
                </a:lnTo>
                <a:lnTo>
                  <a:pt x="461652" y="136981"/>
                </a:lnTo>
                <a:lnTo>
                  <a:pt x="481163" y="136981"/>
                </a:lnTo>
                <a:lnTo>
                  <a:pt x="500674" y="117455"/>
                </a:lnTo>
                <a:lnTo>
                  <a:pt x="520184" y="136981"/>
                </a:lnTo>
                <a:lnTo>
                  <a:pt x="539695" y="156506"/>
                </a:lnTo>
                <a:lnTo>
                  <a:pt x="539695" y="176029"/>
                </a:lnTo>
                <a:lnTo>
                  <a:pt x="559206" y="195555"/>
                </a:lnTo>
                <a:lnTo>
                  <a:pt x="578716" y="195555"/>
                </a:lnTo>
                <a:lnTo>
                  <a:pt x="598227" y="215078"/>
                </a:lnTo>
                <a:lnTo>
                  <a:pt x="617738" y="234604"/>
                </a:lnTo>
                <a:lnTo>
                  <a:pt x="637248" y="234604"/>
                </a:lnTo>
                <a:lnTo>
                  <a:pt x="656759" y="234604"/>
                </a:lnTo>
                <a:lnTo>
                  <a:pt x="676270" y="254129"/>
                </a:lnTo>
                <a:lnTo>
                  <a:pt x="695780" y="254129"/>
                </a:lnTo>
                <a:lnTo>
                  <a:pt x="715291" y="254129"/>
                </a:lnTo>
                <a:lnTo>
                  <a:pt x="734802" y="254129"/>
                </a:lnTo>
                <a:lnTo>
                  <a:pt x="754312" y="273652"/>
                </a:lnTo>
                <a:lnTo>
                  <a:pt x="754312" y="293178"/>
                </a:lnTo>
                <a:lnTo>
                  <a:pt x="754312" y="312703"/>
                </a:lnTo>
                <a:lnTo>
                  <a:pt x="773823" y="332227"/>
                </a:lnTo>
                <a:lnTo>
                  <a:pt x="793334" y="351752"/>
                </a:lnTo>
                <a:lnTo>
                  <a:pt x="812845" y="371275"/>
                </a:lnTo>
                <a:lnTo>
                  <a:pt x="832354" y="390801"/>
                </a:lnTo>
                <a:lnTo>
                  <a:pt x="851866" y="390801"/>
                </a:lnTo>
                <a:lnTo>
                  <a:pt x="871377" y="410326"/>
                </a:lnTo>
                <a:lnTo>
                  <a:pt x="890886" y="429849"/>
                </a:lnTo>
                <a:lnTo>
                  <a:pt x="910398" y="449375"/>
                </a:lnTo>
                <a:lnTo>
                  <a:pt x="929909" y="468900"/>
                </a:lnTo>
                <a:lnTo>
                  <a:pt x="949418" y="468900"/>
                </a:lnTo>
                <a:lnTo>
                  <a:pt x="968930" y="449375"/>
                </a:lnTo>
              </a:path>
            </a:pathLst>
          </a:custGeom>
          <a:noFill/>
          <a:ln w="740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5" name="Forma libre: forma 10264">
            <a:extLst>
              <a:ext uri="{FF2B5EF4-FFF2-40B4-BE49-F238E27FC236}">
                <a16:creationId xmlns:a16="http://schemas.microsoft.com/office/drawing/2014/main" id="{00000000-0008-0000-0400-000019280000}"/>
              </a:ext>
            </a:extLst>
          </xdr:cNvPr>
          <xdr:cNvSpPr/>
        </xdr:nvSpPr>
        <xdr:spPr>
          <a:xfrm>
            <a:off x="6925101" y="3459408"/>
            <a:ext cx="390222" cy="503216"/>
          </a:xfrm>
          <a:custGeom>
            <a:avLst/>
            <a:gdLst>
              <a:gd name="connsiteX0" fmla="*/ 386100 w 390222"/>
              <a:gd name="connsiteY0" fmla="*/ 307 h 492679"/>
              <a:gd name="connsiteX1" fmla="*/ 390665 w 390222"/>
              <a:gd name="connsiteY1" fmla="*/ 4870 h 492679"/>
              <a:gd name="connsiteX2" fmla="*/ 390665 w 390222"/>
              <a:gd name="connsiteY2" fmla="*/ 24393 h 492679"/>
              <a:gd name="connsiteX3" fmla="*/ 390665 w 390222"/>
              <a:gd name="connsiteY3" fmla="*/ 43919 h 492679"/>
              <a:gd name="connsiteX4" fmla="*/ 390665 w 390222"/>
              <a:gd name="connsiteY4" fmla="*/ 63444 h 492679"/>
              <a:gd name="connsiteX5" fmla="*/ 371144 w 390222"/>
              <a:gd name="connsiteY5" fmla="*/ 82968 h 492679"/>
              <a:gd name="connsiteX6" fmla="*/ 371144 w 390222"/>
              <a:gd name="connsiteY6" fmla="*/ 102493 h 492679"/>
              <a:gd name="connsiteX7" fmla="*/ 371144 w 390222"/>
              <a:gd name="connsiteY7" fmla="*/ 122018 h 492679"/>
              <a:gd name="connsiteX8" fmla="*/ 371144 w 390222"/>
              <a:gd name="connsiteY8" fmla="*/ 141542 h 492679"/>
              <a:gd name="connsiteX9" fmla="*/ 351624 w 390222"/>
              <a:gd name="connsiteY9" fmla="*/ 161067 h 492679"/>
              <a:gd name="connsiteX10" fmla="*/ 351624 w 390222"/>
              <a:gd name="connsiteY10" fmla="*/ 180592 h 492679"/>
              <a:gd name="connsiteX11" fmla="*/ 332126 w 390222"/>
              <a:gd name="connsiteY11" fmla="*/ 200116 h 492679"/>
              <a:gd name="connsiteX12" fmla="*/ 351624 w 390222"/>
              <a:gd name="connsiteY12" fmla="*/ 219641 h 492679"/>
              <a:gd name="connsiteX13" fmla="*/ 351624 w 390222"/>
              <a:gd name="connsiteY13" fmla="*/ 239166 h 492679"/>
              <a:gd name="connsiteX14" fmla="*/ 351624 w 390222"/>
              <a:gd name="connsiteY14" fmla="*/ 258690 h 492679"/>
              <a:gd name="connsiteX15" fmla="*/ 351624 w 390222"/>
              <a:gd name="connsiteY15" fmla="*/ 278215 h 492679"/>
              <a:gd name="connsiteX16" fmla="*/ 332126 w 390222"/>
              <a:gd name="connsiteY16" fmla="*/ 297740 h 492679"/>
              <a:gd name="connsiteX17" fmla="*/ 332126 w 390222"/>
              <a:gd name="connsiteY17" fmla="*/ 317264 h 492679"/>
              <a:gd name="connsiteX18" fmla="*/ 332126 w 390222"/>
              <a:gd name="connsiteY18" fmla="*/ 336789 h 492679"/>
              <a:gd name="connsiteX19" fmla="*/ 312606 w 390222"/>
              <a:gd name="connsiteY19" fmla="*/ 356314 h 492679"/>
              <a:gd name="connsiteX20" fmla="*/ 293107 w 390222"/>
              <a:gd name="connsiteY20" fmla="*/ 356314 h 492679"/>
              <a:gd name="connsiteX21" fmla="*/ 273587 w 390222"/>
              <a:gd name="connsiteY21" fmla="*/ 356314 h 492679"/>
              <a:gd name="connsiteX22" fmla="*/ 254089 w 390222"/>
              <a:gd name="connsiteY22" fmla="*/ 356314 h 492679"/>
              <a:gd name="connsiteX23" fmla="*/ 234568 w 390222"/>
              <a:gd name="connsiteY23" fmla="*/ 336789 h 492679"/>
              <a:gd name="connsiteX24" fmla="*/ 215070 w 390222"/>
              <a:gd name="connsiteY24" fmla="*/ 336789 h 492679"/>
              <a:gd name="connsiteX25" fmla="*/ 195550 w 390222"/>
              <a:gd name="connsiteY25" fmla="*/ 317264 h 492679"/>
              <a:gd name="connsiteX26" fmla="*/ 176030 w 390222"/>
              <a:gd name="connsiteY26" fmla="*/ 317264 h 492679"/>
              <a:gd name="connsiteX27" fmla="*/ 156532 w 390222"/>
              <a:gd name="connsiteY27" fmla="*/ 297740 h 492679"/>
              <a:gd name="connsiteX28" fmla="*/ 137011 w 390222"/>
              <a:gd name="connsiteY28" fmla="*/ 297740 h 492679"/>
              <a:gd name="connsiteX29" fmla="*/ 117513 w 390222"/>
              <a:gd name="connsiteY29" fmla="*/ 297740 h 492679"/>
              <a:gd name="connsiteX30" fmla="*/ 97993 w 390222"/>
              <a:gd name="connsiteY30" fmla="*/ 317264 h 492679"/>
              <a:gd name="connsiteX31" fmla="*/ 78486 w 390222"/>
              <a:gd name="connsiteY31" fmla="*/ 336789 h 492679"/>
              <a:gd name="connsiteX32" fmla="*/ 58974 w 390222"/>
              <a:gd name="connsiteY32" fmla="*/ 356314 h 492679"/>
              <a:gd name="connsiteX33" fmla="*/ 58974 w 390222"/>
              <a:gd name="connsiteY33" fmla="*/ 375838 h 492679"/>
              <a:gd name="connsiteX34" fmla="*/ 58974 w 390222"/>
              <a:gd name="connsiteY34" fmla="*/ 395363 h 492679"/>
              <a:gd name="connsiteX35" fmla="*/ 39465 w 390222"/>
              <a:gd name="connsiteY35" fmla="*/ 414888 h 492679"/>
              <a:gd name="connsiteX36" fmla="*/ 19953 w 390222"/>
              <a:gd name="connsiteY36" fmla="*/ 434412 h 492679"/>
              <a:gd name="connsiteX37" fmla="*/ 442 w 390222"/>
              <a:gd name="connsiteY37" fmla="*/ 453937 h 492679"/>
              <a:gd name="connsiteX38" fmla="*/ 442 w 390222"/>
              <a:gd name="connsiteY38" fmla="*/ 473462 h 492679"/>
              <a:gd name="connsiteX39" fmla="*/ 442 w 390222"/>
              <a:gd name="connsiteY39" fmla="*/ 492986 h 4926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</a:cxnLst>
            <a:rect l="l" t="t" r="r" b="b"/>
            <a:pathLst>
              <a:path w="390222" h="492679">
                <a:moveTo>
                  <a:pt x="386100" y="307"/>
                </a:moveTo>
                <a:lnTo>
                  <a:pt x="390665" y="4870"/>
                </a:lnTo>
                <a:lnTo>
                  <a:pt x="390665" y="24393"/>
                </a:lnTo>
                <a:lnTo>
                  <a:pt x="390665" y="43919"/>
                </a:lnTo>
                <a:lnTo>
                  <a:pt x="390665" y="63444"/>
                </a:lnTo>
                <a:lnTo>
                  <a:pt x="371144" y="82968"/>
                </a:lnTo>
                <a:lnTo>
                  <a:pt x="371144" y="102493"/>
                </a:lnTo>
                <a:lnTo>
                  <a:pt x="371144" y="122018"/>
                </a:lnTo>
                <a:lnTo>
                  <a:pt x="371144" y="141542"/>
                </a:lnTo>
                <a:lnTo>
                  <a:pt x="351624" y="161067"/>
                </a:lnTo>
                <a:lnTo>
                  <a:pt x="351624" y="180592"/>
                </a:lnTo>
                <a:lnTo>
                  <a:pt x="332126" y="200116"/>
                </a:lnTo>
                <a:lnTo>
                  <a:pt x="351624" y="219641"/>
                </a:lnTo>
                <a:lnTo>
                  <a:pt x="351624" y="239166"/>
                </a:lnTo>
                <a:lnTo>
                  <a:pt x="351624" y="258690"/>
                </a:lnTo>
                <a:lnTo>
                  <a:pt x="351624" y="278215"/>
                </a:lnTo>
                <a:lnTo>
                  <a:pt x="332126" y="297740"/>
                </a:lnTo>
                <a:lnTo>
                  <a:pt x="332126" y="317264"/>
                </a:lnTo>
                <a:lnTo>
                  <a:pt x="332126" y="336789"/>
                </a:lnTo>
                <a:lnTo>
                  <a:pt x="312606" y="356314"/>
                </a:lnTo>
                <a:lnTo>
                  <a:pt x="293107" y="356314"/>
                </a:lnTo>
                <a:lnTo>
                  <a:pt x="273587" y="356314"/>
                </a:lnTo>
                <a:lnTo>
                  <a:pt x="254089" y="356314"/>
                </a:lnTo>
                <a:lnTo>
                  <a:pt x="234568" y="336789"/>
                </a:lnTo>
                <a:lnTo>
                  <a:pt x="215070" y="336789"/>
                </a:lnTo>
                <a:lnTo>
                  <a:pt x="195550" y="317264"/>
                </a:lnTo>
                <a:lnTo>
                  <a:pt x="176030" y="317264"/>
                </a:lnTo>
                <a:lnTo>
                  <a:pt x="156532" y="297740"/>
                </a:lnTo>
                <a:lnTo>
                  <a:pt x="137011" y="297740"/>
                </a:lnTo>
                <a:lnTo>
                  <a:pt x="117513" y="297740"/>
                </a:lnTo>
                <a:lnTo>
                  <a:pt x="97993" y="317264"/>
                </a:lnTo>
                <a:lnTo>
                  <a:pt x="78486" y="336789"/>
                </a:lnTo>
                <a:lnTo>
                  <a:pt x="58974" y="356314"/>
                </a:lnTo>
                <a:lnTo>
                  <a:pt x="58974" y="375838"/>
                </a:lnTo>
                <a:lnTo>
                  <a:pt x="58974" y="395363"/>
                </a:lnTo>
                <a:lnTo>
                  <a:pt x="39465" y="414888"/>
                </a:lnTo>
                <a:lnTo>
                  <a:pt x="19953" y="434412"/>
                </a:lnTo>
                <a:lnTo>
                  <a:pt x="442" y="453937"/>
                </a:lnTo>
                <a:lnTo>
                  <a:pt x="442" y="473462"/>
                </a:lnTo>
                <a:lnTo>
                  <a:pt x="442" y="492986"/>
                </a:lnTo>
              </a:path>
            </a:pathLst>
          </a:custGeom>
          <a:noFill/>
          <a:ln w="37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6" name="Forma libre: forma 10265">
            <a:extLst>
              <a:ext uri="{FF2B5EF4-FFF2-40B4-BE49-F238E27FC236}">
                <a16:creationId xmlns:a16="http://schemas.microsoft.com/office/drawing/2014/main" id="{00000000-0008-0000-0400-00001A280000}"/>
              </a:ext>
            </a:extLst>
          </xdr:cNvPr>
          <xdr:cNvSpPr/>
        </xdr:nvSpPr>
        <xdr:spPr>
          <a:xfrm>
            <a:off x="7788251" y="5575740"/>
            <a:ext cx="19520" cy="19525"/>
          </a:xfrm>
          <a:custGeom>
            <a:avLst/>
            <a:gdLst>
              <a:gd name="connsiteX0" fmla="*/ 442 w 19520"/>
              <a:gd name="connsiteY0" fmla="*/ 307 h 19525"/>
              <a:gd name="connsiteX1" fmla="*/ 19962 w 19520"/>
              <a:gd name="connsiteY1" fmla="*/ 19832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20" h="19525">
                <a:moveTo>
                  <a:pt x="442" y="307"/>
                </a:moveTo>
                <a:lnTo>
                  <a:pt x="19962" y="19832"/>
                </a:lnTo>
              </a:path>
            </a:pathLst>
          </a:custGeom>
          <a:noFill/>
          <a:ln w="1905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7" name="Forma libre: forma 10266">
            <a:extLst>
              <a:ext uri="{FF2B5EF4-FFF2-40B4-BE49-F238E27FC236}">
                <a16:creationId xmlns:a16="http://schemas.microsoft.com/office/drawing/2014/main" id="{00000000-0008-0000-0400-00001B280000}"/>
              </a:ext>
            </a:extLst>
          </xdr:cNvPr>
          <xdr:cNvSpPr/>
        </xdr:nvSpPr>
        <xdr:spPr>
          <a:xfrm>
            <a:off x="7588453" y="5275843"/>
            <a:ext cx="199798" cy="299897"/>
          </a:xfrm>
          <a:custGeom>
            <a:avLst/>
            <a:gdLst>
              <a:gd name="connsiteX0" fmla="*/ 442 w 195114"/>
              <a:gd name="connsiteY0" fmla="*/ 307 h 292871"/>
              <a:gd name="connsiteX1" fmla="*/ 442 w 195114"/>
              <a:gd name="connsiteY1" fmla="*/ 19832 h 292871"/>
              <a:gd name="connsiteX2" fmla="*/ 19962 w 195114"/>
              <a:gd name="connsiteY2" fmla="*/ 39358 h 292871"/>
              <a:gd name="connsiteX3" fmla="*/ 39483 w 195114"/>
              <a:gd name="connsiteY3" fmla="*/ 39358 h 292871"/>
              <a:gd name="connsiteX4" fmla="*/ 58981 w 195114"/>
              <a:gd name="connsiteY4" fmla="*/ 39358 h 292871"/>
              <a:gd name="connsiteX5" fmla="*/ 78501 w 195114"/>
              <a:gd name="connsiteY5" fmla="*/ 39358 h 292871"/>
              <a:gd name="connsiteX6" fmla="*/ 97999 w 195114"/>
              <a:gd name="connsiteY6" fmla="*/ 39358 h 292871"/>
              <a:gd name="connsiteX7" fmla="*/ 117520 w 195114"/>
              <a:gd name="connsiteY7" fmla="*/ 58881 h 292871"/>
              <a:gd name="connsiteX8" fmla="*/ 137018 w 195114"/>
              <a:gd name="connsiteY8" fmla="*/ 58881 h 292871"/>
              <a:gd name="connsiteX9" fmla="*/ 137018 w 195114"/>
              <a:gd name="connsiteY9" fmla="*/ 78406 h 292871"/>
              <a:gd name="connsiteX10" fmla="*/ 137018 w 195114"/>
              <a:gd name="connsiteY10" fmla="*/ 97932 h 292871"/>
              <a:gd name="connsiteX11" fmla="*/ 137018 w 195114"/>
              <a:gd name="connsiteY11" fmla="*/ 117455 h 292871"/>
              <a:gd name="connsiteX12" fmla="*/ 117520 w 195114"/>
              <a:gd name="connsiteY12" fmla="*/ 136981 h 292871"/>
              <a:gd name="connsiteX13" fmla="*/ 117520 w 195114"/>
              <a:gd name="connsiteY13" fmla="*/ 156506 h 292871"/>
              <a:gd name="connsiteX14" fmla="*/ 137018 w 195114"/>
              <a:gd name="connsiteY14" fmla="*/ 176029 h 292871"/>
              <a:gd name="connsiteX15" fmla="*/ 137018 w 195114"/>
              <a:gd name="connsiteY15" fmla="*/ 195555 h 292871"/>
              <a:gd name="connsiteX16" fmla="*/ 137018 w 195114"/>
              <a:gd name="connsiteY16" fmla="*/ 215078 h 292871"/>
              <a:gd name="connsiteX17" fmla="*/ 137018 w 195114"/>
              <a:gd name="connsiteY17" fmla="*/ 234603 h 292871"/>
              <a:gd name="connsiteX18" fmla="*/ 137018 w 195114"/>
              <a:gd name="connsiteY18" fmla="*/ 254129 h 292871"/>
              <a:gd name="connsiteX19" fmla="*/ 156538 w 195114"/>
              <a:gd name="connsiteY19" fmla="*/ 273652 h 292871"/>
              <a:gd name="connsiteX20" fmla="*/ 176059 w 195114"/>
              <a:gd name="connsiteY20" fmla="*/ 293178 h 292871"/>
              <a:gd name="connsiteX21" fmla="*/ 195557 w 195114"/>
              <a:gd name="connsiteY21" fmla="*/ 293178 h 2928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</a:cxnLst>
            <a:rect l="l" t="t" r="r" b="b"/>
            <a:pathLst>
              <a:path w="195114" h="292871">
                <a:moveTo>
                  <a:pt x="442" y="307"/>
                </a:moveTo>
                <a:lnTo>
                  <a:pt x="442" y="19832"/>
                </a:lnTo>
                <a:lnTo>
                  <a:pt x="19962" y="39358"/>
                </a:lnTo>
                <a:lnTo>
                  <a:pt x="39483" y="39358"/>
                </a:lnTo>
                <a:lnTo>
                  <a:pt x="58981" y="39358"/>
                </a:lnTo>
                <a:lnTo>
                  <a:pt x="78501" y="39358"/>
                </a:lnTo>
                <a:lnTo>
                  <a:pt x="97999" y="39358"/>
                </a:lnTo>
                <a:lnTo>
                  <a:pt x="117520" y="58881"/>
                </a:lnTo>
                <a:lnTo>
                  <a:pt x="137018" y="58881"/>
                </a:lnTo>
                <a:lnTo>
                  <a:pt x="137018" y="78406"/>
                </a:lnTo>
                <a:lnTo>
                  <a:pt x="137018" y="97932"/>
                </a:lnTo>
                <a:lnTo>
                  <a:pt x="137018" y="117455"/>
                </a:lnTo>
                <a:lnTo>
                  <a:pt x="117520" y="136981"/>
                </a:lnTo>
                <a:lnTo>
                  <a:pt x="117520" y="156506"/>
                </a:lnTo>
                <a:lnTo>
                  <a:pt x="137018" y="176029"/>
                </a:lnTo>
                <a:lnTo>
                  <a:pt x="137018" y="195555"/>
                </a:lnTo>
                <a:lnTo>
                  <a:pt x="137018" y="215078"/>
                </a:lnTo>
                <a:lnTo>
                  <a:pt x="137018" y="234603"/>
                </a:lnTo>
                <a:lnTo>
                  <a:pt x="137018" y="254129"/>
                </a:lnTo>
                <a:lnTo>
                  <a:pt x="156538" y="273652"/>
                </a:lnTo>
                <a:lnTo>
                  <a:pt x="176059" y="293178"/>
                </a:lnTo>
                <a:lnTo>
                  <a:pt x="195557" y="293178"/>
                </a:lnTo>
              </a:path>
            </a:pathLst>
          </a:custGeom>
          <a:noFill/>
          <a:ln w="1887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8" name="Forma libre: forma 10267">
            <a:extLst>
              <a:ext uri="{FF2B5EF4-FFF2-40B4-BE49-F238E27FC236}">
                <a16:creationId xmlns:a16="http://schemas.microsoft.com/office/drawing/2014/main" id="{00000000-0008-0000-0400-00001C280000}"/>
              </a:ext>
            </a:extLst>
          </xdr:cNvPr>
          <xdr:cNvSpPr/>
        </xdr:nvSpPr>
        <xdr:spPr>
          <a:xfrm>
            <a:off x="7588453" y="5256320"/>
            <a:ext cx="2216" cy="19523"/>
          </a:xfrm>
          <a:custGeom>
            <a:avLst/>
            <a:gdLst>
              <a:gd name="connsiteX0" fmla="*/ 442 w 2216"/>
              <a:gd name="connsiteY0" fmla="*/ 307 h 19523"/>
              <a:gd name="connsiteX1" fmla="*/ 442 w 2216"/>
              <a:gd name="connsiteY1" fmla="*/ 19830 h 19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16" h="19523">
                <a:moveTo>
                  <a:pt x="442" y="307"/>
                </a:moveTo>
                <a:lnTo>
                  <a:pt x="442" y="19830"/>
                </a:lnTo>
              </a:path>
            </a:pathLst>
          </a:custGeom>
          <a:noFill/>
          <a:ln w="18689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69" name="Forma libre: forma 10268">
            <a:extLst>
              <a:ext uri="{FF2B5EF4-FFF2-40B4-BE49-F238E27FC236}">
                <a16:creationId xmlns:a16="http://schemas.microsoft.com/office/drawing/2014/main" id="{00000000-0008-0000-0400-00001D280000}"/>
              </a:ext>
            </a:extLst>
          </xdr:cNvPr>
          <xdr:cNvSpPr/>
        </xdr:nvSpPr>
        <xdr:spPr>
          <a:xfrm>
            <a:off x="6925101" y="3962624"/>
            <a:ext cx="663440" cy="1293695"/>
          </a:xfrm>
          <a:custGeom>
            <a:avLst/>
            <a:gdLst>
              <a:gd name="connsiteX0" fmla="*/ 442 w 663440"/>
              <a:gd name="connsiteY0" fmla="*/ 307 h 1269103"/>
              <a:gd name="connsiteX1" fmla="*/ 19953 w 663440"/>
              <a:gd name="connsiteY1" fmla="*/ 19832 h 1269103"/>
              <a:gd name="connsiteX2" fmla="*/ 39465 w 663440"/>
              <a:gd name="connsiteY2" fmla="*/ 39356 h 1269103"/>
              <a:gd name="connsiteX3" fmla="*/ 58974 w 663440"/>
              <a:gd name="connsiteY3" fmla="*/ 58881 h 1269103"/>
              <a:gd name="connsiteX4" fmla="*/ 78486 w 663440"/>
              <a:gd name="connsiteY4" fmla="*/ 78406 h 1269103"/>
              <a:gd name="connsiteX5" fmla="*/ 97993 w 663440"/>
              <a:gd name="connsiteY5" fmla="*/ 78406 h 1269103"/>
              <a:gd name="connsiteX6" fmla="*/ 117513 w 663440"/>
              <a:gd name="connsiteY6" fmla="*/ 78406 h 1269103"/>
              <a:gd name="connsiteX7" fmla="*/ 137011 w 663440"/>
              <a:gd name="connsiteY7" fmla="*/ 58881 h 1269103"/>
              <a:gd name="connsiteX8" fmla="*/ 156532 w 663440"/>
              <a:gd name="connsiteY8" fmla="*/ 78406 h 1269103"/>
              <a:gd name="connsiteX9" fmla="*/ 176030 w 663440"/>
              <a:gd name="connsiteY9" fmla="*/ 78406 h 1269103"/>
              <a:gd name="connsiteX10" fmla="*/ 195550 w 663440"/>
              <a:gd name="connsiteY10" fmla="*/ 78406 h 1269103"/>
              <a:gd name="connsiteX11" fmla="*/ 215070 w 663440"/>
              <a:gd name="connsiteY11" fmla="*/ 78406 h 1269103"/>
              <a:gd name="connsiteX12" fmla="*/ 234568 w 663440"/>
              <a:gd name="connsiteY12" fmla="*/ 97930 h 1269103"/>
              <a:gd name="connsiteX13" fmla="*/ 234568 w 663440"/>
              <a:gd name="connsiteY13" fmla="*/ 117454 h 1269103"/>
              <a:gd name="connsiteX14" fmla="*/ 234568 w 663440"/>
              <a:gd name="connsiteY14" fmla="*/ 136979 h 1269103"/>
              <a:gd name="connsiteX15" fmla="*/ 254089 w 663440"/>
              <a:gd name="connsiteY15" fmla="*/ 156505 h 1269103"/>
              <a:gd name="connsiteX16" fmla="*/ 254089 w 663440"/>
              <a:gd name="connsiteY16" fmla="*/ 176028 h 1269103"/>
              <a:gd name="connsiteX17" fmla="*/ 273587 w 663440"/>
              <a:gd name="connsiteY17" fmla="*/ 195554 h 1269103"/>
              <a:gd name="connsiteX18" fmla="*/ 254089 w 663440"/>
              <a:gd name="connsiteY18" fmla="*/ 215079 h 1269103"/>
              <a:gd name="connsiteX19" fmla="*/ 254089 w 663440"/>
              <a:gd name="connsiteY19" fmla="*/ 234602 h 1269103"/>
              <a:gd name="connsiteX20" fmla="*/ 254089 w 663440"/>
              <a:gd name="connsiteY20" fmla="*/ 254128 h 1269103"/>
              <a:gd name="connsiteX21" fmla="*/ 254089 w 663440"/>
              <a:gd name="connsiteY21" fmla="*/ 273653 h 1269103"/>
              <a:gd name="connsiteX22" fmla="*/ 254089 w 663440"/>
              <a:gd name="connsiteY22" fmla="*/ 293176 h 1269103"/>
              <a:gd name="connsiteX23" fmla="*/ 273587 w 663440"/>
              <a:gd name="connsiteY23" fmla="*/ 312702 h 1269103"/>
              <a:gd name="connsiteX24" fmla="*/ 273587 w 663440"/>
              <a:gd name="connsiteY24" fmla="*/ 332225 h 1269103"/>
              <a:gd name="connsiteX25" fmla="*/ 273587 w 663440"/>
              <a:gd name="connsiteY25" fmla="*/ 351751 h 1269103"/>
              <a:gd name="connsiteX26" fmla="*/ 273587 w 663440"/>
              <a:gd name="connsiteY26" fmla="*/ 371276 h 1269103"/>
              <a:gd name="connsiteX27" fmla="*/ 273587 w 663440"/>
              <a:gd name="connsiteY27" fmla="*/ 390799 h 1269103"/>
              <a:gd name="connsiteX28" fmla="*/ 293107 w 663440"/>
              <a:gd name="connsiteY28" fmla="*/ 410325 h 1269103"/>
              <a:gd name="connsiteX29" fmla="*/ 312606 w 663440"/>
              <a:gd name="connsiteY29" fmla="*/ 429850 h 1269103"/>
              <a:gd name="connsiteX30" fmla="*/ 312606 w 663440"/>
              <a:gd name="connsiteY30" fmla="*/ 449374 h 1269103"/>
              <a:gd name="connsiteX31" fmla="*/ 312606 w 663440"/>
              <a:gd name="connsiteY31" fmla="*/ 468899 h 1269103"/>
              <a:gd name="connsiteX32" fmla="*/ 332126 w 663440"/>
              <a:gd name="connsiteY32" fmla="*/ 488425 h 1269103"/>
              <a:gd name="connsiteX33" fmla="*/ 351624 w 663440"/>
              <a:gd name="connsiteY33" fmla="*/ 507948 h 1269103"/>
              <a:gd name="connsiteX34" fmla="*/ 371144 w 663440"/>
              <a:gd name="connsiteY34" fmla="*/ 527473 h 1269103"/>
              <a:gd name="connsiteX35" fmla="*/ 390665 w 663440"/>
              <a:gd name="connsiteY35" fmla="*/ 527473 h 1269103"/>
              <a:gd name="connsiteX36" fmla="*/ 410163 w 663440"/>
              <a:gd name="connsiteY36" fmla="*/ 546997 h 1269103"/>
              <a:gd name="connsiteX37" fmla="*/ 429683 w 663440"/>
              <a:gd name="connsiteY37" fmla="*/ 566522 h 1269103"/>
              <a:gd name="connsiteX38" fmla="*/ 429683 w 663440"/>
              <a:gd name="connsiteY38" fmla="*/ 586048 h 1269103"/>
              <a:gd name="connsiteX39" fmla="*/ 429683 w 663440"/>
              <a:gd name="connsiteY39" fmla="*/ 605571 h 1269103"/>
              <a:gd name="connsiteX40" fmla="*/ 429683 w 663440"/>
              <a:gd name="connsiteY40" fmla="*/ 625096 h 1269103"/>
              <a:gd name="connsiteX41" fmla="*/ 449182 w 663440"/>
              <a:gd name="connsiteY41" fmla="*/ 644622 h 1269103"/>
              <a:gd name="connsiteX42" fmla="*/ 449182 w 663440"/>
              <a:gd name="connsiteY42" fmla="*/ 664145 h 1269103"/>
              <a:gd name="connsiteX43" fmla="*/ 429683 w 663440"/>
              <a:gd name="connsiteY43" fmla="*/ 683670 h 1269103"/>
              <a:gd name="connsiteX44" fmla="*/ 429683 w 663440"/>
              <a:gd name="connsiteY44" fmla="*/ 703194 h 1269103"/>
              <a:gd name="connsiteX45" fmla="*/ 429683 w 663440"/>
              <a:gd name="connsiteY45" fmla="*/ 722719 h 1269103"/>
              <a:gd name="connsiteX46" fmla="*/ 429683 w 663440"/>
              <a:gd name="connsiteY46" fmla="*/ 742245 h 1269103"/>
              <a:gd name="connsiteX47" fmla="*/ 429683 w 663440"/>
              <a:gd name="connsiteY47" fmla="*/ 761768 h 1269103"/>
              <a:gd name="connsiteX48" fmla="*/ 449182 w 663440"/>
              <a:gd name="connsiteY48" fmla="*/ 781293 h 1269103"/>
              <a:gd name="connsiteX49" fmla="*/ 468702 w 663440"/>
              <a:gd name="connsiteY49" fmla="*/ 781293 h 1269103"/>
              <a:gd name="connsiteX50" fmla="*/ 488200 w 663440"/>
              <a:gd name="connsiteY50" fmla="*/ 781293 h 1269103"/>
              <a:gd name="connsiteX51" fmla="*/ 507720 w 663440"/>
              <a:gd name="connsiteY51" fmla="*/ 800819 h 1269103"/>
              <a:gd name="connsiteX52" fmla="*/ 527241 w 663440"/>
              <a:gd name="connsiteY52" fmla="*/ 800819 h 1269103"/>
              <a:gd name="connsiteX53" fmla="*/ 546739 w 663440"/>
              <a:gd name="connsiteY53" fmla="*/ 820342 h 1269103"/>
              <a:gd name="connsiteX54" fmla="*/ 546739 w 663440"/>
              <a:gd name="connsiteY54" fmla="*/ 839868 h 1269103"/>
              <a:gd name="connsiteX55" fmla="*/ 527241 w 663440"/>
              <a:gd name="connsiteY55" fmla="*/ 859393 h 1269103"/>
              <a:gd name="connsiteX56" fmla="*/ 546739 w 663440"/>
              <a:gd name="connsiteY56" fmla="*/ 878916 h 1269103"/>
              <a:gd name="connsiteX57" fmla="*/ 546739 w 663440"/>
              <a:gd name="connsiteY57" fmla="*/ 898442 h 1269103"/>
              <a:gd name="connsiteX58" fmla="*/ 546739 w 663440"/>
              <a:gd name="connsiteY58" fmla="*/ 917965 h 1269103"/>
              <a:gd name="connsiteX59" fmla="*/ 527241 w 663440"/>
              <a:gd name="connsiteY59" fmla="*/ 937491 h 1269103"/>
              <a:gd name="connsiteX60" fmla="*/ 527241 w 663440"/>
              <a:gd name="connsiteY60" fmla="*/ 957016 h 1269103"/>
              <a:gd name="connsiteX61" fmla="*/ 527241 w 663440"/>
              <a:gd name="connsiteY61" fmla="*/ 976539 h 1269103"/>
              <a:gd name="connsiteX62" fmla="*/ 527241 w 663440"/>
              <a:gd name="connsiteY62" fmla="*/ 996065 h 1269103"/>
              <a:gd name="connsiteX63" fmla="*/ 527241 w 663440"/>
              <a:gd name="connsiteY63" fmla="*/ 1015590 h 1269103"/>
              <a:gd name="connsiteX64" fmla="*/ 507720 w 663440"/>
              <a:gd name="connsiteY64" fmla="*/ 1035113 h 1269103"/>
              <a:gd name="connsiteX65" fmla="*/ 527241 w 663440"/>
              <a:gd name="connsiteY65" fmla="*/ 1054639 h 1269103"/>
              <a:gd name="connsiteX66" fmla="*/ 527241 w 663440"/>
              <a:gd name="connsiteY66" fmla="*/ 1074164 h 1269103"/>
              <a:gd name="connsiteX67" fmla="*/ 527241 w 663440"/>
              <a:gd name="connsiteY67" fmla="*/ 1093688 h 1269103"/>
              <a:gd name="connsiteX68" fmla="*/ 527241 w 663440"/>
              <a:gd name="connsiteY68" fmla="*/ 1113213 h 1269103"/>
              <a:gd name="connsiteX69" fmla="*/ 527241 w 663440"/>
              <a:gd name="connsiteY69" fmla="*/ 1132736 h 1269103"/>
              <a:gd name="connsiteX70" fmla="*/ 527241 w 663440"/>
              <a:gd name="connsiteY70" fmla="*/ 1152262 h 1269103"/>
              <a:gd name="connsiteX71" fmla="*/ 546739 w 663440"/>
              <a:gd name="connsiteY71" fmla="*/ 1171787 h 1269103"/>
              <a:gd name="connsiteX72" fmla="*/ 566259 w 663440"/>
              <a:gd name="connsiteY72" fmla="*/ 1171787 h 1269103"/>
              <a:gd name="connsiteX73" fmla="*/ 585757 w 663440"/>
              <a:gd name="connsiteY73" fmla="*/ 1171787 h 1269103"/>
              <a:gd name="connsiteX74" fmla="*/ 605278 w 663440"/>
              <a:gd name="connsiteY74" fmla="*/ 1191311 h 1269103"/>
              <a:gd name="connsiteX75" fmla="*/ 624776 w 663440"/>
              <a:gd name="connsiteY75" fmla="*/ 1210836 h 1269103"/>
              <a:gd name="connsiteX76" fmla="*/ 644296 w 663440"/>
              <a:gd name="connsiteY76" fmla="*/ 1230362 h 1269103"/>
              <a:gd name="connsiteX77" fmla="*/ 663794 w 663440"/>
              <a:gd name="connsiteY77" fmla="*/ 1249885 h 1269103"/>
              <a:gd name="connsiteX78" fmla="*/ 663883 w 663440"/>
              <a:gd name="connsiteY78" fmla="*/ 1259492 h 1269103"/>
              <a:gd name="connsiteX79" fmla="*/ 663794 w 663440"/>
              <a:gd name="connsiteY79" fmla="*/ 1269410 h 126910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</a:cxnLst>
            <a:rect l="l" t="t" r="r" b="b"/>
            <a:pathLst>
              <a:path w="663440" h="1269103">
                <a:moveTo>
                  <a:pt x="442" y="307"/>
                </a:moveTo>
                <a:lnTo>
                  <a:pt x="19953" y="19832"/>
                </a:lnTo>
                <a:lnTo>
                  <a:pt x="39465" y="39356"/>
                </a:lnTo>
                <a:lnTo>
                  <a:pt x="58974" y="58881"/>
                </a:lnTo>
                <a:lnTo>
                  <a:pt x="78486" y="78406"/>
                </a:lnTo>
                <a:lnTo>
                  <a:pt x="97993" y="78406"/>
                </a:lnTo>
                <a:lnTo>
                  <a:pt x="117513" y="78406"/>
                </a:lnTo>
                <a:lnTo>
                  <a:pt x="137011" y="58881"/>
                </a:lnTo>
                <a:lnTo>
                  <a:pt x="156532" y="78406"/>
                </a:lnTo>
                <a:lnTo>
                  <a:pt x="176030" y="78406"/>
                </a:lnTo>
                <a:lnTo>
                  <a:pt x="195550" y="78406"/>
                </a:lnTo>
                <a:lnTo>
                  <a:pt x="215070" y="78406"/>
                </a:lnTo>
                <a:lnTo>
                  <a:pt x="234568" y="97930"/>
                </a:lnTo>
                <a:lnTo>
                  <a:pt x="234568" y="117454"/>
                </a:lnTo>
                <a:lnTo>
                  <a:pt x="234568" y="136979"/>
                </a:lnTo>
                <a:lnTo>
                  <a:pt x="254089" y="156505"/>
                </a:lnTo>
                <a:lnTo>
                  <a:pt x="254089" y="176028"/>
                </a:lnTo>
                <a:lnTo>
                  <a:pt x="273587" y="195554"/>
                </a:lnTo>
                <a:lnTo>
                  <a:pt x="254089" y="215079"/>
                </a:lnTo>
                <a:lnTo>
                  <a:pt x="254089" y="234602"/>
                </a:lnTo>
                <a:lnTo>
                  <a:pt x="254089" y="254128"/>
                </a:lnTo>
                <a:lnTo>
                  <a:pt x="254089" y="273653"/>
                </a:lnTo>
                <a:lnTo>
                  <a:pt x="254089" y="293176"/>
                </a:lnTo>
                <a:lnTo>
                  <a:pt x="273587" y="312702"/>
                </a:lnTo>
                <a:lnTo>
                  <a:pt x="273587" y="332225"/>
                </a:lnTo>
                <a:lnTo>
                  <a:pt x="273587" y="351751"/>
                </a:lnTo>
                <a:lnTo>
                  <a:pt x="273587" y="371276"/>
                </a:lnTo>
                <a:lnTo>
                  <a:pt x="273587" y="390799"/>
                </a:lnTo>
                <a:lnTo>
                  <a:pt x="293107" y="410325"/>
                </a:lnTo>
                <a:lnTo>
                  <a:pt x="312606" y="429850"/>
                </a:lnTo>
                <a:lnTo>
                  <a:pt x="312606" y="449374"/>
                </a:lnTo>
                <a:lnTo>
                  <a:pt x="312606" y="468899"/>
                </a:lnTo>
                <a:lnTo>
                  <a:pt x="332126" y="488425"/>
                </a:lnTo>
                <a:lnTo>
                  <a:pt x="351624" y="507948"/>
                </a:lnTo>
                <a:lnTo>
                  <a:pt x="371144" y="527473"/>
                </a:lnTo>
                <a:lnTo>
                  <a:pt x="390665" y="527473"/>
                </a:lnTo>
                <a:lnTo>
                  <a:pt x="410163" y="546997"/>
                </a:lnTo>
                <a:lnTo>
                  <a:pt x="429683" y="566522"/>
                </a:lnTo>
                <a:lnTo>
                  <a:pt x="429683" y="586048"/>
                </a:lnTo>
                <a:lnTo>
                  <a:pt x="429683" y="605571"/>
                </a:lnTo>
                <a:lnTo>
                  <a:pt x="429683" y="625096"/>
                </a:lnTo>
                <a:lnTo>
                  <a:pt x="449182" y="644622"/>
                </a:lnTo>
                <a:lnTo>
                  <a:pt x="449182" y="664145"/>
                </a:lnTo>
                <a:lnTo>
                  <a:pt x="429683" y="683670"/>
                </a:lnTo>
                <a:lnTo>
                  <a:pt x="429683" y="703194"/>
                </a:lnTo>
                <a:lnTo>
                  <a:pt x="429683" y="722719"/>
                </a:lnTo>
                <a:lnTo>
                  <a:pt x="429683" y="742245"/>
                </a:lnTo>
                <a:lnTo>
                  <a:pt x="429683" y="761768"/>
                </a:lnTo>
                <a:lnTo>
                  <a:pt x="449182" y="781293"/>
                </a:lnTo>
                <a:lnTo>
                  <a:pt x="468702" y="781293"/>
                </a:lnTo>
                <a:lnTo>
                  <a:pt x="488200" y="781293"/>
                </a:lnTo>
                <a:lnTo>
                  <a:pt x="507720" y="800819"/>
                </a:lnTo>
                <a:lnTo>
                  <a:pt x="527241" y="800819"/>
                </a:lnTo>
                <a:lnTo>
                  <a:pt x="546739" y="820342"/>
                </a:lnTo>
                <a:lnTo>
                  <a:pt x="546739" y="839868"/>
                </a:lnTo>
                <a:lnTo>
                  <a:pt x="527241" y="859393"/>
                </a:lnTo>
                <a:lnTo>
                  <a:pt x="546739" y="878916"/>
                </a:lnTo>
                <a:lnTo>
                  <a:pt x="546739" y="898442"/>
                </a:lnTo>
                <a:lnTo>
                  <a:pt x="546739" y="917965"/>
                </a:lnTo>
                <a:lnTo>
                  <a:pt x="527241" y="937491"/>
                </a:lnTo>
                <a:lnTo>
                  <a:pt x="527241" y="957016"/>
                </a:lnTo>
                <a:lnTo>
                  <a:pt x="527241" y="976539"/>
                </a:lnTo>
                <a:lnTo>
                  <a:pt x="527241" y="996065"/>
                </a:lnTo>
                <a:lnTo>
                  <a:pt x="527241" y="1015590"/>
                </a:lnTo>
                <a:lnTo>
                  <a:pt x="507720" y="1035113"/>
                </a:lnTo>
                <a:lnTo>
                  <a:pt x="527241" y="1054639"/>
                </a:lnTo>
                <a:lnTo>
                  <a:pt x="527241" y="1074164"/>
                </a:lnTo>
                <a:lnTo>
                  <a:pt x="527241" y="1093688"/>
                </a:lnTo>
                <a:lnTo>
                  <a:pt x="527241" y="1113213"/>
                </a:lnTo>
                <a:lnTo>
                  <a:pt x="527241" y="1132736"/>
                </a:lnTo>
                <a:lnTo>
                  <a:pt x="527241" y="1152262"/>
                </a:lnTo>
                <a:lnTo>
                  <a:pt x="546739" y="1171787"/>
                </a:lnTo>
                <a:lnTo>
                  <a:pt x="566259" y="1171787"/>
                </a:lnTo>
                <a:lnTo>
                  <a:pt x="585757" y="1171787"/>
                </a:lnTo>
                <a:lnTo>
                  <a:pt x="605278" y="1191311"/>
                </a:lnTo>
                <a:lnTo>
                  <a:pt x="624776" y="1210836"/>
                </a:lnTo>
                <a:lnTo>
                  <a:pt x="644296" y="1230362"/>
                </a:lnTo>
                <a:lnTo>
                  <a:pt x="663794" y="1249885"/>
                </a:lnTo>
                <a:lnTo>
                  <a:pt x="663883" y="1259492"/>
                </a:lnTo>
                <a:lnTo>
                  <a:pt x="663794" y="1269410"/>
                </a:lnTo>
              </a:path>
            </a:pathLst>
          </a:custGeom>
          <a:noFill/>
          <a:ln w="1850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70" name="Forma libre: forma 10269">
            <a:extLst>
              <a:ext uri="{FF2B5EF4-FFF2-40B4-BE49-F238E27FC236}">
                <a16:creationId xmlns:a16="http://schemas.microsoft.com/office/drawing/2014/main" id="{00000000-0008-0000-0400-00001E280000}"/>
              </a:ext>
            </a:extLst>
          </xdr:cNvPr>
          <xdr:cNvSpPr/>
        </xdr:nvSpPr>
        <xdr:spPr>
          <a:xfrm>
            <a:off x="6764331" y="3459408"/>
            <a:ext cx="160769" cy="503322"/>
          </a:xfrm>
          <a:custGeom>
            <a:avLst/>
            <a:gdLst>
              <a:gd name="connsiteX0" fmla="*/ 19954 w 156085"/>
              <a:gd name="connsiteY0" fmla="*/ 307 h 492785"/>
              <a:gd name="connsiteX1" fmla="*/ 19954 w 156085"/>
              <a:gd name="connsiteY1" fmla="*/ 4870 h 492785"/>
              <a:gd name="connsiteX2" fmla="*/ 19954 w 156085"/>
              <a:gd name="connsiteY2" fmla="*/ 24393 h 492785"/>
              <a:gd name="connsiteX3" fmla="*/ 442 w 156085"/>
              <a:gd name="connsiteY3" fmla="*/ 43919 h 492785"/>
              <a:gd name="connsiteX4" fmla="*/ 19954 w 156085"/>
              <a:gd name="connsiteY4" fmla="*/ 63444 h 492785"/>
              <a:gd name="connsiteX5" fmla="*/ 39463 w 156085"/>
              <a:gd name="connsiteY5" fmla="*/ 82968 h 492785"/>
              <a:gd name="connsiteX6" fmla="*/ 39463 w 156085"/>
              <a:gd name="connsiteY6" fmla="*/ 102493 h 492785"/>
              <a:gd name="connsiteX7" fmla="*/ 39463 w 156085"/>
              <a:gd name="connsiteY7" fmla="*/ 122018 h 492785"/>
              <a:gd name="connsiteX8" fmla="*/ 58974 w 156085"/>
              <a:gd name="connsiteY8" fmla="*/ 141542 h 492785"/>
              <a:gd name="connsiteX9" fmla="*/ 39463 w 156085"/>
              <a:gd name="connsiteY9" fmla="*/ 161067 h 492785"/>
              <a:gd name="connsiteX10" fmla="*/ 39463 w 156085"/>
              <a:gd name="connsiteY10" fmla="*/ 180592 h 492785"/>
              <a:gd name="connsiteX11" fmla="*/ 58974 w 156085"/>
              <a:gd name="connsiteY11" fmla="*/ 200116 h 492785"/>
              <a:gd name="connsiteX12" fmla="*/ 58974 w 156085"/>
              <a:gd name="connsiteY12" fmla="*/ 219641 h 492785"/>
              <a:gd name="connsiteX13" fmla="*/ 78486 w 156085"/>
              <a:gd name="connsiteY13" fmla="*/ 239166 h 492785"/>
              <a:gd name="connsiteX14" fmla="*/ 78486 w 156085"/>
              <a:gd name="connsiteY14" fmla="*/ 258690 h 492785"/>
              <a:gd name="connsiteX15" fmla="*/ 78486 w 156085"/>
              <a:gd name="connsiteY15" fmla="*/ 278215 h 492785"/>
              <a:gd name="connsiteX16" fmla="*/ 78486 w 156085"/>
              <a:gd name="connsiteY16" fmla="*/ 297740 h 492785"/>
              <a:gd name="connsiteX17" fmla="*/ 97995 w 156085"/>
              <a:gd name="connsiteY17" fmla="*/ 317264 h 492785"/>
              <a:gd name="connsiteX18" fmla="*/ 78486 w 156085"/>
              <a:gd name="connsiteY18" fmla="*/ 336789 h 492785"/>
              <a:gd name="connsiteX19" fmla="*/ 97995 w 156085"/>
              <a:gd name="connsiteY19" fmla="*/ 356314 h 492785"/>
              <a:gd name="connsiteX20" fmla="*/ 117506 w 156085"/>
              <a:gd name="connsiteY20" fmla="*/ 375838 h 492785"/>
              <a:gd name="connsiteX21" fmla="*/ 97995 w 156085"/>
              <a:gd name="connsiteY21" fmla="*/ 395363 h 492785"/>
              <a:gd name="connsiteX22" fmla="*/ 97995 w 156085"/>
              <a:gd name="connsiteY22" fmla="*/ 414888 h 492785"/>
              <a:gd name="connsiteX23" fmla="*/ 117506 w 156085"/>
              <a:gd name="connsiteY23" fmla="*/ 434412 h 492785"/>
              <a:gd name="connsiteX24" fmla="*/ 117506 w 156085"/>
              <a:gd name="connsiteY24" fmla="*/ 453937 h 492785"/>
              <a:gd name="connsiteX25" fmla="*/ 117506 w 156085"/>
              <a:gd name="connsiteY25" fmla="*/ 473462 h 492785"/>
              <a:gd name="connsiteX26" fmla="*/ 137018 w 156085"/>
              <a:gd name="connsiteY26" fmla="*/ 492986 h 492785"/>
              <a:gd name="connsiteX27" fmla="*/ 144348 w 156085"/>
              <a:gd name="connsiteY27" fmla="*/ 493092 h 492785"/>
              <a:gd name="connsiteX28" fmla="*/ 156527 w 156085"/>
              <a:gd name="connsiteY28" fmla="*/ 492986 h 4927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</a:cxnLst>
            <a:rect l="l" t="t" r="r" b="b"/>
            <a:pathLst>
              <a:path w="156085" h="492785">
                <a:moveTo>
                  <a:pt x="19954" y="307"/>
                </a:moveTo>
                <a:lnTo>
                  <a:pt x="19954" y="4870"/>
                </a:lnTo>
                <a:lnTo>
                  <a:pt x="19954" y="24393"/>
                </a:lnTo>
                <a:lnTo>
                  <a:pt x="442" y="43919"/>
                </a:lnTo>
                <a:lnTo>
                  <a:pt x="19954" y="63444"/>
                </a:lnTo>
                <a:lnTo>
                  <a:pt x="39463" y="82968"/>
                </a:lnTo>
                <a:lnTo>
                  <a:pt x="39463" y="102493"/>
                </a:lnTo>
                <a:lnTo>
                  <a:pt x="39463" y="122018"/>
                </a:lnTo>
                <a:lnTo>
                  <a:pt x="58974" y="141542"/>
                </a:lnTo>
                <a:lnTo>
                  <a:pt x="39463" y="161067"/>
                </a:lnTo>
                <a:lnTo>
                  <a:pt x="39463" y="180592"/>
                </a:lnTo>
                <a:lnTo>
                  <a:pt x="58974" y="200116"/>
                </a:lnTo>
                <a:lnTo>
                  <a:pt x="58974" y="219641"/>
                </a:lnTo>
                <a:lnTo>
                  <a:pt x="78486" y="239166"/>
                </a:lnTo>
                <a:lnTo>
                  <a:pt x="78486" y="258690"/>
                </a:lnTo>
                <a:lnTo>
                  <a:pt x="78486" y="278215"/>
                </a:lnTo>
                <a:lnTo>
                  <a:pt x="78486" y="297740"/>
                </a:lnTo>
                <a:lnTo>
                  <a:pt x="97995" y="317264"/>
                </a:lnTo>
                <a:lnTo>
                  <a:pt x="78486" y="336789"/>
                </a:lnTo>
                <a:lnTo>
                  <a:pt x="97995" y="356314"/>
                </a:lnTo>
                <a:lnTo>
                  <a:pt x="117506" y="375838"/>
                </a:lnTo>
                <a:lnTo>
                  <a:pt x="97995" y="395363"/>
                </a:lnTo>
                <a:lnTo>
                  <a:pt x="97995" y="414888"/>
                </a:lnTo>
                <a:lnTo>
                  <a:pt x="117506" y="434412"/>
                </a:lnTo>
                <a:lnTo>
                  <a:pt x="117506" y="453937"/>
                </a:lnTo>
                <a:lnTo>
                  <a:pt x="117506" y="473462"/>
                </a:lnTo>
                <a:lnTo>
                  <a:pt x="137018" y="492986"/>
                </a:lnTo>
                <a:lnTo>
                  <a:pt x="144348" y="493092"/>
                </a:lnTo>
                <a:lnTo>
                  <a:pt x="156527" y="492986"/>
                </a:lnTo>
              </a:path>
            </a:pathLst>
          </a:custGeom>
          <a:noFill/>
          <a:ln w="1794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76" name="Forma libre: forma 10275">
            <a:extLst>
              <a:ext uri="{FF2B5EF4-FFF2-40B4-BE49-F238E27FC236}">
                <a16:creationId xmlns:a16="http://schemas.microsoft.com/office/drawing/2014/main" id="{00000000-0008-0000-0400-000024280000}"/>
              </a:ext>
            </a:extLst>
          </xdr:cNvPr>
          <xdr:cNvSpPr/>
        </xdr:nvSpPr>
        <xdr:spPr>
          <a:xfrm>
            <a:off x="5510967" y="5077085"/>
            <a:ext cx="507275" cy="140185"/>
          </a:xfrm>
          <a:custGeom>
            <a:avLst/>
            <a:gdLst>
              <a:gd name="connsiteX0" fmla="*/ 442 w 507275"/>
              <a:gd name="connsiteY0" fmla="*/ 39356 h 136673"/>
              <a:gd name="connsiteX1" fmla="*/ 19951 w 507275"/>
              <a:gd name="connsiteY1" fmla="*/ 39356 h 136673"/>
              <a:gd name="connsiteX2" fmla="*/ 39463 w 507275"/>
              <a:gd name="connsiteY2" fmla="*/ 39356 h 136673"/>
              <a:gd name="connsiteX3" fmla="*/ 58972 w 507275"/>
              <a:gd name="connsiteY3" fmla="*/ 39356 h 136673"/>
              <a:gd name="connsiteX4" fmla="*/ 78484 w 507275"/>
              <a:gd name="connsiteY4" fmla="*/ 19832 h 136673"/>
              <a:gd name="connsiteX5" fmla="*/ 97995 w 507275"/>
              <a:gd name="connsiteY5" fmla="*/ 39356 h 136673"/>
              <a:gd name="connsiteX6" fmla="*/ 117504 w 507275"/>
              <a:gd name="connsiteY6" fmla="*/ 39356 h 136673"/>
              <a:gd name="connsiteX7" fmla="*/ 137016 w 507275"/>
              <a:gd name="connsiteY7" fmla="*/ 39356 h 136673"/>
              <a:gd name="connsiteX8" fmla="*/ 156527 w 507275"/>
              <a:gd name="connsiteY8" fmla="*/ 39356 h 136673"/>
              <a:gd name="connsiteX9" fmla="*/ 176037 w 507275"/>
              <a:gd name="connsiteY9" fmla="*/ 19832 h 136673"/>
              <a:gd name="connsiteX10" fmla="*/ 195548 w 507275"/>
              <a:gd name="connsiteY10" fmla="*/ 307 h 136673"/>
              <a:gd name="connsiteX11" fmla="*/ 215060 w 507275"/>
              <a:gd name="connsiteY11" fmla="*/ 307 h 136673"/>
              <a:gd name="connsiteX12" fmla="*/ 234569 w 507275"/>
              <a:gd name="connsiteY12" fmla="*/ 307 h 136673"/>
              <a:gd name="connsiteX13" fmla="*/ 254080 w 507275"/>
              <a:gd name="connsiteY13" fmla="*/ 19832 h 136673"/>
              <a:gd name="connsiteX14" fmla="*/ 273589 w 507275"/>
              <a:gd name="connsiteY14" fmla="*/ 19832 h 136673"/>
              <a:gd name="connsiteX15" fmla="*/ 293101 w 507275"/>
              <a:gd name="connsiteY15" fmla="*/ 19832 h 136673"/>
              <a:gd name="connsiteX16" fmla="*/ 312612 w 507275"/>
              <a:gd name="connsiteY16" fmla="*/ 39356 h 136673"/>
              <a:gd name="connsiteX17" fmla="*/ 332122 w 507275"/>
              <a:gd name="connsiteY17" fmla="*/ 58881 h 136673"/>
              <a:gd name="connsiteX18" fmla="*/ 351633 w 507275"/>
              <a:gd name="connsiteY18" fmla="*/ 58881 h 136673"/>
              <a:gd name="connsiteX19" fmla="*/ 371145 w 507275"/>
              <a:gd name="connsiteY19" fmla="*/ 78406 h 136673"/>
              <a:gd name="connsiteX20" fmla="*/ 390654 w 507275"/>
              <a:gd name="connsiteY20" fmla="*/ 97930 h 136673"/>
              <a:gd name="connsiteX21" fmla="*/ 410165 w 507275"/>
              <a:gd name="connsiteY21" fmla="*/ 117455 h 136673"/>
              <a:gd name="connsiteX22" fmla="*/ 429677 w 507275"/>
              <a:gd name="connsiteY22" fmla="*/ 117455 h 136673"/>
              <a:gd name="connsiteX23" fmla="*/ 449186 w 507275"/>
              <a:gd name="connsiteY23" fmla="*/ 117455 h 136673"/>
              <a:gd name="connsiteX24" fmla="*/ 468697 w 507275"/>
              <a:gd name="connsiteY24" fmla="*/ 136981 h 136673"/>
              <a:gd name="connsiteX25" fmla="*/ 488207 w 507275"/>
              <a:gd name="connsiteY25" fmla="*/ 136981 h 136673"/>
              <a:gd name="connsiteX26" fmla="*/ 507718 w 507275"/>
              <a:gd name="connsiteY26" fmla="*/ 136981 h 13667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507275" h="136673">
                <a:moveTo>
                  <a:pt x="442" y="39356"/>
                </a:moveTo>
                <a:lnTo>
                  <a:pt x="19951" y="39356"/>
                </a:lnTo>
                <a:lnTo>
                  <a:pt x="39463" y="39356"/>
                </a:lnTo>
                <a:lnTo>
                  <a:pt x="58972" y="39356"/>
                </a:lnTo>
                <a:lnTo>
                  <a:pt x="78484" y="19832"/>
                </a:lnTo>
                <a:lnTo>
                  <a:pt x="97995" y="39356"/>
                </a:lnTo>
                <a:lnTo>
                  <a:pt x="117504" y="39356"/>
                </a:lnTo>
                <a:lnTo>
                  <a:pt x="137016" y="39356"/>
                </a:lnTo>
                <a:lnTo>
                  <a:pt x="156527" y="39356"/>
                </a:lnTo>
                <a:lnTo>
                  <a:pt x="176037" y="19832"/>
                </a:lnTo>
                <a:lnTo>
                  <a:pt x="195548" y="307"/>
                </a:lnTo>
                <a:lnTo>
                  <a:pt x="215060" y="307"/>
                </a:lnTo>
                <a:lnTo>
                  <a:pt x="234569" y="307"/>
                </a:lnTo>
                <a:lnTo>
                  <a:pt x="254080" y="19832"/>
                </a:lnTo>
                <a:lnTo>
                  <a:pt x="273589" y="19832"/>
                </a:lnTo>
                <a:lnTo>
                  <a:pt x="293101" y="19832"/>
                </a:lnTo>
                <a:lnTo>
                  <a:pt x="312612" y="39356"/>
                </a:lnTo>
                <a:lnTo>
                  <a:pt x="332122" y="58881"/>
                </a:lnTo>
                <a:lnTo>
                  <a:pt x="351633" y="58881"/>
                </a:lnTo>
                <a:lnTo>
                  <a:pt x="371145" y="78406"/>
                </a:lnTo>
                <a:lnTo>
                  <a:pt x="390654" y="97930"/>
                </a:lnTo>
                <a:lnTo>
                  <a:pt x="410165" y="117455"/>
                </a:lnTo>
                <a:lnTo>
                  <a:pt x="429677" y="117455"/>
                </a:lnTo>
                <a:lnTo>
                  <a:pt x="449186" y="117455"/>
                </a:lnTo>
                <a:lnTo>
                  <a:pt x="468697" y="136981"/>
                </a:lnTo>
                <a:lnTo>
                  <a:pt x="488207" y="136981"/>
                </a:lnTo>
                <a:lnTo>
                  <a:pt x="507718" y="136981"/>
                </a:lnTo>
              </a:path>
            </a:pathLst>
          </a:custGeom>
          <a:noFill/>
          <a:ln w="1457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77" name="Forma libre: forma 10276">
            <a:extLst>
              <a:ext uri="{FF2B5EF4-FFF2-40B4-BE49-F238E27FC236}">
                <a16:creationId xmlns:a16="http://schemas.microsoft.com/office/drawing/2014/main" id="{00000000-0008-0000-0400-000025280000}"/>
              </a:ext>
            </a:extLst>
          </xdr:cNvPr>
          <xdr:cNvSpPr/>
        </xdr:nvSpPr>
        <xdr:spPr>
          <a:xfrm>
            <a:off x="5374391" y="4878324"/>
            <a:ext cx="136575" cy="237809"/>
          </a:xfrm>
          <a:custGeom>
            <a:avLst/>
            <a:gdLst>
              <a:gd name="connsiteX0" fmla="*/ 442 w 136575"/>
              <a:gd name="connsiteY0" fmla="*/ 307 h 234294"/>
              <a:gd name="connsiteX1" fmla="*/ 442 w 136575"/>
              <a:gd name="connsiteY1" fmla="*/ 19830 h 234294"/>
              <a:gd name="connsiteX2" fmla="*/ 442 w 136575"/>
              <a:gd name="connsiteY2" fmla="*/ 39355 h 234294"/>
              <a:gd name="connsiteX3" fmla="*/ 19954 w 136575"/>
              <a:gd name="connsiteY3" fmla="*/ 58881 h 234294"/>
              <a:gd name="connsiteX4" fmla="*/ 19954 w 136575"/>
              <a:gd name="connsiteY4" fmla="*/ 78404 h 234294"/>
              <a:gd name="connsiteX5" fmla="*/ 39463 w 136575"/>
              <a:gd name="connsiteY5" fmla="*/ 97930 h 234294"/>
              <a:gd name="connsiteX6" fmla="*/ 58974 w 136575"/>
              <a:gd name="connsiteY6" fmla="*/ 117455 h 234294"/>
              <a:gd name="connsiteX7" fmla="*/ 78486 w 136575"/>
              <a:gd name="connsiteY7" fmla="*/ 136978 h 234294"/>
              <a:gd name="connsiteX8" fmla="*/ 78486 w 136575"/>
              <a:gd name="connsiteY8" fmla="*/ 156504 h 234294"/>
              <a:gd name="connsiteX9" fmla="*/ 97995 w 136575"/>
              <a:gd name="connsiteY9" fmla="*/ 176029 h 234294"/>
              <a:gd name="connsiteX10" fmla="*/ 117507 w 136575"/>
              <a:gd name="connsiteY10" fmla="*/ 195553 h 234294"/>
              <a:gd name="connsiteX11" fmla="*/ 117507 w 136575"/>
              <a:gd name="connsiteY11" fmla="*/ 215078 h 234294"/>
              <a:gd name="connsiteX12" fmla="*/ 125288 w 136575"/>
              <a:gd name="connsiteY12" fmla="*/ 223233 h 234294"/>
              <a:gd name="connsiteX13" fmla="*/ 137018 w 136575"/>
              <a:gd name="connsiteY13" fmla="*/ 234601 h 2342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136575" h="234294">
                <a:moveTo>
                  <a:pt x="442" y="307"/>
                </a:moveTo>
                <a:lnTo>
                  <a:pt x="442" y="19830"/>
                </a:lnTo>
                <a:lnTo>
                  <a:pt x="442" y="39355"/>
                </a:lnTo>
                <a:lnTo>
                  <a:pt x="19954" y="58881"/>
                </a:lnTo>
                <a:lnTo>
                  <a:pt x="19954" y="78404"/>
                </a:lnTo>
                <a:lnTo>
                  <a:pt x="39463" y="97930"/>
                </a:lnTo>
                <a:lnTo>
                  <a:pt x="58974" y="117455"/>
                </a:lnTo>
                <a:lnTo>
                  <a:pt x="78486" y="136978"/>
                </a:lnTo>
                <a:lnTo>
                  <a:pt x="78486" y="156504"/>
                </a:lnTo>
                <a:lnTo>
                  <a:pt x="97995" y="176029"/>
                </a:lnTo>
                <a:lnTo>
                  <a:pt x="117507" y="195553"/>
                </a:lnTo>
                <a:lnTo>
                  <a:pt x="117507" y="215078"/>
                </a:lnTo>
                <a:lnTo>
                  <a:pt x="125288" y="223233"/>
                </a:lnTo>
                <a:lnTo>
                  <a:pt x="137018" y="234601"/>
                </a:lnTo>
              </a:path>
            </a:pathLst>
          </a:custGeom>
          <a:noFill/>
          <a:ln w="1282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78" name="Forma libre: forma 10277">
            <a:extLst>
              <a:ext uri="{FF2B5EF4-FFF2-40B4-BE49-F238E27FC236}">
                <a16:creationId xmlns:a16="http://schemas.microsoft.com/office/drawing/2014/main" id="{00000000-0008-0000-0400-000026280000}"/>
              </a:ext>
            </a:extLst>
          </xdr:cNvPr>
          <xdr:cNvSpPr/>
        </xdr:nvSpPr>
        <xdr:spPr>
          <a:xfrm>
            <a:off x="5354882" y="4796712"/>
            <a:ext cx="19509" cy="81611"/>
          </a:xfrm>
          <a:custGeom>
            <a:avLst/>
            <a:gdLst>
              <a:gd name="connsiteX0" fmla="*/ 442 w 19509"/>
              <a:gd name="connsiteY0" fmla="*/ 307 h 78099"/>
              <a:gd name="connsiteX1" fmla="*/ 442 w 19509"/>
              <a:gd name="connsiteY1" fmla="*/ 19832 h 78099"/>
              <a:gd name="connsiteX2" fmla="*/ 19952 w 19509"/>
              <a:gd name="connsiteY2" fmla="*/ 39358 h 78099"/>
              <a:gd name="connsiteX3" fmla="*/ 19952 w 19509"/>
              <a:gd name="connsiteY3" fmla="*/ 58881 h 78099"/>
              <a:gd name="connsiteX4" fmla="*/ 19952 w 19509"/>
              <a:gd name="connsiteY4" fmla="*/ 78406 h 780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9509" h="78099">
                <a:moveTo>
                  <a:pt x="442" y="307"/>
                </a:moveTo>
                <a:lnTo>
                  <a:pt x="442" y="19832"/>
                </a:lnTo>
                <a:lnTo>
                  <a:pt x="19952" y="39358"/>
                </a:lnTo>
                <a:lnTo>
                  <a:pt x="19952" y="58881"/>
                </a:lnTo>
                <a:lnTo>
                  <a:pt x="19952" y="78406"/>
                </a:lnTo>
              </a:path>
            </a:pathLst>
          </a:custGeom>
          <a:noFill/>
          <a:ln w="1255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79" name="Forma libre: forma 10278">
            <a:extLst>
              <a:ext uri="{FF2B5EF4-FFF2-40B4-BE49-F238E27FC236}">
                <a16:creationId xmlns:a16="http://schemas.microsoft.com/office/drawing/2014/main" id="{00000000-0008-0000-0400-000027280000}"/>
              </a:ext>
            </a:extLst>
          </xdr:cNvPr>
          <xdr:cNvSpPr/>
        </xdr:nvSpPr>
        <xdr:spPr>
          <a:xfrm>
            <a:off x="5194110" y="4777189"/>
            <a:ext cx="160771" cy="19523"/>
          </a:xfrm>
          <a:custGeom>
            <a:avLst/>
            <a:gdLst>
              <a:gd name="connsiteX0" fmla="*/ 442 w 156087"/>
              <a:gd name="connsiteY0" fmla="*/ 307 h 19523"/>
              <a:gd name="connsiteX1" fmla="*/ 19954 w 156087"/>
              <a:gd name="connsiteY1" fmla="*/ 307 h 19523"/>
              <a:gd name="connsiteX2" fmla="*/ 39465 w 156087"/>
              <a:gd name="connsiteY2" fmla="*/ 307 h 19523"/>
              <a:gd name="connsiteX3" fmla="*/ 58974 w 156087"/>
              <a:gd name="connsiteY3" fmla="*/ 307 h 19523"/>
              <a:gd name="connsiteX4" fmla="*/ 78486 w 156087"/>
              <a:gd name="connsiteY4" fmla="*/ 307 h 19523"/>
              <a:gd name="connsiteX5" fmla="*/ 97997 w 156087"/>
              <a:gd name="connsiteY5" fmla="*/ 19830 h 19523"/>
              <a:gd name="connsiteX6" fmla="*/ 117507 w 156087"/>
              <a:gd name="connsiteY6" fmla="*/ 19830 h 19523"/>
              <a:gd name="connsiteX7" fmla="*/ 137018 w 156087"/>
              <a:gd name="connsiteY7" fmla="*/ 307 h 19523"/>
              <a:gd name="connsiteX8" fmla="*/ 145644 w 156087"/>
              <a:gd name="connsiteY8" fmla="*/ 9987 h 19523"/>
              <a:gd name="connsiteX9" fmla="*/ 156530 w 156087"/>
              <a:gd name="connsiteY9" fmla="*/ 19830 h 19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56087" h="19523">
                <a:moveTo>
                  <a:pt x="442" y="307"/>
                </a:moveTo>
                <a:lnTo>
                  <a:pt x="19954" y="307"/>
                </a:lnTo>
                <a:lnTo>
                  <a:pt x="39465" y="307"/>
                </a:lnTo>
                <a:lnTo>
                  <a:pt x="58974" y="307"/>
                </a:lnTo>
                <a:lnTo>
                  <a:pt x="78486" y="307"/>
                </a:lnTo>
                <a:lnTo>
                  <a:pt x="97997" y="19830"/>
                </a:lnTo>
                <a:lnTo>
                  <a:pt x="117507" y="19830"/>
                </a:lnTo>
                <a:lnTo>
                  <a:pt x="137018" y="307"/>
                </a:lnTo>
                <a:lnTo>
                  <a:pt x="145644" y="9987"/>
                </a:lnTo>
                <a:lnTo>
                  <a:pt x="156530" y="19830"/>
                </a:lnTo>
              </a:path>
            </a:pathLst>
          </a:custGeom>
          <a:noFill/>
          <a:ln w="11703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0" name="Forma libre: forma 10279">
            <a:extLst>
              <a:ext uri="{FF2B5EF4-FFF2-40B4-BE49-F238E27FC236}">
                <a16:creationId xmlns:a16="http://schemas.microsoft.com/office/drawing/2014/main" id="{00000000-0008-0000-0400-000028280000}"/>
              </a:ext>
            </a:extLst>
          </xdr:cNvPr>
          <xdr:cNvSpPr/>
        </xdr:nvSpPr>
        <xdr:spPr>
          <a:xfrm>
            <a:off x="6715803" y="5275843"/>
            <a:ext cx="1052950" cy="377996"/>
          </a:xfrm>
          <a:custGeom>
            <a:avLst/>
            <a:gdLst>
              <a:gd name="connsiteX0" fmla="*/ 442 w 1043582"/>
              <a:gd name="connsiteY0" fmla="*/ 2797 h 370970"/>
              <a:gd name="connsiteX1" fmla="*/ 29461 w 1043582"/>
              <a:gd name="connsiteY1" fmla="*/ 307 h 370970"/>
              <a:gd name="connsiteX2" fmla="*/ 48970 w 1043582"/>
              <a:gd name="connsiteY2" fmla="*/ 19832 h 370970"/>
              <a:gd name="connsiteX3" fmla="*/ 68482 w 1043582"/>
              <a:gd name="connsiteY3" fmla="*/ 39358 h 370970"/>
              <a:gd name="connsiteX4" fmla="*/ 87991 w 1043582"/>
              <a:gd name="connsiteY4" fmla="*/ 39358 h 370970"/>
              <a:gd name="connsiteX5" fmla="*/ 107502 w 1043582"/>
              <a:gd name="connsiteY5" fmla="*/ 58881 h 370970"/>
              <a:gd name="connsiteX6" fmla="*/ 127014 w 1043582"/>
              <a:gd name="connsiteY6" fmla="*/ 78406 h 370970"/>
              <a:gd name="connsiteX7" fmla="*/ 146523 w 1043582"/>
              <a:gd name="connsiteY7" fmla="*/ 97932 h 370970"/>
              <a:gd name="connsiteX8" fmla="*/ 166035 w 1043582"/>
              <a:gd name="connsiteY8" fmla="*/ 97932 h 370970"/>
              <a:gd name="connsiteX9" fmla="*/ 185546 w 1043582"/>
              <a:gd name="connsiteY9" fmla="*/ 117455 h 370970"/>
              <a:gd name="connsiteX10" fmla="*/ 205055 w 1043582"/>
              <a:gd name="connsiteY10" fmla="*/ 117455 h 370970"/>
              <a:gd name="connsiteX11" fmla="*/ 224567 w 1043582"/>
              <a:gd name="connsiteY11" fmla="*/ 136981 h 370970"/>
              <a:gd name="connsiteX12" fmla="*/ 244078 w 1043582"/>
              <a:gd name="connsiteY12" fmla="*/ 136981 h 370970"/>
              <a:gd name="connsiteX13" fmla="*/ 263588 w 1043582"/>
              <a:gd name="connsiteY13" fmla="*/ 136981 h 370970"/>
              <a:gd name="connsiteX14" fmla="*/ 283099 w 1043582"/>
              <a:gd name="connsiteY14" fmla="*/ 136981 h 370970"/>
              <a:gd name="connsiteX15" fmla="*/ 302606 w 1043582"/>
              <a:gd name="connsiteY15" fmla="*/ 156506 h 370970"/>
              <a:gd name="connsiteX16" fmla="*/ 322126 w 1043582"/>
              <a:gd name="connsiteY16" fmla="*/ 176029 h 370970"/>
              <a:gd name="connsiteX17" fmla="*/ 341625 w 1043582"/>
              <a:gd name="connsiteY17" fmla="*/ 176029 h 370970"/>
              <a:gd name="connsiteX18" fmla="*/ 361145 w 1043582"/>
              <a:gd name="connsiteY18" fmla="*/ 176029 h 370970"/>
              <a:gd name="connsiteX19" fmla="*/ 380643 w 1043582"/>
              <a:gd name="connsiteY19" fmla="*/ 176029 h 370970"/>
              <a:gd name="connsiteX20" fmla="*/ 400163 w 1043582"/>
              <a:gd name="connsiteY20" fmla="*/ 176029 h 370970"/>
              <a:gd name="connsiteX21" fmla="*/ 419684 w 1043582"/>
              <a:gd name="connsiteY21" fmla="*/ 176029 h 370970"/>
              <a:gd name="connsiteX22" fmla="*/ 439182 w 1043582"/>
              <a:gd name="connsiteY22" fmla="*/ 176029 h 370970"/>
              <a:gd name="connsiteX23" fmla="*/ 458702 w 1043582"/>
              <a:gd name="connsiteY23" fmla="*/ 176029 h 370970"/>
              <a:gd name="connsiteX24" fmla="*/ 478201 w 1043582"/>
              <a:gd name="connsiteY24" fmla="*/ 195555 h 370970"/>
              <a:gd name="connsiteX25" fmla="*/ 497721 w 1043582"/>
              <a:gd name="connsiteY25" fmla="*/ 195555 h 370970"/>
              <a:gd name="connsiteX26" fmla="*/ 517219 w 1043582"/>
              <a:gd name="connsiteY26" fmla="*/ 195555 h 370970"/>
              <a:gd name="connsiteX27" fmla="*/ 536739 w 1043582"/>
              <a:gd name="connsiteY27" fmla="*/ 195555 h 370970"/>
              <a:gd name="connsiteX28" fmla="*/ 556237 w 1043582"/>
              <a:gd name="connsiteY28" fmla="*/ 195555 h 370970"/>
              <a:gd name="connsiteX29" fmla="*/ 575758 w 1043582"/>
              <a:gd name="connsiteY29" fmla="*/ 195555 h 370970"/>
              <a:gd name="connsiteX30" fmla="*/ 595278 w 1043582"/>
              <a:gd name="connsiteY30" fmla="*/ 195555 h 370970"/>
              <a:gd name="connsiteX31" fmla="*/ 614776 w 1043582"/>
              <a:gd name="connsiteY31" fmla="*/ 195555 h 370970"/>
              <a:gd name="connsiteX32" fmla="*/ 634297 w 1043582"/>
              <a:gd name="connsiteY32" fmla="*/ 215078 h 370970"/>
              <a:gd name="connsiteX33" fmla="*/ 653795 w 1043582"/>
              <a:gd name="connsiteY33" fmla="*/ 215078 h 370970"/>
              <a:gd name="connsiteX34" fmla="*/ 673315 w 1043582"/>
              <a:gd name="connsiteY34" fmla="*/ 215078 h 370970"/>
              <a:gd name="connsiteX35" fmla="*/ 692813 w 1043582"/>
              <a:gd name="connsiteY35" fmla="*/ 195555 h 370970"/>
              <a:gd name="connsiteX36" fmla="*/ 712334 w 1043582"/>
              <a:gd name="connsiteY36" fmla="*/ 176029 h 370970"/>
              <a:gd name="connsiteX37" fmla="*/ 731854 w 1043582"/>
              <a:gd name="connsiteY37" fmla="*/ 176029 h 370970"/>
              <a:gd name="connsiteX38" fmla="*/ 751352 w 1043582"/>
              <a:gd name="connsiteY38" fmla="*/ 176029 h 370970"/>
              <a:gd name="connsiteX39" fmla="*/ 770872 w 1043582"/>
              <a:gd name="connsiteY39" fmla="*/ 176029 h 370970"/>
              <a:gd name="connsiteX40" fmla="*/ 790370 w 1043582"/>
              <a:gd name="connsiteY40" fmla="*/ 195555 h 370970"/>
              <a:gd name="connsiteX41" fmla="*/ 809891 w 1043582"/>
              <a:gd name="connsiteY41" fmla="*/ 215078 h 370970"/>
              <a:gd name="connsiteX42" fmla="*/ 809891 w 1043582"/>
              <a:gd name="connsiteY42" fmla="*/ 234603 h 370970"/>
              <a:gd name="connsiteX43" fmla="*/ 829389 w 1043582"/>
              <a:gd name="connsiteY43" fmla="*/ 254129 h 370970"/>
              <a:gd name="connsiteX44" fmla="*/ 848909 w 1043582"/>
              <a:gd name="connsiteY44" fmla="*/ 273652 h 370970"/>
              <a:gd name="connsiteX45" fmla="*/ 868408 w 1043582"/>
              <a:gd name="connsiteY45" fmla="*/ 293178 h 370970"/>
              <a:gd name="connsiteX46" fmla="*/ 868408 w 1043582"/>
              <a:gd name="connsiteY46" fmla="*/ 312703 h 370970"/>
              <a:gd name="connsiteX47" fmla="*/ 887928 w 1043582"/>
              <a:gd name="connsiteY47" fmla="*/ 332226 h 370970"/>
              <a:gd name="connsiteX48" fmla="*/ 907448 w 1043582"/>
              <a:gd name="connsiteY48" fmla="*/ 351752 h 370970"/>
              <a:gd name="connsiteX49" fmla="*/ 926946 w 1043582"/>
              <a:gd name="connsiteY49" fmla="*/ 351752 h 370970"/>
              <a:gd name="connsiteX50" fmla="*/ 946467 w 1043582"/>
              <a:gd name="connsiteY50" fmla="*/ 351752 h 370970"/>
              <a:gd name="connsiteX51" fmla="*/ 965965 w 1043582"/>
              <a:gd name="connsiteY51" fmla="*/ 371277 h 370970"/>
              <a:gd name="connsiteX52" fmla="*/ 985485 w 1043582"/>
              <a:gd name="connsiteY52" fmla="*/ 371277 h 370970"/>
              <a:gd name="connsiteX53" fmla="*/ 1004984 w 1043582"/>
              <a:gd name="connsiteY53" fmla="*/ 371277 h 370970"/>
              <a:gd name="connsiteX54" fmla="*/ 1024504 w 1043582"/>
              <a:gd name="connsiteY54" fmla="*/ 371277 h 370970"/>
              <a:gd name="connsiteX55" fmla="*/ 1044024 w 1043582"/>
              <a:gd name="connsiteY55" fmla="*/ 371277 h 3709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</a:cxnLst>
            <a:rect l="l" t="t" r="r" b="b"/>
            <a:pathLst>
              <a:path w="1043582" h="370970">
                <a:moveTo>
                  <a:pt x="442" y="2797"/>
                </a:moveTo>
                <a:lnTo>
                  <a:pt x="29461" y="307"/>
                </a:lnTo>
                <a:lnTo>
                  <a:pt x="48970" y="19832"/>
                </a:lnTo>
                <a:lnTo>
                  <a:pt x="68482" y="39358"/>
                </a:lnTo>
                <a:lnTo>
                  <a:pt x="87991" y="39358"/>
                </a:lnTo>
                <a:lnTo>
                  <a:pt x="107502" y="58881"/>
                </a:lnTo>
                <a:lnTo>
                  <a:pt x="127014" y="78406"/>
                </a:lnTo>
                <a:lnTo>
                  <a:pt x="146523" y="97932"/>
                </a:lnTo>
                <a:lnTo>
                  <a:pt x="166035" y="97932"/>
                </a:lnTo>
                <a:lnTo>
                  <a:pt x="185546" y="117455"/>
                </a:lnTo>
                <a:lnTo>
                  <a:pt x="205055" y="117455"/>
                </a:lnTo>
                <a:lnTo>
                  <a:pt x="224567" y="136981"/>
                </a:lnTo>
                <a:lnTo>
                  <a:pt x="244078" y="136981"/>
                </a:lnTo>
                <a:lnTo>
                  <a:pt x="263588" y="136981"/>
                </a:lnTo>
                <a:lnTo>
                  <a:pt x="283099" y="136981"/>
                </a:lnTo>
                <a:lnTo>
                  <a:pt x="302606" y="156506"/>
                </a:lnTo>
                <a:lnTo>
                  <a:pt x="322126" y="176029"/>
                </a:lnTo>
                <a:lnTo>
                  <a:pt x="341625" y="176029"/>
                </a:lnTo>
                <a:lnTo>
                  <a:pt x="361145" y="176029"/>
                </a:lnTo>
                <a:lnTo>
                  <a:pt x="380643" y="176029"/>
                </a:lnTo>
                <a:lnTo>
                  <a:pt x="400163" y="176029"/>
                </a:lnTo>
                <a:lnTo>
                  <a:pt x="419684" y="176029"/>
                </a:lnTo>
                <a:lnTo>
                  <a:pt x="439182" y="176029"/>
                </a:lnTo>
                <a:lnTo>
                  <a:pt x="458702" y="176029"/>
                </a:lnTo>
                <a:lnTo>
                  <a:pt x="478201" y="195555"/>
                </a:lnTo>
                <a:lnTo>
                  <a:pt x="497721" y="195555"/>
                </a:lnTo>
                <a:lnTo>
                  <a:pt x="517219" y="195555"/>
                </a:lnTo>
                <a:lnTo>
                  <a:pt x="536739" y="195555"/>
                </a:lnTo>
                <a:lnTo>
                  <a:pt x="556237" y="195555"/>
                </a:lnTo>
                <a:lnTo>
                  <a:pt x="575758" y="195555"/>
                </a:lnTo>
                <a:lnTo>
                  <a:pt x="595278" y="195555"/>
                </a:lnTo>
                <a:lnTo>
                  <a:pt x="614776" y="195555"/>
                </a:lnTo>
                <a:lnTo>
                  <a:pt x="634297" y="215078"/>
                </a:lnTo>
                <a:lnTo>
                  <a:pt x="653795" y="215078"/>
                </a:lnTo>
                <a:lnTo>
                  <a:pt x="673315" y="215078"/>
                </a:lnTo>
                <a:lnTo>
                  <a:pt x="692813" y="195555"/>
                </a:lnTo>
                <a:lnTo>
                  <a:pt x="712334" y="176029"/>
                </a:lnTo>
                <a:lnTo>
                  <a:pt x="731854" y="176029"/>
                </a:lnTo>
                <a:lnTo>
                  <a:pt x="751352" y="176029"/>
                </a:lnTo>
                <a:lnTo>
                  <a:pt x="770872" y="176029"/>
                </a:lnTo>
                <a:lnTo>
                  <a:pt x="790370" y="195555"/>
                </a:lnTo>
                <a:lnTo>
                  <a:pt x="809891" y="215078"/>
                </a:lnTo>
                <a:lnTo>
                  <a:pt x="809891" y="234603"/>
                </a:lnTo>
                <a:lnTo>
                  <a:pt x="829389" y="254129"/>
                </a:lnTo>
                <a:lnTo>
                  <a:pt x="848909" y="273652"/>
                </a:lnTo>
                <a:lnTo>
                  <a:pt x="868408" y="293178"/>
                </a:lnTo>
                <a:lnTo>
                  <a:pt x="868408" y="312703"/>
                </a:lnTo>
                <a:lnTo>
                  <a:pt x="887928" y="332226"/>
                </a:lnTo>
                <a:lnTo>
                  <a:pt x="907448" y="351752"/>
                </a:lnTo>
                <a:lnTo>
                  <a:pt x="926946" y="351752"/>
                </a:lnTo>
                <a:lnTo>
                  <a:pt x="946467" y="351752"/>
                </a:lnTo>
                <a:lnTo>
                  <a:pt x="965965" y="371277"/>
                </a:lnTo>
                <a:lnTo>
                  <a:pt x="985485" y="371277"/>
                </a:lnTo>
                <a:lnTo>
                  <a:pt x="1004984" y="371277"/>
                </a:lnTo>
                <a:lnTo>
                  <a:pt x="1024504" y="371277"/>
                </a:lnTo>
                <a:lnTo>
                  <a:pt x="1044024" y="371277"/>
                </a:lnTo>
              </a:path>
            </a:pathLst>
          </a:custGeom>
          <a:noFill/>
          <a:ln w="1548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1" name="Forma libre: forma 10280">
            <a:extLst>
              <a:ext uri="{FF2B5EF4-FFF2-40B4-BE49-F238E27FC236}">
                <a16:creationId xmlns:a16="http://schemas.microsoft.com/office/drawing/2014/main" id="{00000000-0008-0000-0400-000029280000}"/>
              </a:ext>
            </a:extLst>
          </xdr:cNvPr>
          <xdr:cNvSpPr/>
        </xdr:nvSpPr>
        <xdr:spPr>
          <a:xfrm>
            <a:off x="6018243" y="5217271"/>
            <a:ext cx="697560" cy="140185"/>
          </a:xfrm>
          <a:custGeom>
            <a:avLst/>
            <a:gdLst>
              <a:gd name="connsiteX0" fmla="*/ 442 w 692876"/>
              <a:gd name="connsiteY0" fmla="*/ 307 h 136671"/>
              <a:gd name="connsiteX1" fmla="*/ 19954 w 692876"/>
              <a:gd name="connsiteY1" fmla="*/ 307 h 136671"/>
              <a:gd name="connsiteX2" fmla="*/ 39463 w 692876"/>
              <a:gd name="connsiteY2" fmla="*/ 307 h 136671"/>
              <a:gd name="connsiteX3" fmla="*/ 58974 w 692876"/>
              <a:gd name="connsiteY3" fmla="*/ 19830 h 136671"/>
              <a:gd name="connsiteX4" fmla="*/ 78486 w 692876"/>
              <a:gd name="connsiteY4" fmla="*/ 19830 h 136671"/>
              <a:gd name="connsiteX5" fmla="*/ 97995 w 692876"/>
              <a:gd name="connsiteY5" fmla="*/ 19830 h 136671"/>
              <a:gd name="connsiteX6" fmla="*/ 117507 w 692876"/>
              <a:gd name="connsiteY6" fmla="*/ 19830 h 136671"/>
              <a:gd name="connsiteX7" fmla="*/ 137018 w 692876"/>
              <a:gd name="connsiteY7" fmla="*/ 39355 h 136671"/>
              <a:gd name="connsiteX8" fmla="*/ 156527 w 692876"/>
              <a:gd name="connsiteY8" fmla="*/ 39355 h 136671"/>
              <a:gd name="connsiteX9" fmla="*/ 176039 w 692876"/>
              <a:gd name="connsiteY9" fmla="*/ 39355 h 136671"/>
              <a:gd name="connsiteX10" fmla="*/ 195548 w 692876"/>
              <a:gd name="connsiteY10" fmla="*/ 39355 h 136671"/>
              <a:gd name="connsiteX11" fmla="*/ 215059 w 692876"/>
              <a:gd name="connsiteY11" fmla="*/ 58879 h 136671"/>
              <a:gd name="connsiteX12" fmla="*/ 234571 w 692876"/>
              <a:gd name="connsiteY12" fmla="*/ 58879 h 136671"/>
              <a:gd name="connsiteX13" fmla="*/ 254080 w 692876"/>
              <a:gd name="connsiteY13" fmla="*/ 58879 h 136671"/>
              <a:gd name="connsiteX14" fmla="*/ 273592 w 692876"/>
              <a:gd name="connsiteY14" fmla="*/ 58879 h 136671"/>
              <a:gd name="connsiteX15" fmla="*/ 293103 w 692876"/>
              <a:gd name="connsiteY15" fmla="*/ 78404 h 136671"/>
              <a:gd name="connsiteX16" fmla="*/ 312612 w 692876"/>
              <a:gd name="connsiteY16" fmla="*/ 78404 h 136671"/>
              <a:gd name="connsiteX17" fmla="*/ 332124 w 692876"/>
              <a:gd name="connsiteY17" fmla="*/ 97930 h 136671"/>
              <a:gd name="connsiteX18" fmla="*/ 351633 w 692876"/>
              <a:gd name="connsiteY18" fmla="*/ 97930 h 136671"/>
              <a:gd name="connsiteX19" fmla="*/ 371145 w 692876"/>
              <a:gd name="connsiteY19" fmla="*/ 117453 h 136671"/>
              <a:gd name="connsiteX20" fmla="*/ 390656 w 692876"/>
              <a:gd name="connsiteY20" fmla="*/ 117453 h 136671"/>
              <a:gd name="connsiteX21" fmla="*/ 410165 w 692876"/>
              <a:gd name="connsiteY21" fmla="*/ 136978 h 136671"/>
              <a:gd name="connsiteX22" fmla="*/ 429677 w 692876"/>
              <a:gd name="connsiteY22" fmla="*/ 117453 h 136671"/>
              <a:gd name="connsiteX23" fmla="*/ 449188 w 692876"/>
              <a:gd name="connsiteY23" fmla="*/ 117453 h 136671"/>
              <a:gd name="connsiteX24" fmla="*/ 468697 w 692876"/>
              <a:gd name="connsiteY24" fmla="*/ 117453 h 136671"/>
              <a:gd name="connsiteX25" fmla="*/ 488209 w 692876"/>
              <a:gd name="connsiteY25" fmla="*/ 136978 h 136671"/>
              <a:gd name="connsiteX26" fmla="*/ 507720 w 692876"/>
              <a:gd name="connsiteY26" fmla="*/ 136978 h 136671"/>
              <a:gd name="connsiteX27" fmla="*/ 527230 w 692876"/>
              <a:gd name="connsiteY27" fmla="*/ 136978 h 136671"/>
              <a:gd name="connsiteX28" fmla="*/ 546741 w 692876"/>
              <a:gd name="connsiteY28" fmla="*/ 136978 h 136671"/>
              <a:gd name="connsiteX29" fmla="*/ 566250 w 692876"/>
              <a:gd name="connsiteY29" fmla="*/ 136978 h 136671"/>
              <a:gd name="connsiteX30" fmla="*/ 585762 w 692876"/>
              <a:gd name="connsiteY30" fmla="*/ 136978 h 136671"/>
              <a:gd name="connsiteX31" fmla="*/ 605273 w 692876"/>
              <a:gd name="connsiteY31" fmla="*/ 117453 h 136671"/>
              <a:gd name="connsiteX32" fmla="*/ 624783 w 692876"/>
              <a:gd name="connsiteY32" fmla="*/ 97930 h 136671"/>
              <a:gd name="connsiteX33" fmla="*/ 644294 w 692876"/>
              <a:gd name="connsiteY33" fmla="*/ 78404 h 136671"/>
              <a:gd name="connsiteX34" fmla="*/ 663806 w 692876"/>
              <a:gd name="connsiteY34" fmla="*/ 78404 h 136671"/>
              <a:gd name="connsiteX35" fmla="*/ 683315 w 692876"/>
              <a:gd name="connsiteY35" fmla="*/ 58879 h 136671"/>
              <a:gd name="connsiteX36" fmla="*/ 693319 w 692876"/>
              <a:gd name="connsiteY36" fmla="*/ 61369 h 1366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692876" h="136671">
                <a:moveTo>
                  <a:pt x="442" y="307"/>
                </a:moveTo>
                <a:lnTo>
                  <a:pt x="19954" y="307"/>
                </a:lnTo>
                <a:lnTo>
                  <a:pt x="39463" y="307"/>
                </a:lnTo>
                <a:lnTo>
                  <a:pt x="58974" y="19830"/>
                </a:lnTo>
                <a:lnTo>
                  <a:pt x="78486" y="19830"/>
                </a:lnTo>
                <a:lnTo>
                  <a:pt x="97995" y="19830"/>
                </a:lnTo>
                <a:lnTo>
                  <a:pt x="117507" y="19830"/>
                </a:lnTo>
                <a:lnTo>
                  <a:pt x="137018" y="39355"/>
                </a:lnTo>
                <a:lnTo>
                  <a:pt x="156527" y="39355"/>
                </a:lnTo>
                <a:lnTo>
                  <a:pt x="176039" y="39355"/>
                </a:lnTo>
                <a:lnTo>
                  <a:pt x="195548" y="39355"/>
                </a:lnTo>
                <a:lnTo>
                  <a:pt x="215059" y="58879"/>
                </a:lnTo>
                <a:lnTo>
                  <a:pt x="234571" y="58879"/>
                </a:lnTo>
                <a:lnTo>
                  <a:pt x="254080" y="58879"/>
                </a:lnTo>
                <a:lnTo>
                  <a:pt x="273592" y="58879"/>
                </a:lnTo>
                <a:lnTo>
                  <a:pt x="293103" y="78404"/>
                </a:lnTo>
                <a:lnTo>
                  <a:pt x="312612" y="78404"/>
                </a:lnTo>
                <a:lnTo>
                  <a:pt x="332124" y="97930"/>
                </a:lnTo>
                <a:lnTo>
                  <a:pt x="351633" y="97930"/>
                </a:lnTo>
                <a:lnTo>
                  <a:pt x="371145" y="117453"/>
                </a:lnTo>
                <a:lnTo>
                  <a:pt x="390656" y="117453"/>
                </a:lnTo>
                <a:lnTo>
                  <a:pt x="410165" y="136978"/>
                </a:lnTo>
                <a:lnTo>
                  <a:pt x="429677" y="117453"/>
                </a:lnTo>
                <a:lnTo>
                  <a:pt x="449188" y="117453"/>
                </a:lnTo>
                <a:lnTo>
                  <a:pt x="468697" y="117453"/>
                </a:lnTo>
                <a:lnTo>
                  <a:pt x="488209" y="136978"/>
                </a:lnTo>
                <a:lnTo>
                  <a:pt x="507720" y="136978"/>
                </a:lnTo>
                <a:lnTo>
                  <a:pt x="527230" y="136978"/>
                </a:lnTo>
                <a:lnTo>
                  <a:pt x="546741" y="136978"/>
                </a:lnTo>
                <a:lnTo>
                  <a:pt x="566250" y="136978"/>
                </a:lnTo>
                <a:lnTo>
                  <a:pt x="585762" y="136978"/>
                </a:lnTo>
                <a:lnTo>
                  <a:pt x="605273" y="117453"/>
                </a:lnTo>
                <a:lnTo>
                  <a:pt x="624783" y="97930"/>
                </a:lnTo>
                <a:lnTo>
                  <a:pt x="644294" y="78404"/>
                </a:lnTo>
                <a:lnTo>
                  <a:pt x="663806" y="78404"/>
                </a:lnTo>
                <a:lnTo>
                  <a:pt x="683315" y="58879"/>
                </a:lnTo>
                <a:lnTo>
                  <a:pt x="693319" y="61369"/>
                </a:lnTo>
              </a:path>
            </a:pathLst>
          </a:custGeom>
          <a:noFill/>
          <a:ln w="14803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2" name="Forma libre: forma 10281">
            <a:extLst>
              <a:ext uri="{FF2B5EF4-FFF2-40B4-BE49-F238E27FC236}">
                <a16:creationId xmlns:a16="http://schemas.microsoft.com/office/drawing/2014/main" id="{00000000-0008-0000-0400-00002A280000}"/>
              </a:ext>
            </a:extLst>
          </xdr:cNvPr>
          <xdr:cNvSpPr/>
        </xdr:nvSpPr>
        <xdr:spPr>
          <a:xfrm>
            <a:off x="8354053" y="5494128"/>
            <a:ext cx="43723" cy="101137"/>
          </a:xfrm>
          <a:custGeom>
            <a:avLst/>
            <a:gdLst>
              <a:gd name="connsiteX0" fmla="*/ 442 w 39040"/>
              <a:gd name="connsiteY0" fmla="*/ 97932 h 97625"/>
              <a:gd name="connsiteX1" fmla="*/ 19962 w 39040"/>
              <a:gd name="connsiteY1" fmla="*/ 97932 h 97625"/>
              <a:gd name="connsiteX2" fmla="*/ 39483 w 39040"/>
              <a:gd name="connsiteY2" fmla="*/ 78406 h 97625"/>
              <a:gd name="connsiteX3" fmla="*/ 39483 w 39040"/>
              <a:gd name="connsiteY3" fmla="*/ 58881 h 97625"/>
              <a:gd name="connsiteX4" fmla="*/ 19962 w 39040"/>
              <a:gd name="connsiteY4" fmla="*/ 39358 h 97625"/>
              <a:gd name="connsiteX5" fmla="*/ 19962 w 39040"/>
              <a:gd name="connsiteY5" fmla="*/ 19832 h 97625"/>
              <a:gd name="connsiteX6" fmla="*/ 19962 w 39040"/>
              <a:gd name="connsiteY6" fmla="*/ 307 h 97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9040" h="97625">
                <a:moveTo>
                  <a:pt x="442" y="97932"/>
                </a:moveTo>
                <a:lnTo>
                  <a:pt x="19962" y="97932"/>
                </a:lnTo>
                <a:lnTo>
                  <a:pt x="39483" y="78406"/>
                </a:lnTo>
                <a:lnTo>
                  <a:pt x="39483" y="58881"/>
                </a:lnTo>
                <a:lnTo>
                  <a:pt x="19962" y="39358"/>
                </a:lnTo>
                <a:lnTo>
                  <a:pt x="19962" y="19832"/>
                </a:lnTo>
                <a:lnTo>
                  <a:pt x="19962" y="307"/>
                </a:lnTo>
              </a:path>
            </a:pathLst>
          </a:custGeom>
          <a:noFill/>
          <a:ln w="3442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3" name="Forma libre: forma 10282">
            <a:extLst>
              <a:ext uri="{FF2B5EF4-FFF2-40B4-BE49-F238E27FC236}">
                <a16:creationId xmlns:a16="http://schemas.microsoft.com/office/drawing/2014/main" id="{00000000-0008-0000-0400-00002B280000}"/>
              </a:ext>
            </a:extLst>
          </xdr:cNvPr>
          <xdr:cNvSpPr/>
        </xdr:nvSpPr>
        <xdr:spPr>
          <a:xfrm>
            <a:off x="8334555" y="5595265"/>
            <a:ext cx="19498" cy="19523"/>
          </a:xfrm>
          <a:custGeom>
            <a:avLst/>
            <a:gdLst>
              <a:gd name="connsiteX0" fmla="*/ 442 w 19498"/>
              <a:gd name="connsiteY0" fmla="*/ 19830 h 19523"/>
              <a:gd name="connsiteX1" fmla="*/ 19940 w 19498"/>
              <a:gd name="connsiteY1" fmla="*/ 307 h 19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498" h="19523">
                <a:moveTo>
                  <a:pt x="442" y="19830"/>
                </a:moveTo>
                <a:lnTo>
                  <a:pt x="19940" y="307"/>
                </a:lnTo>
              </a:path>
            </a:pathLst>
          </a:custGeom>
          <a:noFill/>
          <a:ln w="3432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4" name="Forma libre: forma 10283">
            <a:extLst>
              <a:ext uri="{FF2B5EF4-FFF2-40B4-BE49-F238E27FC236}">
                <a16:creationId xmlns:a16="http://schemas.microsoft.com/office/drawing/2014/main" id="{00000000-0008-0000-0400-00002C280000}"/>
              </a:ext>
            </a:extLst>
          </xdr:cNvPr>
          <xdr:cNvSpPr/>
        </xdr:nvSpPr>
        <xdr:spPr>
          <a:xfrm>
            <a:off x="8080923" y="5575740"/>
            <a:ext cx="253631" cy="117148"/>
          </a:xfrm>
          <a:custGeom>
            <a:avLst/>
            <a:gdLst>
              <a:gd name="connsiteX0" fmla="*/ 442 w 253631"/>
              <a:gd name="connsiteY0" fmla="*/ 307 h 117148"/>
              <a:gd name="connsiteX1" fmla="*/ 19940 w 253631"/>
              <a:gd name="connsiteY1" fmla="*/ 19832 h 117148"/>
              <a:gd name="connsiteX2" fmla="*/ 39461 w 253631"/>
              <a:gd name="connsiteY2" fmla="*/ 19832 h 117148"/>
              <a:gd name="connsiteX3" fmla="*/ 39461 w 253631"/>
              <a:gd name="connsiteY3" fmla="*/ 39355 h 117148"/>
              <a:gd name="connsiteX4" fmla="*/ 39461 w 253631"/>
              <a:gd name="connsiteY4" fmla="*/ 58881 h 117148"/>
              <a:gd name="connsiteX5" fmla="*/ 39461 w 253631"/>
              <a:gd name="connsiteY5" fmla="*/ 78406 h 117148"/>
              <a:gd name="connsiteX6" fmla="*/ 39461 w 253631"/>
              <a:gd name="connsiteY6" fmla="*/ 97930 h 117148"/>
              <a:gd name="connsiteX7" fmla="*/ 58959 w 253631"/>
              <a:gd name="connsiteY7" fmla="*/ 117455 h 117148"/>
              <a:gd name="connsiteX8" fmla="*/ 78479 w 253631"/>
              <a:gd name="connsiteY8" fmla="*/ 117455 h 117148"/>
              <a:gd name="connsiteX9" fmla="*/ 97977 w 253631"/>
              <a:gd name="connsiteY9" fmla="*/ 97930 h 117148"/>
              <a:gd name="connsiteX10" fmla="*/ 117498 w 253631"/>
              <a:gd name="connsiteY10" fmla="*/ 78406 h 117148"/>
              <a:gd name="connsiteX11" fmla="*/ 137018 w 253631"/>
              <a:gd name="connsiteY11" fmla="*/ 78406 h 117148"/>
              <a:gd name="connsiteX12" fmla="*/ 156516 w 253631"/>
              <a:gd name="connsiteY12" fmla="*/ 58881 h 117148"/>
              <a:gd name="connsiteX13" fmla="*/ 176036 w 253631"/>
              <a:gd name="connsiteY13" fmla="*/ 39355 h 117148"/>
              <a:gd name="connsiteX14" fmla="*/ 195535 w 253631"/>
              <a:gd name="connsiteY14" fmla="*/ 39355 h 117148"/>
              <a:gd name="connsiteX15" fmla="*/ 215055 w 253631"/>
              <a:gd name="connsiteY15" fmla="*/ 39355 h 117148"/>
              <a:gd name="connsiteX16" fmla="*/ 234553 w 253631"/>
              <a:gd name="connsiteY16" fmla="*/ 39355 h 117148"/>
              <a:gd name="connsiteX17" fmla="*/ 244236 w 253631"/>
              <a:gd name="connsiteY17" fmla="*/ 38699 h 117148"/>
              <a:gd name="connsiteX18" fmla="*/ 254074 w 253631"/>
              <a:gd name="connsiteY18" fmla="*/ 39355 h 1171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253631" h="117148">
                <a:moveTo>
                  <a:pt x="442" y="307"/>
                </a:moveTo>
                <a:lnTo>
                  <a:pt x="19940" y="19832"/>
                </a:lnTo>
                <a:lnTo>
                  <a:pt x="39461" y="19832"/>
                </a:lnTo>
                <a:lnTo>
                  <a:pt x="39461" y="39355"/>
                </a:lnTo>
                <a:lnTo>
                  <a:pt x="39461" y="58881"/>
                </a:lnTo>
                <a:lnTo>
                  <a:pt x="39461" y="78406"/>
                </a:lnTo>
                <a:lnTo>
                  <a:pt x="39461" y="97930"/>
                </a:lnTo>
                <a:lnTo>
                  <a:pt x="58959" y="117455"/>
                </a:lnTo>
                <a:lnTo>
                  <a:pt x="78479" y="117455"/>
                </a:lnTo>
                <a:lnTo>
                  <a:pt x="97977" y="97930"/>
                </a:lnTo>
                <a:lnTo>
                  <a:pt x="117498" y="78406"/>
                </a:lnTo>
                <a:lnTo>
                  <a:pt x="137018" y="78406"/>
                </a:lnTo>
                <a:lnTo>
                  <a:pt x="156516" y="58881"/>
                </a:lnTo>
                <a:lnTo>
                  <a:pt x="176036" y="39355"/>
                </a:lnTo>
                <a:lnTo>
                  <a:pt x="195535" y="39355"/>
                </a:lnTo>
                <a:lnTo>
                  <a:pt x="215055" y="39355"/>
                </a:lnTo>
                <a:lnTo>
                  <a:pt x="234553" y="39355"/>
                </a:lnTo>
                <a:lnTo>
                  <a:pt x="244236" y="38699"/>
                </a:lnTo>
                <a:lnTo>
                  <a:pt x="254074" y="39355"/>
                </a:lnTo>
              </a:path>
            </a:pathLst>
          </a:custGeom>
          <a:noFill/>
          <a:ln w="2523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5" name="Forma libre: forma 10284">
            <a:extLst>
              <a:ext uri="{FF2B5EF4-FFF2-40B4-BE49-F238E27FC236}">
                <a16:creationId xmlns:a16="http://schemas.microsoft.com/office/drawing/2014/main" id="{00000000-0008-0000-0400-00002D280000}"/>
              </a:ext>
            </a:extLst>
          </xdr:cNvPr>
          <xdr:cNvSpPr/>
        </xdr:nvSpPr>
        <xdr:spPr>
          <a:xfrm>
            <a:off x="7827270" y="5494128"/>
            <a:ext cx="253653" cy="101137"/>
          </a:xfrm>
          <a:custGeom>
            <a:avLst/>
            <a:gdLst>
              <a:gd name="connsiteX0" fmla="*/ 442 w 253653"/>
              <a:gd name="connsiteY0" fmla="*/ 97932 h 97625"/>
              <a:gd name="connsiteX1" fmla="*/ 19962 w 253653"/>
              <a:gd name="connsiteY1" fmla="*/ 97932 h 97625"/>
              <a:gd name="connsiteX2" fmla="*/ 39460 w 253653"/>
              <a:gd name="connsiteY2" fmla="*/ 97932 h 97625"/>
              <a:gd name="connsiteX3" fmla="*/ 58981 w 253653"/>
              <a:gd name="connsiteY3" fmla="*/ 97932 h 97625"/>
              <a:gd name="connsiteX4" fmla="*/ 78479 w 253653"/>
              <a:gd name="connsiteY4" fmla="*/ 78406 h 97625"/>
              <a:gd name="connsiteX5" fmla="*/ 78479 w 253653"/>
              <a:gd name="connsiteY5" fmla="*/ 58881 h 97625"/>
              <a:gd name="connsiteX6" fmla="*/ 78479 w 253653"/>
              <a:gd name="connsiteY6" fmla="*/ 39358 h 97625"/>
              <a:gd name="connsiteX7" fmla="*/ 78479 w 253653"/>
              <a:gd name="connsiteY7" fmla="*/ 19832 h 97625"/>
              <a:gd name="connsiteX8" fmla="*/ 97999 w 253653"/>
              <a:gd name="connsiteY8" fmla="*/ 307 h 97625"/>
              <a:gd name="connsiteX9" fmla="*/ 117520 w 253653"/>
              <a:gd name="connsiteY9" fmla="*/ 307 h 97625"/>
              <a:gd name="connsiteX10" fmla="*/ 137018 w 253653"/>
              <a:gd name="connsiteY10" fmla="*/ 19832 h 97625"/>
              <a:gd name="connsiteX11" fmla="*/ 156538 w 253653"/>
              <a:gd name="connsiteY11" fmla="*/ 19832 h 97625"/>
              <a:gd name="connsiteX12" fmla="*/ 176036 w 253653"/>
              <a:gd name="connsiteY12" fmla="*/ 39358 h 97625"/>
              <a:gd name="connsiteX13" fmla="*/ 195557 w 253653"/>
              <a:gd name="connsiteY13" fmla="*/ 58881 h 97625"/>
              <a:gd name="connsiteX14" fmla="*/ 215055 w 253653"/>
              <a:gd name="connsiteY14" fmla="*/ 78406 h 97625"/>
              <a:gd name="connsiteX15" fmla="*/ 234575 w 253653"/>
              <a:gd name="connsiteY15" fmla="*/ 78406 h 97625"/>
              <a:gd name="connsiteX16" fmla="*/ 254095 w 253653"/>
              <a:gd name="connsiteY16" fmla="*/ 78406 h 976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253653" h="97625">
                <a:moveTo>
                  <a:pt x="442" y="97932"/>
                </a:moveTo>
                <a:lnTo>
                  <a:pt x="19962" y="97932"/>
                </a:lnTo>
                <a:lnTo>
                  <a:pt x="39460" y="97932"/>
                </a:lnTo>
                <a:lnTo>
                  <a:pt x="58981" y="97932"/>
                </a:lnTo>
                <a:lnTo>
                  <a:pt x="78479" y="78406"/>
                </a:lnTo>
                <a:lnTo>
                  <a:pt x="78479" y="58881"/>
                </a:lnTo>
                <a:lnTo>
                  <a:pt x="78479" y="39358"/>
                </a:lnTo>
                <a:lnTo>
                  <a:pt x="78479" y="19832"/>
                </a:lnTo>
                <a:lnTo>
                  <a:pt x="97999" y="307"/>
                </a:lnTo>
                <a:lnTo>
                  <a:pt x="117520" y="307"/>
                </a:lnTo>
                <a:lnTo>
                  <a:pt x="137018" y="19832"/>
                </a:lnTo>
                <a:lnTo>
                  <a:pt x="156538" y="19832"/>
                </a:lnTo>
                <a:lnTo>
                  <a:pt x="176036" y="39358"/>
                </a:lnTo>
                <a:lnTo>
                  <a:pt x="195557" y="58881"/>
                </a:lnTo>
                <a:lnTo>
                  <a:pt x="215055" y="78406"/>
                </a:lnTo>
                <a:lnTo>
                  <a:pt x="234575" y="78406"/>
                </a:lnTo>
                <a:lnTo>
                  <a:pt x="254095" y="78406"/>
                </a:lnTo>
              </a:path>
            </a:pathLst>
          </a:custGeom>
          <a:noFill/>
          <a:ln w="2510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6" name="Forma libre: forma 10285">
            <a:extLst>
              <a:ext uri="{FF2B5EF4-FFF2-40B4-BE49-F238E27FC236}">
                <a16:creationId xmlns:a16="http://schemas.microsoft.com/office/drawing/2014/main" id="{00000000-0008-0000-0400-00002E280000}"/>
              </a:ext>
            </a:extLst>
          </xdr:cNvPr>
          <xdr:cNvSpPr/>
        </xdr:nvSpPr>
        <xdr:spPr>
          <a:xfrm>
            <a:off x="7807772" y="5595265"/>
            <a:ext cx="19498" cy="2217"/>
          </a:xfrm>
          <a:custGeom>
            <a:avLst/>
            <a:gdLst>
              <a:gd name="connsiteX0" fmla="*/ 442 w 19498"/>
              <a:gd name="connsiteY0" fmla="*/ 307 h 2217"/>
              <a:gd name="connsiteX1" fmla="*/ 19940 w 19498"/>
              <a:gd name="connsiteY1" fmla="*/ 307 h 221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498" h="2217">
                <a:moveTo>
                  <a:pt x="442" y="307"/>
                </a:moveTo>
                <a:lnTo>
                  <a:pt x="19940" y="307"/>
                </a:lnTo>
              </a:path>
            </a:pathLst>
          </a:custGeom>
          <a:noFill/>
          <a:ln w="24965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7" name="Forma libre: forma 10286">
            <a:extLst>
              <a:ext uri="{FF2B5EF4-FFF2-40B4-BE49-F238E27FC236}">
                <a16:creationId xmlns:a16="http://schemas.microsoft.com/office/drawing/2014/main" id="{00000000-0008-0000-0400-00002F280000}"/>
              </a:ext>
            </a:extLst>
          </xdr:cNvPr>
          <xdr:cNvSpPr/>
        </xdr:nvSpPr>
        <xdr:spPr>
          <a:xfrm>
            <a:off x="7788251" y="5595265"/>
            <a:ext cx="19520" cy="19523"/>
          </a:xfrm>
          <a:custGeom>
            <a:avLst/>
            <a:gdLst>
              <a:gd name="connsiteX0" fmla="*/ 442 w 19520"/>
              <a:gd name="connsiteY0" fmla="*/ 19830 h 19523"/>
              <a:gd name="connsiteX1" fmla="*/ 19962 w 19520"/>
              <a:gd name="connsiteY1" fmla="*/ 307 h 19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20" h="19523">
                <a:moveTo>
                  <a:pt x="442" y="19830"/>
                </a:moveTo>
                <a:lnTo>
                  <a:pt x="19962" y="307"/>
                </a:lnTo>
              </a:path>
            </a:pathLst>
          </a:custGeom>
          <a:noFill/>
          <a:ln w="15918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8" name="Forma libre: forma 10287">
            <a:extLst>
              <a:ext uri="{FF2B5EF4-FFF2-40B4-BE49-F238E27FC236}">
                <a16:creationId xmlns:a16="http://schemas.microsoft.com/office/drawing/2014/main" id="{00000000-0008-0000-0400-000030280000}"/>
              </a:ext>
            </a:extLst>
          </xdr:cNvPr>
          <xdr:cNvSpPr/>
        </xdr:nvSpPr>
        <xdr:spPr>
          <a:xfrm>
            <a:off x="7768753" y="5614789"/>
            <a:ext cx="19498" cy="39050"/>
          </a:xfrm>
          <a:custGeom>
            <a:avLst/>
            <a:gdLst>
              <a:gd name="connsiteX0" fmla="*/ 442 w 19498"/>
              <a:gd name="connsiteY0" fmla="*/ 39358 h 39050"/>
              <a:gd name="connsiteX1" fmla="*/ 19940 w 19498"/>
              <a:gd name="connsiteY1" fmla="*/ 19832 h 39050"/>
              <a:gd name="connsiteX2" fmla="*/ 19940 w 19498"/>
              <a:gd name="connsiteY2" fmla="*/ 307 h 390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9498" h="39050">
                <a:moveTo>
                  <a:pt x="442" y="39358"/>
                </a:moveTo>
                <a:lnTo>
                  <a:pt x="19940" y="19832"/>
                </a:lnTo>
                <a:lnTo>
                  <a:pt x="19940" y="307"/>
                </a:lnTo>
              </a:path>
            </a:pathLst>
          </a:custGeom>
          <a:noFill/>
          <a:ln w="1570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89" name="Forma libre: forma 10288">
            <a:extLst>
              <a:ext uri="{FF2B5EF4-FFF2-40B4-BE49-F238E27FC236}">
                <a16:creationId xmlns:a16="http://schemas.microsoft.com/office/drawing/2014/main" id="{00000000-0008-0000-0400-000031280000}"/>
              </a:ext>
            </a:extLst>
          </xdr:cNvPr>
          <xdr:cNvSpPr/>
        </xdr:nvSpPr>
        <xdr:spPr>
          <a:xfrm>
            <a:off x="9495047" y="5575740"/>
            <a:ext cx="1019231" cy="377994"/>
          </a:xfrm>
          <a:custGeom>
            <a:avLst/>
            <a:gdLst>
              <a:gd name="connsiteX0" fmla="*/ 442 w 1014547"/>
              <a:gd name="connsiteY0" fmla="*/ 307 h 370968"/>
              <a:gd name="connsiteX1" fmla="*/ 442 w 1014547"/>
              <a:gd name="connsiteY1" fmla="*/ 19832 h 370968"/>
              <a:gd name="connsiteX2" fmla="*/ 19962 w 1014547"/>
              <a:gd name="connsiteY2" fmla="*/ 39355 h 370968"/>
              <a:gd name="connsiteX3" fmla="*/ 39461 w 1014547"/>
              <a:gd name="connsiteY3" fmla="*/ 58881 h 370968"/>
              <a:gd name="connsiteX4" fmla="*/ 39461 w 1014547"/>
              <a:gd name="connsiteY4" fmla="*/ 78406 h 370968"/>
              <a:gd name="connsiteX5" fmla="*/ 58981 w 1014547"/>
              <a:gd name="connsiteY5" fmla="*/ 97929 h 370968"/>
              <a:gd name="connsiteX6" fmla="*/ 58981 w 1014547"/>
              <a:gd name="connsiteY6" fmla="*/ 117455 h 370968"/>
              <a:gd name="connsiteX7" fmla="*/ 78479 w 1014547"/>
              <a:gd name="connsiteY7" fmla="*/ 136978 h 370968"/>
              <a:gd name="connsiteX8" fmla="*/ 97999 w 1014547"/>
              <a:gd name="connsiteY8" fmla="*/ 156504 h 370968"/>
              <a:gd name="connsiteX9" fmla="*/ 117520 w 1014547"/>
              <a:gd name="connsiteY9" fmla="*/ 156504 h 370968"/>
              <a:gd name="connsiteX10" fmla="*/ 137018 w 1014547"/>
              <a:gd name="connsiteY10" fmla="*/ 156504 h 370968"/>
              <a:gd name="connsiteX11" fmla="*/ 156538 w 1014547"/>
              <a:gd name="connsiteY11" fmla="*/ 156504 h 370968"/>
              <a:gd name="connsiteX12" fmla="*/ 176036 w 1014547"/>
              <a:gd name="connsiteY12" fmla="*/ 136978 h 370968"/>
              <a:gd name="connsiteX13" fmla="*/ 195557 w 1014547"/>
              <a:gd name="connsiteY13" fmla="*/ 156504 h 370968"/>
              <a:gd name="connsiteX14" fmla="*/ 215055 w 1014547"/>
              <a:gd name="connsiteY14" fmla="*/ 156504 h 370968"/>
              <a:gd name="connsiteX15" fmla="*/ 234575 w 1014547"/>
              <a:gd name="connsiteY15" fmla="*/ 156504 h 370968"/>
              <a:gd name="connsiteX16" fmla="*/ 254073 w 1014547"/>
              <a:gd name="connsiteY16" fmla="*/ 156504 h 370968"/>
              <a:gd name="connsiteX17" fmla="*/ 273594 w 1014547"/>
              <a:gd name="connsiteY17" fmla="*/ 156504 h 370968"/>
              <a:gd name="connsiteX18" fmla="*/ 293114 w 1014547"/>
              <a:gd name="connsiteY18" fmla="*/ 156504 h 370968"/>
              <a:gd name="connsiteX19" fmla="*/ 312612 w 1014547"/>
              <a:gd name="connsiteY19" fmla="*/ 136978 h 370968"/>
              <a:gd name="connsiteX20" fmla="*/ 332132 w 1014547"/>
              <a:gd name="connsiteY20" fmla="*/ 136978 h 370968"/>
              <a:gd name="connsiteX21" fmla="*/ 351630 w 1014547"/>
              <a:gd name="connsiteY21" fmla="*/ 136978 h 370968"/>
              <a:gd name="connsiteX22" fmla="*/ 371151 w 1014547"/>
              <a:gd name="connsiteY22" fmla="*/ 156504 h 370968"/>
              <a:gd name="connsiteX23" fmla="*/ 351630 w 1014547"/>
              <a:gd name="connsiteY23" fmla="*/ 176029 h 370968"/>
              <a:gd name="connsiteX24" fmla="*/ 351630 w 1014547"/>
              <a:gd name="connsiteY24" fmla="*/ 195552 h 370968"/>
              <a:gd name="connsiteX25" fmla="*/ 332132 w 1014547"/>
              <a:gd name="connsiteY25" fmla="*/ 215078 h 370968"/>
              <a:gd name="connsiteX26" fmla="*/ 351630 w 1014547"/>
              <a:gd name="connsiteY26" fmla="*/ 234603 h 370968"/>
              <a:gd name="connsiteX27" fmla="*/ 371151 w 1014547"/>
              <a:gd name="connsiteY27" fmla="*/ 254127 h 370968"/>
              <a:gd name="connsiteX28" fmla="*/ 390649 w 1014547"/>
              <a:gd name="connsiteY28" fmla="*/ 273652 h 370968"/>
              <a:gd name="connsiteX29" fmla="*/ 410170 w 1014547"/>
              <a:gd name="connsiteY29" fmla="*/ 273652 h 370968"/>
              <a:gd name="connsiteX30" fmla="*/ 429690 w 1014547"/>
              <a:gd name="connsiteY30" fmla="*/ 273652 h 370968"/>
              <a:gd name="connsiteX31" fmla="*/ 449188 w 1014547"/>
              <a:gd name="connsiteY31" fmla="*/ 273652 h 370968"/>
              <a:gd name="connsiteX32" fmla="*/ 468708 w 1014547"/>
              <a:gd name="connsiteY32" fmla="*/ 273652 h 370968"/>
              <a:gd name="connsiteX33" fmla="*/ 488207 w 1014547"/>
              <a:gd name="connsiteY33" fmla="*/ 273652 h 370968"/>
              <a:gd name="connsiteX34" fmla="*/ 507727 w 1014547"/>
              <a:gd name="connsiteY34" fmla="*/ 254127 h 370968"/>
              <a:gd name="connsiteX35" fmla="*/ 527225 w 1014547"/>
              <a:gd name="connsiteY35" fmla="*/ 234603 h 370968"/>
              <a:gd name="connsiteX36" fmla="*/ 546745 w 1014547"/>
              <a:gd name="connsiteY36" fmla="*/ 215078 h 370968"/>
              <a:gd name="connsiteX37" fmla="*/ 566244 w 1014547"/>
              <a:gd name="connsiteY37" fmla="*/ 215078 h 370968"/>
              <a:gd name="connsiteX38" fmla="*/ 585764 w 1014547"/>
              <a:gd name="connsiteY38" fmla="*/ 234603 h 370968"/>
              <a:gd name="connsiteX39" fmla="*/ 605284 w 1014547"/>
              <a:gd name="connsiteY39" fmla="*/ 254127 h 370968"/>
              <a:gd name="connsiteX40" fmla="*/ 605284 w 1014547"/>
              <a:gd name="connsiteY40" fmla="*/ 273652 h 370968"/>
              <a:gd name="connsiteX41" fmla="*/ 624782 w 1014547"/>
              <a:gd name="connsiteY41" fmla="*/ 293178 h 370968"/>
              <a:gd name="connsiteX42" fmla="*/ 644303 w 1014547"/>
              <a:gd name="connsiteY42" fmla="*/ 293178 h 370968"/>
              <a:gd name="connsiteX43" fmla="*/ 663801 w 1014547"/>
              <a:gd name="connsiteY43" fmla="*/ 293178 h 370968"/>
              <a:gd name="connsiteX44" fmla="*/ 683321 w 1014547"/>
              <a:gd name="connsiteY44" fmla="*/ 293178 h 370968"/>
              <a:gd name="connsiteX45" fmla="*/ 702819 w 1014547"/>
              <a:gd name="connsiteY45" fmla="*/ 293178 h 370968"/>
              <a:gd name="connsiteX46" fmla="*/ 722340 w 1014547"/>
              <a:gd name="connsiteY46" fmla="*/ 293178 h 370968"/>
              <a:gd name="connsiteX47" fmla="*/ 741860 w 1014547"/>
              <a:gd name="connsiteY47" fmla="*/ 312701 h 370968"/>
              <a:gd name="connsiteX48" fmla="*/ 761358 w 1014547"/>
              <a:gd name="connsiteY48" fmla="*/ 312701 h 370968"/>
              <a:gd name="connsiteX49" fmla="*/ 780878 w 1014547"/>
              <a:gd name="connsiteY49" fmla="*/ 312701 h 370968"/>
              <a:gd name="connsiteX50" fmla="*/ 800377 w 1014547"/>
              <a:gd name="connsiteY50" fmla="*/ 332226 h 370968"/>
              <a:gd name="connsiteX51" fmla="*/ 819897 w 1014547"/>
              <a:gd name="connsiteY51" fmla="*/ 332226 h 370968"/>
              <a:gd name="connsiteX52" fmla="*/ 839395 w 1014547"/>
              <a:gd name="connsiteY52" fmla="*/ 332226 h 370968"/>
              <a:gd name="connsiteX53" fmla="*/ 858915 w 1014547"/>
              <a:gd name="connsiteY53" fmla="*/ 351750 h 370968"/>
              <a:gd name="connsiteX54" fmla="*/ 878413 w 1014547"/>
              <a:gd name="connsiteY54" fmla="*/ 351750 h 370968"/>
              <a:gd name="connsiteX55" fmla="*/ 897934 w 1014547"/>
              <a:gd name="connsiteY55" fmla="*/ 351750 h 370968"/>
              <a:gd name="connsiteX56" fmla="*/ 917454 w 1014547"/>
              <a:gd name="connsiteY56" fmla="*/ 371275 h 370968"/>
              <a:gd name="connsiteX57" fmla="*/ 936953 w 1014547"/>
              <a:gd name="connsiteY57" fmla="*/ 371275 h 370968"/>
              <a:gd name="connsiteX58" fmla="*/ 956473 w 1014547"/>
              <a:gd name="connsiteY58" fmla="*/ 371275 h 370968"/>
              <a:gd name="connsiteX59" fmla="*/ 975971 w 1014547"/>
              <a:gd name="connsiteY59" fmla="*/ 371275 h 370968"/>
              <a:gd name="connsiteX60" fmla="*/ 995491 w 1014547"/>
              <a:gd name="connsiteY60" fmla="*/ 371275 h 370968"/>
              <a:gd name="connsiteX61" fmla="*/ 1014990 w 1014547"/>
              <a:gd name="connsiteY61" fmla="*/ 371275 h 370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</a:cxnLst>
            <a:rect l="l" t="t" r="r" b="b"/>
            <a:pathLst>
              <a:path w="1014547" h="370968">
                <a:moveTo>
                  <a:pt x="442" y="307"/>
                </a:moveTo>
                <a:lnTo>
                  <a:pt x="442" y="19832"/>
                </a:lnTo>
                <a:lnTo>
                  <a:pt x="19962" y="39355"/>
                </a:lnTo>
                <a:lnTo>
                  <a:pt x="39461" y="58881"/>
                </a:lnTo>
                <a:lnTo>
                  <a:pt x="39461" y="78406"/>
                </a:lnTo>
                <a:lnTo>
                  <a:pt x="58981" y="97929"/>
                </a:lnTo>
                <a:lnTo>
                  <a:pt x="58981" y="117455"/>
                </a:lnTo>
                <a:lnTo>
                  <a:pt x="78479" y="136978"/>
                </a:lnTo>
                <a:lnTo>
                  <a:pt x="97999" y="156504"/>
                </a:lnTo>
                <a:lnTo>
                  <a:pt x="117520" y="156504"/>
                </a:lnTo>
                <a:lnTo>
                  <a:pt x="137018" y="156504"/>
                </a:lnTo>
                <a:lnTo>
                  <a:pt x="156538" y="156504"/>
                </a:lnTo>
                <a:lnTo>
                  <a:pt x="176036" y="136978"/>
                </a:lnTo>
                <a:lnTo>
                  <a:pt x="195557" y="156504"/>
                </a:lnTo>
                <a:lnTo>
                  <a:pt x="215055" y="156504"/>
                </a:lnTo>
                <a:lnTo>
                  <a:pt x="234575" y="156504"/>
                </a:lnTo>
                <a:lnTo>
                  <a:pt x="254073" y="156504"/>
                </a:lnTo>
                <a:lnTo>
                  <a:pt x="273594" y="156504"/>
                </a:lnTo>
                <a:lnTo>
                  <a:pt x="293114" y="156504"/>
                </a:lnTo>
                <a:lnTo>
                  <a:pt x="312612" y="136978"/>
                </a:lnTo>
                <a:lnTo>
                  <a:pt x="332132" y="136978"/>
                </a:lnTo>
                <a:lnTo>
                  <a:pt x="351630" y="136978"/>
                </a:lnTo>
                <a:lnTo>
                  <a:pt x="371151" y="156504"/>
                </a:lnTo>
                <a:lnTo>
                  <a:pt x="351630" y="176029"/>
                </a:lnTo>
                <a:lnTo>
                  <a:pt x="351630" y="195552"/>
                </a:lnTo>
                <a:lnTo>
                  <a:pt x="332132" y="215078"/>
                </a:lnTo>
                <a:lnTo>
                  <a:pt x="351630" y="234603"/>
                </a:lnTo>
                <a:lnTo>
                  <a:pt x="371151" y="254127"/>
                </a:lnTo>
                <a:lnTo>
                  <a:pt x="390649" y="273652"/>
                </a:lnTo>
                <a:lnTo>
                  <a:pt x="410170" y="273652"/>
                </a:lnTo>
                <a:lnTo>
                  <a:pt x="429690" y="273652"/>
                </a:lnTo>
                <a:lnTo>
                  <a:pt x="449188" y="273652"/>
                </a:lnTo>
                <a:lnTo>
                  <a:pt x="468708" y="273652"/>
                </a:lnTo>
                <a:lnTo>
                  <a:pt x="488207" y="273652"/>
                </a:lnTo>
                <a:lnTo>
                  <a:pt x="507727" y="254127"/>
                </a:lnTo>
                <a:lnTo>
                  <a:pt x="527225" y="234603"/>
                </a:lnTo>
                <a:lnTo>
                  <a:pt x="546745" y="215078"/>
                </a:lnTo>
                <a:lnTo>
                  <a:pt x="566244" y="215078"/>
                </a:lnTo>
                <a:lnTo>
                  <a:pt x="585764" y="234603"/>
                </a:lnTo>
                <a:lnTo>
                  <a:pt x="605284" y="254127"/>
                </a:lnTo>
                <a:lnTo>
                  <a:pt x="605284" y="273652"/>
                </a:lnTo>
                <a:lnTo>
                  <a:pt x="624782" y="293178"/>
                </a:lnTo>
                <a:lnTo>
                  <a:pt x="644303" y="293178"/>
                </a:lnTo>
                <a:lnTo>
                  <a:pt x="663801" y="293178"/>
                </a:lnTo>
                <a:lnTo>
                  <a:pt x="683321" y="293178"/>
                </a:lnTo>
                <a:lnTo>
                  <a:pt x="702819" y="293178"/>
                </a:lnTo>
                <a:lnTo>
                  <a:pt x="722340" y="293178"/>
                </a:lnTo>
                <a:lnTo>
                  <a:pt x="741860" y="312701"/>
                </a:lnTo>
                <a:lnTo>
                  <a:pt x="761358" y="312701"/>
                </a:lnTo>
                <a:lnTo>
                  <a:pt x="780878" y="312701"/>
                </a:lnTo>
                <a:lnTo>
                  <a:pt x="800377" y="332226"/>
                </a:lnTo>
                <a:lnTo>
                  <a:pt x="819897" y="332226"/>
                </a:lnTo>
                <a:lnTo>
                  <a:pt x="839395" y="332226"/>
                </a:lnTo>
                <a:lnTo>
                  <a:pt x="858915" y="351750"/>
                </a:lnTo>
                <a:lnTo>
                  <a:pt x="878413" y="351750"/>
                </a:lnTo>
                <a:lnTo>
                  <a:pt x="897934" y="351750"/>
                </a:lnTo>
                <a:lnTo>
                  <a:pt x="917454" y="371275"/>
                </a:lnTo>
                <a:lnTo>
                  <a:pt x="936953" y="371275"/>
                </a:lnTo>
                <a:lnTo>
                  <a:pt x="956473" y="371275"/>
                </a:lnTo>
                <a:lnTo>
                  <a:pt x="975971" y="371275"/>
                </a:lnTo>
                <a:lnTo>
                  <a:pt x="995491" y="371275"/>
                </a:lnTo>
                <a:lnTo>
                  <a:pt x="1014990" y="371275"/>
                </a:lnTo>
              </a:path>
            </a:pathLst>
          </a:custGeom>
          <a:noFill/>
          <a:ln w="3728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0" name="Forma libre: forma 10289">
            <a:extLst>
              <a:ext uri="{FF2B5EF4-FFF2-40B4-BE49-F238E27FC236}">
                <a16:creationId xmlns:a16="http://schemas.microsoft.com/office/drawing/2014/main" id="{00000000-0008-0000-0400-000032280000}"/>
              </a:ext>
            </a:extLst>
          </xdr:cNvPr>
          <xdr:cNvSpPr/>
        </xdr:nvSpPr>
        <xdr:spPr>
          <a:xfrm>
            <a:off x="9475549" y="5556214"/>
            <a:ext cx="19498" cy="19525"/>
          </a:xfrm>
          <a:custGeom>
            <a:avLst/>
            <a:gdLst>
              <a:gd name="connsiteX0" fmla="*/ 442 w 19498"/>
              <a:gd name="connsiteY0" fmla="*/ 307 h 19525"/>
              <a:gd name="connsiteX1" fmla="*/ 19940 w 19498"/>
              <a:gd name="connsiteY1" fmla="*/ 19832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498" h="19525">
                <a:moveTo>
                  <a:pt x="442" y="307"/>
                </a:moveTo>
                <a:lnTo>
                  <a:pt x="19940" y="19832"/>
                </a:lnTo>
              </a:path>
            </a:pathLst>
          </a:custGeom>
          <a:noFill/>
          <a:ln w="3719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1" name="Forma libre: forma 10290">
            <a:extLst>
              <a:ext uri="{FF2B5EF4-FFF2-40B4-BE49-F238E27FC236}">
                <a16:creationId xmlns:a16="http://schemas.microsoft.com/office/drawing/2014/main" id="{00000000-0008-0000-0400-000033280000}"/>
              </a:ext>
            </a:extLst>
          </xdr:cNvPr>
          <xdr:cNvSpPr/>
        </xdr:nvSpPr>
        <xdr:spPr>
          <a:xfrm>
            <a:off x="9280434" y="5536691"/>
            <a:ext cx="195114" cy="19884"/>
          </a:xfrm>
          <a:custGeom>
            <a:avLst/>
            <a:gdLst>
              <a:gd name="connsiteX0" fmla="*/ 442 w 195114"/>
              <a:gd name="connsiteY0" fmla="*/ 307 h 19884"/>
              <a:gd name="connsiteX1" fmla="*/ 19940 w 195114"/>
              <a:gd name="connsiteY1" fmla="*/ 19830 h 19884"/>
              <a:gd name="connsiteX2" fmla="*/ 39460 w 195114"/>
              <a:gd name="connsiteY2" fmla="*/ 19830 h 19884"/>
              <a:gd name="connsiteX3" fmla="*/ 58981 w 195114"/>
              <a:gd name="connsiteY3" fmla="*/ 307 h 19884"/>
              <a:gd name="connsiteX4" fmla="*/ 78479 w 195114"/>
              <a:gd name="connsiteY4" fmla="*/ 307 h 19884"/>
              <a:gd name="connsiteX5" fmla="*/ 98000 w 195114"/>
              <a:gd name="connsiteY5" fmla="*/ 307 h 19884"/>
              <a:gd name="connsiteX6" fmla="*/ 117497 w 195114"/>
              <a:gd name="connsiteY6" fmla="*/ 307 h 19884"/>
              <a:gd name="connsiteX7" fmla="*/ 137018 w 195114"/>
              <a:gd name="connsiteY7" fmla="*/ 307 h 19884"/>
              <a:gd name="connsiteX8" fmla="*/ 156516 w 195114"/>
              <a:gd name="connsiteY8" fmla="*/ 307 h 19884"/>
              <a:gd name="connsiteX9" fmla="*/ 176036 w 195114"/>
              <a:gd name="connsiteY9" fmla="*/ 19830 h 19884"/>
              <a:gd name="connsiteX10" fmla="*/ 182816 w 195114"/>
              <a:gd name="connsiteY10" fmla="*/ 20191 h 19884"/>
              <a:gd name="connsiteX11" fmla="*/ 195556 w 195114"/>
              <a:gd name="connsiteY11" fmla="*/ 19830 h 198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195114" h="19884">
                <a:moveTo>
                  <a:pt x="442" y="307"/>
                </a:moveTo>
                <a:lnTo>
                  <a:pt x="19940" y="19830"/>
                </a:lnTo>
                <a:lnTo>
                  <a:pt x="39460" y="19830"/>
                </a:lnTo>
                <a:lnTo>
                  <a:pt x="58981" y="307"/>
                </a:lnTo>
                <a:lnTo>
                  <a:pt x="78479" y="307"/>
                </a:lnTo>
                <a:lnTo>
                  <a:pt x="98000" y="307"/>
                </a:lnTo>
                <a:lnTo>
                  <a:pt x="117497" y="307"/>
                </a:lnTo>
                <a:lnTo>
                  <a:pt x="137018" y="307"/>
                </a:lnTo>
                <a:lnTo>
                  <a:pt x="156516" y="307"/>
                </a:lnTo>
                <a:lnTo>
                  <a:pt x="176036" y="19830"/>
                </a:lnTo>
                <a:lnTo>
                  <a:pt x="182816" y="20191"/>
                </a:lnTo>
                <a:lnTo>
                  <a:pt x="195556" y="19830"/>
                </a:lnTo>
              </a:path>
            </a:pathLst>
          </a:custGeom>
          <a:noFill/>
          <a:ln w="3691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2" name="Forma libre: forma 10291">
            <a:extLst>
              <a:ext uri="{FF2B5EF4-FFF2-40B4-BE49-F238E27FC236}">
                <a16:creationId xmlns:a16="http://schemas.microsoft.com/office/drawing/2014/main" id="{00000000-0008-0000-0400-000034280000}"/>
              </a:ext>
            </a:extLst>
          </xdr:cNvPr>
          <xdr:cNvSpPr/>
        </xdr:nvSpPr>
        <xdr:spPr>
          <a:xfrm>
            <a:off x="9202397" y="5536691"/>
            <a:ext cx="78036" cy="78097"/>
          </a:xfrm>
          <a:custGeom>
            <a:avLst/>
            <a:gdLst>
              <a:gd name="connsiteX0" fmla="*/ 442 w 78036"/>
              <a:gd name="connsiteY0" fmla="*/ 78404 h 78097"/>
              <a:gd name="connsiteX1" fmla="*/ 19940 w 78036"/>
              <a:gd name="connsiteY1" fmla="*/ 78404 h 78097"/>
              <a:gd name="connsiteX2" fmla="*/ 39460 w 78036"/>
              <a:gd name="connsiteY2" fmla="*/ 78404 h 78097"/>
              <a:gd name="connsiteX3" fmla="*/ 58959 w 78036"/>
              <a:gd name="connsiteY3" fmla="*/ 58881 h 78097"/>
              <a:gd name="connsiteX4" fmla="*/ 58959 w 78036"/>
              <a:gd name="connsiteY4" fmla="*/ 39355 h 78097"/>
              <a:gd name="connsiteX5" fmla="*/ 58959 w 78036"/>
              <a:gd name="connsiteY5" fmla="*/ 19830 h 78097"/>
              <a:gd name="connsiteX6" fmla="*/ 78479 w 78036"/>
              <a:gd name="connsiteY6" fmla="*/ 307 h 780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78036" h="78097">
                <a:moveTo>
                  <a:pt x="442" y="78404"/>
                </a:moveTo>
                <a:lnTo>
                  <a:pt x="19940" y="78404"/>
                </a:lnTo>
                <a:lnTo>
                  <a:pt x="39460" y="78404"/>
                </a:lnTo>
                <a:lnTo>
                  <a:pt x="58959" y="58881"/>
                </a:lnTo>
                <a:lnTo>
                  <a:pt x="58959" y="39355"/>
                </a:lnTo>
                <a:lnTo>
                  <a:pt x="58959" y="19830"/>
                </a:lnTo>
                <a:lnTo>
                  <a:pt x="78479" y="307"/>
                </a:lnTo>
              </a:path>
            </a:pathLst>
          </a:custGeom>
          <a:noFill/>
          <a:ln w="36638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3" name="Forma libre: forma 10292">
            <a:extLst>
              <a:ext uri="{FF2B5EF4-FFF2-40B4-BE49-F238E27FC236}">
                <a16:creationId xmlns:a16="http://schemas.microsoft.com/office/drawing/2014/main" id="{00000000-0008-0000-0400-000035280000}"/>
              </a:ext>
            </a:extLst>
          </xdr:cNvPr>
          <xdr:cNvSpPr/>
        </xdr:nvSpPr>
        <xdr:spPr>
          <a:xfrm>
            <a:off x="9061135" y="5575740"/>
            <a:ext cx="141261" cy="39048"/>
          </a:xfrm>
          <a:custGeom>
            <a:avLst/>
            <a:gdLst>
              <a:gd name="connsiteX0" fmla="*/ 442 w 136575"/>
              <a:gd name="connsiteY0" fmla="*/ 307 h 39048"/>
              <a:gd name="connsiteX1" fmla="*/ 19940 w 136575"/>
              <a:gd name="connsiteY1" fmla="*/ 307 h 39048"/>
              <a:gd name="connsiteX2" fmla="*/ 39460 w 136575"/>
              <a:gd name="connsiteY2" fmla="*/ 307 h 39048"/>
              <a:gd name="connsiteX3" fmla="*/ 58959 w 136575"/>
              <a:gd name="connsiteY3" fmla="*/ 19832 h 39048"/>
              <a:gd name="connsiteX4" fmla="*/ 78479 w 136575"/>
              <a:gd name="connsiteY4" fmla="*/ 39355 h 39048"/>
              <a:gd name="connsiteX5" fmla="*/ 97999 w 136575"/>
              <a:gd name="connsiteY5" fmla="*/ 39355 h 39048"/>
              <a:gd name="connsiteX6" fmla="*/ 117498 w 136575"/>
              <a:gd name="connsiteY6" fmla="*/ 39355 h 39048"/>
              <a:gd name="connsiteX7" fmla="*/ 137018 w 136575"/>
              <a:gd name="connsiteY7" fmla="*/ 39355 h 390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6575" h="39048">
                <a:moveTo>
                  <a:pt x="442" y="307"/>
                </a:moveTo>
                <a:lnTo>
                  <a:pt x="19940" y="307"/>
                </a:lnTo>
                <a:lnTo>
                  <a:pt x="39460" y="307"/>
                </a:lnTo>
                <a:lnTo>
                  <a:pt x="58959" y="19832"/>
                </a:lnTo>
                <a:lnTo>
                  <a:pt x="78479" y="39355"/>
                </a:lnTo>
                <a:lnTo>
                  <a:pt x="97999" y="39355"/>
                </a:lnTo>
                <a:lnTo>
                  <a:pt x="117498" y="39355"/>
                </a:lnTo>
                <a:lnTo>
                  <a:pt x="137018" y="39355"/>
                </a:lnTo>
              </a:path>
            </a:pathLst>
          </a:custGeom>
          <a:noFill/>
          <a:ln w="3654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4" name="Forma libre: forma 10293">
            <a:extLst>
              <a:ext uri="{FF2B5EF4-FFF2-40B4-BE49-F238E27FC236}">
                <a16:creationId xmlns:a16="http://schemas.microsoft.com/office/drawing/2014/main" id="{00000000-0008-0000-0400-000036280000}"/>
              </a:ext>
            </a:extLst>
          </xdr:cNvPr>
          <xdr:cNvSpPr/>
        </xdr:nvSpPr>
        <xdr:spPr>
          <a:xfrm>
            <a:off x="9041615" y="5575740"/>
            <a:ext cx="19520" cy="2217"/>
          </a:xfrm>
          <a:custGeom>
            <a:avLst/>
            <a:gdLst>
              <a:gd name="connsiteX0" fmla="*/ 442 w 19520"/>
              <a:gd name="connsiteY0" fmla="*/ 307 h 2217"/>
              <a:gd name="connsiteX1" fmla="*/ 19962 w 19520"/>
              <a:gd name="connsiteY1" fmla="*/ 307 h 221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20" h="2217">
                <a:moveTo>
                  <a:pt x="442" y="307"/>
                </a:moveTo>
                <a:lnTo>
                  <a:pt x="19962" y="307"/>
                </a:lnTo>
              </a:path>
            </a:pathLst>
          </a:custGeom>
          <a:noFill/>
          <a:ln w="3645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5" name="Forma libre: forma 10294">
            <a:extLst>
              <a:ext uri="{FF2B5EF4-FFF2-40B4-BE49-F238E27FC236}">
                <a16:creationId xmlns:a16="http://schemas.microsoft.com/office/drawing/2014/main" id="{00000000-0008-0000-0400-000037280000}"/>
              </a:ext>
            </a:extLst>
          </xdr:cNvPr>
          <xdr:cNvSpPr/>
        </xdr:nvSpPr>
        <xdr:spPr>
          <a:xfrm>
            <a:off x="8944058" y="5435556"/>
            <a:ext cx="97557" cy="140183"/>
          </a:xfrm>
          <a:custGeom>
            <a:avLst/>
            <a:gdLst>
              <a:gd name="connsiteX0" fmla="*/ 442 w 97557"/>
              <a:gd name="connsiteY0" fmla="*/ 307 h 136671"/>
              <a:gd name="connsiteX1" fmla="*/ 442 w 97557"/>
              <a:gd name="connsiteY1" fmla="*/ 19830 h 136671"/>
              <a:gd name="connsiteX2" fmla="*/ 442 w 97557"/>
              <a:gd name="connsiteY2" fmla="*/ 39355 h 136671"/>
              <a:gd name="connsiteX3" fmla="*/ 442 w 97557"/>
              <a:gd name="connsiteY3" fmla="*/ 58879 h 136671"/>
              <a:gd name="connsiteX4" fmla="*/ 442 w 97557"/>
              <a:gd name="connsiteY4" fmla="*/ 78404 h 136671"/>
              <a:gd name="connsiteX5" fmla="*/ 442 w 97557"/>
              <a:gd name="connsiteY5" fmla="*/ 97930 h 136671"/>
              <a:gd name="connsiteX6" fmla="*/ 19962 w 97557"/>
              <a:gd name="connsiteY6" fmla="*/ 117453 h 136671"/>
              <a:gd name="connsiteX7" fmla="*/ 39460 w 97557"/>
              <a:gd name="connsiteY7" fmla="*/ 117453 h 136671"/>
              <a:gd name="connsiteX8" fmla="*/ 58981 w 97557"/>
              <a:gd name="connsiteY8" fmla="*/ 136978 h 136671"/>
              <a:gd name="connsiteX9" fmla="*/ 78501 w 97557"/>
              <a:gd name="connsiteY9" fmla="*/ 136978 h 136671"/>
              <a:gd name="connsiteX10" fmla="*/ 87164 w 97557"/>
              <a:gd name="connsiteY10" fmla="*/ 136599 h 136671"/>
              <a:gd name="connsiteX11" fmla="*/ 97999 w 97557"/>
              <a:gd name="connsiteY11" fmla="*/ 136978 h 1366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97557" h="136671">
                <a:moveTo>
                  <a:pt x="442" y="307"/>
                </a:moveTo>
                <a:lnTo>
                  <a:pt x="442" y="19830"/>
                </a:lnTo>
                <a:lnTo>
                  <a:pt x="442" y="39355"/>
                </a:lnTo>
                <a:lnTo>
                  <a:pt x="442" y="58879"/>
                </a:lnTo>
                <a:lnTo>
                  <a:pt x="442" y="78404"/>
                </a:lnTo>
                <a:lnTo>
                  <a:pt x="442" y="97930"/>
                </a:lnTo>
                <a:lnTo>
                  <a:pt x="19962" y="117453"/>
                </a:lnTo>
                <a:lnTo>
                  <a:pt x="39460" y="117453"/>
                </a:lnTo>
                <a:lnTo>
                  <a:pt x="58981" y="136978"/>
                </a:lnTo>
                <a:lnTo>
                  <a:pt x="78501" y="136978"/>
                </a:lnTo>
                <a:lnTo>
                  <a:pt x="87164" y="136599"/>
                </a:lnTo>
                <a:lnTo>
                  <a:pt x="97999" y="136978"/>
                </a:lnTo>
              </a:path>
            </a:pathLst>
          </a:custGeom>
          <a:noFill/>
          <a:ln w="3578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6" name="Forma libre: forma 10295">
            <a:extLst>
              <a:ext uri="{FF2B5EF4-FFF2-40B4-BE49-F238E27FC236}">
                <a16:creationId xmlns:a16="http://schemas.microsoft.com/office/drawing/2014/main" id="{00000000-0008-0000-0400-000038280000}"/>
              </a:ext>
            </a:extLst>
          </xdr:cNvPr>
          <xdr:cNvSpPr/>
        </xdr:nvSpPr>
        <xdr:spPr>
          <a:xfrm>
            <a:off x="8905039" y="5416031"/>
            <a:ext cx="39018" cy="19525"/>
          </a:xfrm>
          <a:custGeom>
            <a:avLst/>
            <a:gdLst>
              <a:gd name="connsiteX0" fmla="*/ 442 w 39018"/>
              <a:gd name="connsiteY0" fmla="*/ 307 h 19525"/>
              <a:gd name="connsiteX1" fmla="*/ 19962 w 39018"/>
              <a:gd name="connsiteY1" fmla="*/ 307 h 19525"/>
              <a:gd name="connsiteX2" fmla="*/ 39460 w 39018"/>
              <a:gd name="connsiteY2" fmla="*/ 19832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9018" h="19525">
                <a:moveTo>
                  <a:pt x="442" y="307"/>
                </a:moveTo>
                <a:lnTo>
                  <a:pt x="19962" y="307"/>
                </a:lnTo>
                <a:lnTo>
                  <a:pt x="39460" y="19832"/>
                </a:lnTo>
              </a:path>
            </a:pathLst>
          </a:custGeom>
          <a:noFill/>
          <a:ln w="3569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7" name="Forma libre: forma 10296">
            <a:extLst>
              <a:ext uri="{FF2B5EF4-FFF2-40B4-BE49-F238E27FC236}">
                <a16:creationId xmlns:a16="http://schemas.microsoft.com/office/drawing/2014/main" id="{00000000-0008-0000-0400-000039280000}"/>
              </a:ext>
            </a:extLst>
          </xdr:cNvPr>
          <xdr:cNvSpPr/>
        </xdr:nvSpPr>
        <xdr:spPr>
          <a:xfrm>
            <a:off x="8885541" y="5396505"/>
            <a:ext cx="19498" cy="19525"/>
          </a:xfrm>
          <a:custGeom>
            <a:avLst/>
            <a:gdLst>
              <a:gd name="connsiteX0" fmla="*/ 442 w 19498"/>
              <a:gd name="connsiteY0" fmla="*/ 307 h 19525"/>
              <a:gd name="connsiteX1" fmla="*/ 19940 w 19498"/>
              <a:gd name="connsiteY1" fmla="*/ 19832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498" h="19525">
                <a:moveTo>
                  <a:pt x="442" y="307"/>
                </a:moveTo>
                <a:lnTo>
                  <a:pt x="19940" y="19832"/>
                </a:lnTo>
              </a:path>
            </a:pathLst>
          </a:custGeom>
          <a:noFill/>
          <a:ln w="35594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8" name="Forma libre: forma 10297">
            <a:extLst>
              <a:ext uri="{FF2B5EF4-FFF2-40B4-BE49-F238E27FC236}">
                <a16:creationId xmlns:a16="http://schemas.microsoft.com/office/drawing/2014/main" id="{00000000-0008-0000-0400-00003A280000}"/>
              </a:ext>
            </a:extLst>
          </xdr:cNvPr>
          <xdr:cNvSpPr/>
        </xdr:nvSpPr>
        <xdr:spPr>
          <a:xfrm>
            <a:off x="8670906" y="5314894"/>
            <a:ext cx="214634" cy="82367"/>
          </a:xfrm>
          <a:custGeom>
            <a:avLst/>
            <a:gdLst>
              <a:gd name="connsiteX0" fmla="*/ 442 w 214634"/>
              <a:gd name="connsiteY0" fmla="*/ 19830 h 78853"/>
              <a:gd name="connsiteX1" fmla="*/ 19962 w 214634"/>
              <a:gd name="connsiteY1" fmla="*/ 307 h 78853"/>
              <a:gd name="connsiteX2" fmla="*/ 39483 w 214634"/>
              <a:gd name="connsiteY2" fmla="*/ 19830 h 78853"/>
              <a:gd name="connsiteX3" fmla="*/ 58981 w 214634"/>
              <a:gd name="connsiteY3" fmla="*/ 39355 h 78853"/>
              <a:gd name="connsiteX4" fmla="*/ 78501 w 214634"/>
              <a:gd name="connsiteY4" fmla="*/ 58881 h 78853"/>
              <a:gd name="connsiteX5" fmla="*/ 97999 w 214634"/>
              <a:gd name="connsiteY5" fmla="*/ 39355 h 78853"/>
              <a:gd name="connsiteX6" fmla="*/ 117520 w 214634"/>
              <a:gd name="connsiteY6" fmla="*/ 39355 h 78853"/>
              <a:gd name="connsiteX7" fmla="*/ 137018 w 214634"/>
              <a:gd name="connsiteY7" fmla="*/ 39355 h 78853"/>
              <a:gd name="connsiteX8" fmla="*/ 156538 w 214634"/>
              <a:gd name="connsiteY8" fmla="*/ 58881 h 78853"/>
              <a:gd name="connsiteX9" fmla="*/ 176058 w 214634"/>
              <a:gd name="connsiteY9" fmla="*/ 58881 h 78853"/>
              <a:gd name="connsiteX10" fmla="*/ 195557 w 214634"/>
              <a:gd name="connsiteY10" fmla="*/ 78404 h 78853"/>
              <a:gd name="connsiteX11" fmla="*/ 203954 w 214634"/>
              <a:gd name="connsiteY11" fmla="*/ 79160 h 78853"/>
              <a:gd name="connsiteX12" fmla="*/ 215077 w 214634"/>
              <a:gd name="connsiteY12" fmla="*/ 78404 h 7885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214634" h="78853">
                <a:moveTo>
                  <a:pt x="442" y="19830"/>
                </a:moveTo>
                <a:lnTo>
                  <a:pt x="19962" y="307"/>
                </a:lnTo>
                <a:lnTo>
                  <a:pt x="39483" y="19830"/>
                </a:lnTo>
                <a:lnTo>
                  <a:pt x="58981" y="39355"/>
                </a:lnTo>
                <a:lnTo>
                  <a:pt x="78501" y="58881"/>
                </a:lnTo>
                <a:lnTo>
                  <a:pt x="97999" y="39355"/>
                </a:lnTo>
                <a:lnTo>
                  <a:pt x="117520" y="39355"/>
                </a:lnTo>
                <a:lnTo>
                  <a:pt x="137018" y="39355"/>
                </a:lnTo>
                <a:lnTo>
                  <a:pt x="156538" y="58881"/>
                </a:lnTo>
                <a:lnTo>
                  <a:pt x="176058" y="58881"/>
                </a:lnTo>
                <a:lnTo>
                  <a:pt x="195557" y="78404"/>
                </a:lnTo>
                <a:lnTo>
                  <a:pt x="203954" y="79160"/>
                </a:lnTo>
                <a:lnTo>
                  <a:pt x="215077" y="78404"/>
                </a:lnTo>
              </a:path>
            </a:pathLst>
          </a:custGeom>
          <a:noFill/>
          <a:ln w="35305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299" name="Forma libre: forma 10298">
            <a:extLst>
              <a:ext uri="{FF2B5EF4-FFF2-40B4-BE49-F238E27FC236}">
                <a16:creationId xmlns:a16="http://schemas.microsoft.com/office/drawing/2014/main" id="{00000000-0008-0000-0400-00003B280000}"/>
              </a:ext>
            </a:extLst>
          </xdr:cNvPr>
          <xdr:cNvSpPr/>
        </xdr:nvSpPr>
        <xdr:spPr>
          <a:xfrm>
            <a:off x="8573371" y="5314894"/>
            <a:ext cx="97535" cy="19523"/>
          </a:xfrm>
          <a:custGeom>
            <a:avLst/>
            <a:gdLst>
              <a:gd name="connsiteX0" fmla="*/ 442 w 97535"/>
              <a:gd name="connsiteY0" fmla="*/ 19830 h 19523"/>
              <a:gd name="connsiteX1" fmla="*/ 19940 w 97535"/>
              <a:gd name="connsiteY1" fmla="*/ 19830 h 19523"/>
              <a:gd name="connsiteX2" fmla="*/ 39460 w 97535"/>
              <a:gd name="connsiteY2" fmla="*/ 19830 h 19523"/>
              <a:gd name="connsiteX3" fmla="*/ 58959 w 97535"/>
              <a:gd name="connsiteY3" fmla="*/ 307 h 19523"/>
              <a:gd name="connsiteX4" fmla="*/ 78479 w 97535"/>
              <a:gd name="connsiteY4" fmla="*/ 19830 h 19523"/>
              <a:gd name="connsiteX5" fmla="*/ 97977 w 97535"/>
              <a:gd name="connsiteY5" fmla="*/ 19830 h 195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97535" h="19523">
                <a:moveTo>
                  <a:pt x="442" y="19830"/>
                </a:moveTo>
                <a:lnTo>
                  <a:pt x="19940" y="19830"/>
                </a:lnTo>
                <a:lnTo>
                  <a:pt x="39460" y="19830"/>
                </a:lnTo>
                <a:lnTo>
                  <a:pt x="58959" y="307"/>
                </a:lnTo>
                <a:lnTo>
                  <a:pt x="78479" y="19830"/>
                </a:lnTo>
                <a:lnTo>
                  <a:pt x="97977" y="19830"/>
                </a:lnTo>
              </a:path>
            </a:pathLst>
          </a:custGeom>
          <a:noFill/>
          <a:ln w="3520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0" name="Forma libre: forma 10299">
            <a:extLst>
              <a:ext uri="{FF2B5EF4-FFF2-40B4-BE49-F238E27FC236}">
                <a16:creationId xmlns:a16="http://schemas.microsoft.com/office/drawing/2014/main" id="{00000000-0008-0000-0400-00003C280000}"/>
              </a:ext>
            </a:extLst>
          </xdr:cNvPr>
          <xdr:cNvSpPr/>
        </xdr:nvSpPr>
        <xdr:spPr>
          <a:xfrm>
            <a:off x="8553851" y="5334417"/>
            <a:ext cx="19520" cy="2217"/>
          </a:xfrm>
          <a:custGeom>
            <a:avLst/>
            <a:gdLst>
              <a:gd name="connsiteX0" fmla="*/ 442 w 19520"/>
              <a:gd name="connsiteY0" fmla="*/ 307 h 2217"/>
              <a:gd name="connsiteX1" fmla="*/ 19962 w 19520"/>
              <a:gd name="connsiteY1" fmla="*/ 307 h 221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20" h="2217">
                <a:moveTo>
                  <a:pt x="442" y="307"/>
                </a:moveTo>
                <a:lnTo>
                  <a:pt x="19962" y="307"/>
                </a:lnTo>
              </a:path>
            </a:pathLst>
          </a:custGeom>
          <a:noFill/>
          <a:ln w="351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1" name="Forma libre: forma 10300">
            <a:extLst>
              <a:ext uri="{FF2B5EF4-FFF2-40B4-BE49-F238E27FC236}">
                <a16:creationId xmlns:a16="http://schemas.microsoft.com/office/drawing/2014/main" id="{00000000-0008-0000-0400-00003D280000}"/>
              </a:ext>
            </a:extLst>
          </xdr:cNvPr>
          <xdr:cNvSpPr/>
        </xdr:nvSpPr>
        <xdr:spPr>
          <a:xfrm>
            <a:off x="8475814" y="5334417"/>
            <a:ext cx="78036" cy="62088"/>
          </a:xfrm>
          <a:custGeom>
            <a:avLst/>
            <a:gdLst>
              <a:gd name="connsiteX0" fmla="*/ 442 w 78036"/>
              <a:gd name="connsiteY0" fmla="*/ 58881 h 58574"/>
              <a:gd name="connsiteX1" fmla="*/ 19940 w 78036"/>
              <a:gd name="connsiteY1" fmla="*/ 39358 h 58574"/>
              <a:gd name="connsiteX2" fmla="*/ 39460 w 78036"/>
              <a:gd name="connsiteY2" fmla="*/ 19832 h 58574"/>
              <a:gd name="connsiteX3" fmla="*/ 58981 w 78036"/>
              <a:gd name="connsiteY3" fmla="*/ 19832 h 58574"/>
              <a:gd name="connsiteX4" fmla="*/ 66846 w 78036"/>
              <a:gd name="connsiteY4" fmla="*/ 11730 h 58574"/>
              <a:gd name="connsiteX5" fmla="*/ 78479 w 78036"/>
              <a:gd name="connsiteY5" fmla="*/ 307 h 58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78036" h="58574">
                <a:moveTo>
                  <a:pt x="442" y="58881"/>
                </a:moveTo>
                <a:lnTo>
                  <a:pt x="19940" y="39358"/>
                </a:lnTo>
                <a:lnTo>
                  <a:pt x="39460" y="19832"/>
                </a:lnTo>
                <a:lnTo>
                  <a:pt x="58981" y="19832"/>
                </a:lnTo>
                <a:lnTo>
                  <a:pt x="66846" y="11730"/>
                </a:lnTo>
                <a:lnTo>
                  <a:pt x="78479" y="307"/>
                </a:lnTo>
              </a:path>
            </a:pathLst>
          </a:custGeom>
          <a:noFill/>
          <a:ln w="3481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2" name="Forma libre: forma 10301">
            <a:extLst>
              <a:ext uri="{FF2B5EF4-FFF2-40B4-BE49-F238E27FC236}">
                <a16:creationId xmlns:a16="http://schemas.microsoft.com/office/drawing/2014/main" id="{00000000-0008-0000-0400-00003E280000}"/>
              </a:ext>
            </a:extLst>
          </xdr:cNvPr>
          <xdr:cNvSpPr/>
        </xdr:nvSpPr>
        <xdr:spPr>
          <a:xfrm>
            <a:off x="8378256" y="5396505"/>
            <a:ext cx="97557" cy="97622"/>
          </a:xfrm>
          <a:custGeom>
            <a:avLst/>
            <a:gdLst>
              <a:gd name="connsiteX0" fmla="*/ 442 w 97557"/>
              <a:gd name="connsiteY0" fmla="*/ 97930 h 97622"/>
              <a:gd name="connsiteX1" fmla="*/ 19962 w 97557"/>
              <a:gd name="connsiteY1" fmla="*/ 78406 h 97622"/>
              <a:gd name="connsiteX2" fmla="*/ 19962 w 97557"/>
              <a:gd name="connsiteY2" fmla="*/ 58881 h 97622"/>
              <a:gd name="connsiteX3" fmla="*/ 39460 w 97557"/>
              <a:gd name="connsiteY3" fmla="*/ 39358 h 97622"/>
              <a:gd name="connsiteX4" fmla="*/ 58981 w 97557"/>
              <a:gd name="connsiteY4" fmla="*/ 39358 h 97622"/>
              <a:gd name="connsiteX5" fmla="*/ 78479 w 97557"/>
              <a:gd name="connsiteY5" fmla="*/ 19832 h 97622"/>
              <a:gd name="connsiteX6" fmla="*/ 97999 w 97557"/>
              <a:gd name="connsiteY6" fmla="*/ 307 h 976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97557" h="97622">
                <a:moveTo>
                  <a:pt x="442" y="97930"/>
                </a:moveTo>
                <a:lnTo>
                  <a:pt x="19962" y="78406"/>
                </a:lnTo>
                <a:lnTo>
                  <a:pt x="19962" y="58881"/>
                </a:lnTo>
                <a:lnTo>
                  <a:pt x="39460" y="39358"/>
                </a:lnTo>
                <a:lnTo>
                  <a:pt x="58981" y="39358"/>
                </a:lnTo>
                <a:lnTo>
                  <a:pt x="78479" y="19832"/>
                </a:lnTo>
                <a:lnTo>
                  <a:pt x="97999" y="307"/>
                </a:lnTo>
              </a:path>
            </a:pathLst>
          </a:custGeom>
          <a:noFill/>
          <a:ln w="3452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3" name="Forma libre: forma 10302">
            <a:extLst>
              <a:ext uri="{FF2B5EF4-FFF2-40B4-BE49-F238E27FC236}">
                <a16:creationId xmlns:a16="http://schemas.microsoft.com/office/drawing/2014/main" id="{00000000-0008-0000-0400-00003F280000}"/>
              </a:ext>
            </a:extLst>
          </xdr:cNvPr>
          <xdr:cNvSpPr/>
        </xdr:nvSpPr>
        <xdr:spPr>
          <a:xfrm>
            <a:off x="10650854" y="5833073"/>
            <a:ext cx="63222" cy="58574"/>
          </a:xfrm>
          <a:custGeom>
            <a:avLst/>
            <a:gdLst>
              <a:gd name="connsiteX0" fmla="*/ 442 w 58538"/>
              <a:gd name="connsiteY0" fmla="*/ 58881 h 58574"/>
              <a:gd name="connsiteX1" fmla="*/ 19962 w 58538"/>
              <a:gd name="connsiteY1" fmla="*/ 39358 h 58574"/>
              <a:gd name="connsiteX2" fmla="*/ 39483 w 58538"/>
              <a:gd name="connsiteY2" fmla="*/ 19832 h 58574"/>
              <a:gd name="connsiteX3" fmla="*/ 58980 w 58538"/>
              <a:gd name="connsiteY3" fmla="*/ 19832 h 58574"/>
              <a:gd name="connsiteX4" fmla="*/ 58980 w 58538"/>
              <a:gd name="connsiteY4" fmla="*/ 307 h 58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8538" h="58574">
                <a:moveTo>
                  <a:pt x="442" y="58881"/>
                </a:moveTo>
                <a:lnTo>
                  <a:pt x="19962" y="39358"/>
                </a:lnTo>
                <a:lnTo>
                  <a:pt x="39483" y="19832"/>
                </a:lnTo>
                <a:lnTo>
                  <a:pt x="58980" y="19832"/>
                </a:lnTo>
                <a:lnTo>
                  <a:pt x="58980" y="307"/>
                </a:lnTo>
              </a:path>
            </a:pathLst>
          </a:custGeom>
          <a:noFill/>
          <a:ln w="37652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4" name="Forma libre: forma 10303">
            <a:extLst>
              <a:ext uri="{FF2B5EF4-FFF2-40B4-BE49-F238E27FC236}">
                <a16:creationId xmlns:a16="http://schemas.microsoft.com/office/drawing/2014/main" id="{00000000-0008-0000-0400-000040280000}"/>
              </a:ext>
            </a:extLst>
          </xdr:cNvPr>
          <xdr:cNvSpPr/>
        </xdr:nvSpPr>
        <xdr:spPr>
          <a:xfrm>
            <a:off x="10523983" y="5914686"/>
            <a:ext cx="126871" cy="58574"/>
          </a:xfrm>
          <a:custGeom>
            <a:avLst/>
            <a:gdLst>
              <a:gd name="connsiteX0" fmla="*/ 442 w 126871"/>
              <a:gd name="connsiteY0" fmla="*/ 48841 h 58574"/>
              <a:gd name="connsiteX1" fmla="*/ 10257 w 126871"/>
              <a:gd name="connsiteY1" fmla="*/ 58881 h 58574"/>
              <a:gd name="connsiteX2" fmla="*/ 29778 w 126871"/>
              <a:gd name="connsiteY2" fmla="*/ 39355 h 58574"/>
              <a:gd name="connsiteX3" fmla="*/ 49276 w 126871"/>
              <a:gd name="connsiteY3" fmla="*/ 39355 h 58574"/>
              <a:gd name="connsiteX4" fmla="*/ 68796 w 126871"/>
              <a:gd name="connsiteY4" fmla="*/ 39355 h 58574"/>
              <a:gd name="connsiteX5" fmla="*/ 88295 w 126871"/>
              <a:gd name="connsiteY5" fmla="*/ 19830 h 58574"/>
              <a:gd name="connsiteX6" fmla="*/ 107815 w 126871"/>
              <a:gd name="connsiteY6" fmla="*/ 19830 h 58574"/>
              <a:gd name="connsiteX7" fmla="*/ 127313 w 126871"/>
              <a:gd name="connsiteY7" fmla="*/ 307 h 58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26871" h="58574">
                <a:moveTo>
                  <a:pt x="442" y="48841"/>
                </a:moveTo>
                <a:lnTo>
                  <a:pt x="10257" y="58881"/>
                </a:lnTo>
                <a:lnTo>
                  <a:pt x="29778" y="39355"/>
                </a:lnTo>
                <a:lnTo>
                  <a:pt x="49276" y="39355"/>
                </a:lnTo>
                <a:lnTo>
                  <a:pt x="68796" y="39355"/>
                </a:lnTo>
                <a:lnTo>
                  <a:pt x="88295" y="19830"/>
                </a:lnTo>
                <a:lnTo>
                  <a:pt x="107815" y="19830"/>
                </a:lnTo>
                <a:lnTo>
                  <a:pt x="127313" y="307"/>
                </a:lnTo>
              </a:path>
            </a:pathLst>
          </a:custGeom>
          <a:noFill/>
          <a:ln w="3747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5" name="Forma libre: forma 10304">
            <a:extLst>
              <a:ext uri="{FF2B5EF4-FFF2-40B4-BE49-F238E27FC236}">
                <a16:creationId xmlns:a16="http://schemas.microsoft.com/office/drawing/2014/main" id="{00000000-0008-0000-0400-000041280000}"/>
              </a:ext>
            </a:extLst>
          </xdr:cNvPr>
          <xdr:cNvSpPr/>
        </xdr:nvSpPr>
        <xdr:spPr>
          <a:xfrm>
            <a:off x="10650854" y="5891647"/>
            <a:ext cx="6900" cy="23038"/>
          </a:xfrm>
          <a:custGeom>
            <a:avLst/>
            <a:gdLst>
              <a:gd name="connsiteX0" fmla="*/ 442 w 2216"/>
              <a:gd name="connsiteY0" fmla="*/ 19832 h 19525"/>
              <a:gd name="connsiteX1" fmla="*/ 442 w 2216"/>
              <a:gd name="connsiteY1" fmla="*/ 307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16" h="19525">
                <a:moveTo>
                  <a:pt x="442" y="19832"/>
                </a:moveTo>
                <a:lnTo>
                  <a:pt x="442" y="307"/>
                </a:lnTo>
              </a:path>
            </a:pathLst>
          </a:custGeom>
          <a:noFill/>
          <a:ln w="3756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6" name="Forma libre: forma 10305">
            <a:extLst>
              <a:ext uri="{FF2B5EF4-FFF2-40B4-BE49-F238E27FC236}">
                <a16:creationId xmlns:a16="http://schemas.microsoft.com/office/drawing/2014/main" id="{00000000-0008-0000-0400-000042280000}"/>
              </a:ext>
            </a:extLst>
          </xdr:cNvPr>
          <xdr:cNvSpPr/>
        </xdr:nvSpPr>
        <xdr:spPr>
          <a:xfrm>
            <a:off x="10514279" y="5953734"/>
            <a:ext cx="9704" cy="9485"/>
          </a:xfrm>
          <a:custGeom>
            <a:avLst/>
            <a:gdLst>
              <a:gd name="connsiteX0" fmla="*/ 442 w 9704"/>
              <a:gd name="connsiteY0" fmla="*/ 307 h 9485"/>
              <a:gd name="connsiteX1" fmla="*/ 10146 w 9704"/>
              <a:gd name="connsiteY1" fmla="*/ 9792 h 948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9704" h="9485">
                <a:moveTo>
                  <a:pt x="442" y="307"/>
                </a:moveTo>
                <a:lnTo>
                  <a:pt x="10146" y="9792"/>
                </a:lnTo>
              </a:path>
            </a:pathLst>
          </a:custGeom>
          <a:noFill/>
          <a:ln w="37378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7" name="Forma libre: forma 10306">
            <a:extLst>
              <a:ext uri="{FF2B5EF4-FFF2-40B4-BE49-F238E27FC236}">
                <a16:creationId xmlns:a16="http://schemas.microsoft.com/office/drawing/2014/main" id="{00000000-0008-0000-0400-000043280000}"/>
              </a:ext>
            </a:extLst>
          </xdr:cNvPr>
          <xdr:cNvSpPr/>
        </xdr:nvSpPr>
        <xdr:spPr>
          <a:xfrm>
            <a:off x="5174601" y="4757664"/>
            <a:ext cx="19509" cy="19525"/>
          </a:xfrm>
          <a:custGeom>
            <a:avLst/>
            <a:gdLst>
              <a:gd name="connsiteX0" fmla="*/ 442 w 19509"/>
              <a:gd name="connsiteY0" fmla="*/ 307 h 19525"/>
              <a:gd name="connsiteX1" fmla="*/ 19952 w 19509"/>
              <a:gd name="connsiteY1" fmla="*/ 19832 h 19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509" h="19525">
                <a:moveTo>
                  <a:pt x="442" y="307"/>
                </a:moveTo>
                <a:lnTo>
                  <a:pt x="19952" y="19832"/>
                </a:lnTo>
              </a:path>
            </a:pathLst>
          </a:custGeom>
          <a:noFill/>
          <a:ln w="11407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8" name="Forma libre: forma 10307">
            <a:extLst>
              <a:ext uri="{FF2B5EF4-FFF2-40B4-BE49-F238E27FC236}">
                <a16:creationId xmlns:a16="http://schemas.microsoft.com/office/drawing/2014/main" id="{00000000-0008-0000-0400-000044280000}"/>
              </a:ext>
            </a:extLst>
          </xdr:cNvPr>
          <xdr:cNvSpPr/>
        </xdr:nvSpPr>
        <xdr:spPr>
          <a:xfrm>
            <a:off x="5116069" y="4558905"/>
            <a:ext cx="58532" cy="198758"/>
          </a:xfrm>
          <a:custGeom>
            <a:avLst/>
            <a:gdLst>
              <a:gd name="connsiteX0" fmla="*/ 442 w 58532"/>
              <a:gd name="connsiteY0" fmla="*/ 307 h 195245"/>
              <a:gd name="connsiteX1" fmla="*/ 442 w 58532"/>
              <a:gd name="connsiteY1" fmla="*/ 19830 h 195245"/>
              <a:gd name="connsiteX2" fmla="*/ 442 w 58532"/>
              <a:gd name="connsiteY2" fmla="*/ 39355 h 195245"/>
              <a:gd name="connsiteX3" fmla="*/ 19954 w 58532"/>
              <a:gd name="connsiteY3" fmla="*/ 58881 h 195245"/>
              <a:gd name="connsiteX4" fmla="*/ 39463 w 58532"/>
              <a:gd name="connsiteY4" fmla="*/ 78404 h 195245"/>
              <a:gd name="connsiteX5" fmla="*/ 58974 w 58532"/>
              <a:gd name="connsiteY5" fmla="*/ 97930 h 195245"/>
              <a:gd name="connsiteX6" fmla="*/ 58974 w 58532"/>
              <a:gd name="connsiteY6" fmla="*/ 117453 h 195245"/>
              <a:gd name="connsiteX7" fmla="*/ 58974 w 58532"/>
              <a:gd name="connsiteY7" fmla="*/ 136978 h 195245"/>
              <a:gd name="connsiteX8" fmla="*/ 58974 w 58532"/>
              <a:gd name="connsiteY8" fmla="*/ 156504 h 195245"/>
              <a:gd name="connsiteX9" fmla="*/ 58974 w 58532"/>
              <a:gd name="connsiteY9" fmla="*/ 176027 h 195245"/>
              <a:gd name="connsiteX10" fmla="*/ 58970 w 58532"/>
              <a:gd name="connsiteY10" fmla="*/ 179947 h 195245"/>
              <a:gd name="connsiteX11" fmla="*/ 58974 w 58532"/>
              <a:gd name="connsiteY11" fmla="*/ 195553 h 1952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58532" h="195245">
                <a:moveTo>
                  <a:pt x="442" y="307"/>
                </a:moveTo>
                <a:lnTo>
                  <a:pt x="442" y="19830"/>
                </a:lnTo>
                <a:lnTo>
                  <a:pt x="442" y="39355"/>
                </a:lnTo>
                <a:lnTo>
                  <a:pt x="19954" y="58881"/>
                </a:lnTo>
                <a:lnTo>
                  <a:pt x="39463" y="78404"/>
                </a:lnTo>
                <a:lnTo>
                  <a:pt x="58974" y="97930"/>
                </a:lnTo>
                <a:lnTo>
                  <a:pt x="58974" y="117453"/>
                </a:lnTo>
                <a:lnTo>
                  <a:pt x="58974" y="136978"/>
                </a:lnTo>
                <a:lnTo>
                  <a:pt x="58974" y="156504"/>
                </a:lnTo>
                <a:lnTo>
                  <a:pt x="58974" y="176027"/>
                </a:lnTo>
                <a:lnTo>
                  <a:pt x="58970" y="179947"/>
                </a:lnTo>
                <a:lnTo>
                  <a:pt x="58974" y="195553"/>
                </a:lnTo>
              </a:path>
            </a:pathLst>
          </a:custGeom>
          <a:noFill/>
          <a:ln w="8276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09" name="Forma libre: forma 10308">
            <a:extLst>
              <a:ext uri="{FF2B5EF4-FFF2-40B4-BE49-F238E27FC236}">
                <a16:creationId xmlns:a16="http://schemas.microsoft.com/office/drawing/2014/main" id="{00000000-0008-0000-0400-000045280000}"/>
              </a:ext>
            </a:extLst>
          </xdr:cNvPr>
          <xdr:cNvSpPr/>
        </xdr:nvSpPr>
        <xdr:spPr>
          <a:xfrm>
            <a:off x="5057537" y="4441756"/>
            <a:ext cx="58532" cy="117148"/>
          </a:xfrm>
          <a:custGeom>
            <a:avLst/>
            <a:gdLst>
              <a:gd name="connsiteX0" fmla="*/ 442 w 58532"/>
              <a:gd name="connsiteY0" fmla="*/ 307 h 117148"/>
              <a:gd name="connsiteX1" fmla="*/ 19954 w 58532"/>
              <a:gd name="connsiteY1" fmla="*/ 19832 h 117148"/>
              <a:gd name="connsiteX2" fmla="*/ 19954 w 58532"/>
              <a:gd name="connsiteY2" fmla="*/ 39356 h 117148"/>
              <a:gd name="connsiteX3" fmla="*/ 39463 w 58532"/>
              <a:gd name="connsiteY3" fmla="*/ 58881 h 117148"/>
              <a:gd name="connsiteX4" fmla="*/ 39463 w 58532"/>
              <a:gd name="connsiteY4" fmla="*/ 78404 h 117148"/>
              <a:gd name="connsiteX5" fmla="*/ 39463 w 58532"/>
              <a:gd name="connsiteY5" fmla="*/ 97930 h 117148"/>
              <a:gd name="connsiteX6" fmla="*/ 58975 w 58532"/>
              <a:gd name="connsiteY6" fmla="*/ 117455 h 11714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58532" h="117148">
                <a:moveTo>
                  <a:pt x="442" y="307"/>
                </a:moveTo>
                <a:lnTo>
                  <a:pt x="19954" y="19832"/>
                </a:lnTo>
                <a:lnTo>
                  <a:pt x="19954" y="39356"/>
                </a:lnTo>
                <a:lnTo>
                  <a:pt x="39463" y="58881"/>
                </a:lnTo>
                <a:lnTo>
                  <a:pt x="39463" y="78404"/>
                </a:lnTo>
                <a:lnTo>
                  <a:pt x="39463" y="97930"/>
                </a:lnTo>
                <a:lnTo>
                  <a:pt x="58975" y="117455"/>
                </a:lnTo>
              </a:path>
            </a:pathLst>
          </a:custGeom>
          <a:noFill/>
          <a:ln w="7851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  <xdr:sp macro="" textlink="">
        <xdr:nvSpPr>
          <xdr:cNvPr id="10310" name="Forma libre: forma 10309">
            <a:extLst>
              <a:ext uri="{FF2B5EF4-FFF2-40B4-BE49-F238E27FC236}">
                <a16:creationId xmlns:a16="http://schemas.microsoft.com/office/drawing/2014/main" id="{00000000-0008-0000-0400-000046280000}"/>
              </a:ext>
            </a:extLst>
          </xdr:cNvPr>
          <xdr:cNvSpPr/>
        </xdr:nvSpPr>
        <xdr:spPr>
          <a:xfrm>
            <a:off x="4667324" y="3459408"/>
            <a:ext cx="390250" cy="982348"/>
          </a:xfrm>
          <a:custGeom>
            <a:avLst/>
            <a:gdLst>
              <a:gd name="connsiteX0" fmla="*/ 442 w 390250"/>
              <a:gd name="connsiteY0" fmla="*/ 307 h 961271"/>
              <a:gd name="connsiteX1" fmla="*/ 442 w 390250"/>
              <a:gd name="connsiteY1" fmla="*/ 4870 h 961271"/>
              <a:gd name="connsiteX2" fmla="*/ 19953 w 390250"/>
              <a:gd name="connsiteY2" fmla="*/ 24393 h 961271"/>
              <a:gd name="connsiteX3" fmla="*/ 39464 w 390250"/>
              <a:gd name="connsiteY3" fmla="*/ 43919 h 961271"/>
              <a:gd name="connsiteX4" fmla="*/ 58974 w 390250"/>
              <a:gd name="connsiteY4" fmla="*/ 63444 h 961271"/>
              <a:gd name="connsiteX5" fmla="*/ 78485 w 390250"/>
              <a:gd name="connsiteY5" fmla="*/ 82968 h 961271"/>
              <a:gd name="connsiteX6" fmla="*/ 97996 w 390250"/>
              <a:gd name="connsiteY6" fmla="*/ 102493 h 961271"/>
              <a:gd name="connsiteX7" fmla="*/ 97996 w 390250"/>
              <a:gd name="connsiteY7" fmla="*/ 122018 h 961271"/>
              <a:gd name="connsiteX8" fmla="*/ 97996 w 390250"/>
              <a:gd name="connsiteY8" fmla="*/ 141542 h 961271"/>
              <a:gd name="connsiteX9" fmla="*/ 117506 w 390250"/>
              <a:gd name="connsiteY9" fmla="*/ 161067 h 961271"/>
              <a:gd name="connsiteX10" fmla="*/ 117506 w 390250"/>
              <a:gd name="connsiteY10" fmla="*/ 180592 h 961271"/>
              <a:gd name="connsiteX11" fmla="*/ 137017 w 390250"/>
              <a:gd name="connsiteY11" fmla="*/ 200116 h 961271"/>
              <a:gd name="connsiteX12" fmla="*/ 137017 w 390250"/>
              <a:gd name="connsiteY12" fmla="*/ 219641 h 961271"/>
              <a:gd name="connsiteX13" fmla="*/ 137017 w 390250"/>
              <a:gd name="connsiteY13" fmla="*/ 239166 h 961271"/>
              <a:gd name="connsiteX14" fmla="*/ 137017 w 390250"/>
              <a:gd name="connsiteY14" fmla="*/ 258690 h 961271"/>
              <a:gd name="connsiteX15" fmla="*/ 137017 w 390250"/>
              <a:gd name="connsiteY15" fmla="*/ 278215 h 961271"/>
              <a:gd name="connsiteX16" fmla="*/ 156528 w 390250"/>
              <a:gd name="connsiteY16" fmla="*/ 297740 h 961271"/>
              <a:gd name="connsiteX17" fmla="*/ 156528 w 390250"/>
              <a:gd name="connsiteY17" fmla="*/ 317264 h 961271"/>
              <a:gd name="connsiteX18" fmla="*/ 176038 w 390250"/>
              <a:gd name="connsiteY18" fmla="*/ 336789 h 961271"/>
              <a:gd name="connsiteX19" fmla="*/ 176038 w 390250"/>
              <a:gd name="connsiteY19" fmla="*/ 356314 h 961271"/>
              <a:gd name="connsiteX20" fmla="*/ 176038 w 390250"/>
              <a:gd name="connsiteY20" fmla="*/ 375838 h 961271"/>
              <a:gd name="connsiteX21" fmla="*/ 176038 w 390250"/>
              <a:gd name="connsiteY21" fmla="*/ 395363 h 961271"/>
              <a:gd name="connsiteX22" fmla="*/ 176038 w 390250"/>
              <a:gd name="connsiteY22" fmla="*/ 414888 h 961271"/>
              <a:gd name="connsiteX23" fmla="*/ 176038 w 390250"/>
              <a:gd name="connsiteY23" fmla="*/ 434412 h 961271"/>
              <a:gd name="connsiteX24" fmla="*/ 176038 w 390250"/>
              <a:gd name="connsiteY24" fmla="*/ 453937 h 961271"/>
              <a:gd name="connsiteX25" fmla="*/ 195549 w 390250"/>
              <a:gd name="connsiteY25" fmla="*/ 473461 h 961271"/>
              <a:gd name="connsiteX26" fmla="*/ 215060 w 390250"/>
              <a:gd name="connsiteY26" fmla="*/ 492986 h 961271"/>
              <a:gd name="connsiteX27" fmla="*/ 215060 w 390250"/>
              <a:gd name="connsiteY27" fmla="*/ 512511 h 961271"/>
              <a:gd name="connsiteX28" fmla="*/ 215060 w 390250"/>
              <a:gd name="connsiteY28" fmla="*/ 532035 h 961271"/>
              <a:gd name="connsiteX29" fmla="*/ 234570 w 390250"/>
              <a:gd name="connsiteY29" fmla="*/ 551560 h 961271"/>
              <a:gd name="connsiteX30" fmla="*/ 234570 w 390250"/>
              <a:gd name="connsiteY30" fmla="*/ 571085 h 961271"/>
              <a:gd name="connsiteX31" fmla="*/ 254081 w 390250"/>
              <a:gd name="connsiteY31" fmla="*/ 590609 h 961271"/>
              <a:gd name="connsiteX32" fmla="*/ 254081 w 390250"/>
              <a:gd name="connsiteY32" fmla="*/ 610133 h 961271"/>
              <a:gd name="connsiteX33" fmla="*/ 273592 w 390250"/>
              <a:gd name="connsiteY33" fmla="*/ 629659 h 961271"/>
              <a:gd name="connsiteX34" fmla="*/ 273592 w 390250"/>
              <a:gd name="connsiteY34" fmla="*/ 649184 h 961271"/>
              <a:gd name="connsiteX35" fmla="*/ 273592 w 390250"/>
              <a:gd name="connsiteY35" fmla="*/ 668707 h 961271"/>
              <a:gd name="connsiteX36" fmla="*/ 293102 w 390250"/>
              <a:gd name="connsiteY36" fmla="*/ 688233 h 961271"/>
              <a:gd name="connsiteX37" fmla="*/ 293102 w 390250"/>
              <a:gd name="connsiteY37" fmla="*/ 707758 h 961271"/>
              <a:gd name="connsiteX38" fmla="*/ 293102 w 390250"/>
              <a:gd name="connsiteY38" fmla="*/ 727282 h 961271"/>
              <a:gd name="connsiteX39" fmla="*/ 293102 w 390250"/>
              <a:gd name="connsiteY39" fmla="*/ 746807 h 961271"/>
              <a:gd name="connsiteX40" fmla="*/ 312613 w 390250"/>
              <a:gd name="connsiteY40" fmla="*/ 766333 h 961271"/>
              <a:gd name="connsiteX41" fmla="*/ 312613 w 390250"/>
              <a:gd name="connsiteY41" fmla="*/ 785856 h 961271"/>
              <a:gd name="connsiteX42" fmla="*/ 332124 w 390250"/>
              <a:gd name="connsiteY42" fmla="*/ 805381 h 961271"/>
              <a:gd name="connsiteX43" fmla="*/ 351635 w 390250"/>
              <a:gd name="connsiteY43" fmla="*/ 824905 h 961271"/>
              <a:gd name="connsiteX44" fmla="*/ 371144 w 390250"/>
              <a:gd name="connsiteY44" fmla="*/ 844430 h 961271"/>
              <a:gd name="connsiteX45" fmla="*/ 390656 w 390250"/>
              <a:gd name="connsiteY45" fmla="*/ 863955 h 961271"/>
              <a:gd name="connsiteX46" fmla="*/ 390656 w 390250"/>
              <a:gd name="connsiteY46" fmla="*/ 883479 h 961271"/>
              <a:gd name="connsiteX47" fmla="*/ 390656 w 390250"/>
              <a:gd name="connsiteY47" fmla="*/ 903004 h 961271"/>
              <a:gd name="connsiteX48" fmla="*/ 390656 w 390250"/>
              <a:gd name="connsiteY48" fmla="*/ 922530 h 961271"/>
              <a:gd name="connsiteX49" fmla="*/ 390656 w 390250"/>
              <a:gd name="connsiteY49" fmla="*/ 942053 h 961271"/>
              <a:gd name="connsiteX50" fmla="*/ 390693 w 390250"/>
              <a:gd name="connsiteY50" fmla="*/ 950878 h 961271"/>
              <a:gd name="connsiteX51" fmla="*/ 390656 w 390250"/>
              <a:gd name="connsiteY51" fmla="*/ 961578 h 96127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</a:cxnLst>
            <a:rect l="l" t="t" r="r" b="b"/>
            <a:pathLst>
              <a:path w="390250" h="961271">
                <a:moveTo>
                  <a:pt x="442" y="307"/>
                </a:moveTo>
                <a:lnTo>
                  <a:pt x="442" y="4870"/>
                </a:lnTo>
                <a:lnTo>
                  <a:pt x="19953" y="24393"/>
                </a:lnTo>
                <a:lnTo>
                  <a:pt x="39464" y="43919"/>
                </a:lnTo>
                <a:lnTo>
                  <a:pt x="58974" y="63444"/>
                </a:lnTo>
                <a:lnTo>
                  <a:pt x="78485" y="82968"/>
                </a:lnTo>
                <a:lnTo>
                  <a:pt x="97996" y="102493"/>
                </a:lnTo>
                <a:lnTo>
                  <a:pt x="97996" y="122018"/>
                </a:lnTo>
                <a:lnTo>
                  <a:pt x="97996" y="141542"/>
                </a:lnTo>
                <a:lnTo>
                  <a:pt x="117506" y="161067"/>
                </a:lnTo>
                <a:lnTo>
                  <a:pt x="117506" y="180592"/>
                </a:lnTo>
                <a:lnTo>
                  <a:pt x="137017" y="200116"/>
                </a:lnTo>
                <a:lnTo>
                  <a:pt x="137017" y="219641"/>
                </a:lnTo>
                <a:lnTo>
                  <a:pt x="137017" y="239166"/>
                </a:lnTo>
                <a:lnTo>
                  <a:pt x="137017" y="258690"/>
                </a:lnTo>
                <a:lnTo>
                  <a:pt x="137017" y="278215"/>
                </a:lnTo>
                <a:lnTo>
                  <a:pt x="156528" y="297740"/>
                </a:lnTo>
                <a:lnTo>
                  <a:pt x="156528" y="317264"/>
                </a:lnTo>
                <a:lnTo>
                  <a:pt x="176038" y="336789"/>
                </a:lnTo>
                <a:lnTo>
                  <a:pt x="176038" y="356314"/>
                </a:lnTo>
                <a:lnTo>
                  <a:pt x="176038" y="375838"/>
                </a:lnTo>
                <a:lnTo>
                  <a:pt x="176038" y="395363"/>
                </a:lnTo>
                <a:lnTo>
                  <a:pt x="176038" y="414888"/>
                </a:lnTo>
                <a:lnTo>
                  <a:pt x="176038" y="434412"/>
                </a:lnTo>
                <a:lnTo>
                  <a:pt x="176038" y="453937"/>
                </a:lnTo>
                <a:lnTo>
                  <a:pt x="195549" y="473461"/>
                </a:lnTo>
                <a:lnTo>
                  <a:pt x="215060" y="492986"/>
                </a:lnTo>
                <a:lnTo>
                  <a:pt x="215060" y="512511"/>
                </a:lnTo>
                <a:lnTo>
                  <a:pt x="215060" y="532035"/>
                </a:lnTo>
                <a:lnTo>
                  <a:pt x="234570" y="551560"/>
                </a:lnTo>
                <a:lnTo>
                  <a:pt x="234570" y="571085"/>
                </a:lnTo>
                <a:lnTo>
                  <a:pt x="254081" y="590609"/>
                </a:lnTo>
                <a:lnTo>
                  <a:pt x="254081" y="610133"/>
                </a:lnTo>
                <a:lnTo>
                  <a:pt x="273592" y="629659"/>
                </a:lnTo>
                <a:lnTo>
                  <a:pt x="273592" y="649184"/>
                </a:lnTo>
                <a:lnTo>
                  <a:pt x="273592" y="668707"/>
                </a:lnTo>
                <a:lnTo>
                  <a:pt x="293102" y="688233"/>
                </a:lnTo>
                <a:lnTo>
                  <a:pt x="293102" y="707758"/>
                </a:lnTo>
                <a:lnTo>
                  <a:pt x="293102" y="727282"/>
                </a:lnTo>
                <a:lnTo>
                  <a:pt x="293102" y="746807"/>
                </a:lnTo>
                <a:lnTo>
                  <a:pt x="312613" y="766333"/>
                </a:lnTo>
                <a:lnTo>
                  <a:pt x="312613" y="785856"/>
                </a:lnTo>
                <a:lnTo>
                  <a:pt x="332124" y="805381"/>
                </a:lnTo>
                <a:lnTo>
                  <a:pt x="351635" y="824905"/>
                </a:lnTo>
                <a:lnTo>
                  <a:pt x="371144" y="844430"/>
                </a:lnTo>
                <a:lnTo>
                  <a:pt x="390656" y="863955"/>
                </a:lnTo>
                <a:lnTo>
                  <a:pt x="390656" y="883479"/>
                </a:lnTo>
                <a:lnTo>
                  <a:pt x="390656" y="903004"/>
                </a:lnTo>
                <a:lnTo>
                  <a:pt x="390656" y="922530"/>
                </a:lnTo>
                <a:lnTo>
                  <a:pt x="390656" y="942053"/>
                </a:lnTo>
                <a:lnTo>
                  <a:pt x="390693" y="950878"/>
                </a:lnTo>
                <a:lnTo>
                  <a:pt x="390656" y="961578"/>
                </a:lnTo>
              </a:path>
            </a:pathLst>
          </a:custGeom>
          <a:noFill/>
          <a:ln w="6410" cap="sq">
            <a:solidFill>
              <a:srgbClr val="1F78B4"/>
            </a:solidFill>
            <a:prstDash val="solid"/>
            <a:bevel/>
          </a:ln>
        </xdr:spPr>
        <xdr:txBody>
          <a:bodyPr rtlCol="0" anchor="ctr"/>
          <a:lstStyle/>
          <a:p>
            <a:endParaRPr lang="es-CO"/>
          </a:p>
        </xdr:txBody>
      </xdr:sp>
    </xdr:grpSp>
    <xdr:clientData/>
  </xdr:twoCellAnchor>
  <xdr:twoCellAnchor editAs="oneCell">
    <xdr:from>
      <xdr:col>9</xdr:col>
      <xdr:colOff>378178</xdr:colOff>
      <xdr:row>2</xdr:row>
      <xdr:rowOff>404672</xdr:rowOff>
    </xdr:from>
    <xdr:to>
      <xdr:col>10</xdr:col>
      <xdr:colOff>75177</xdr:colOff>
      <xdr:row>4</xdr:row>
      <xdr:rowOff>53147</xdr:rowOff>
    </xdr:to>
    <xdr:pic>
      <xdr:nvPicPr>
        <xdr:cNvPr id="22" name="Gráfico 21" descr="Agua con relleno sólido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678032" y="1466800"/>
          <a:ext cx="457202" cy="457201"/>
        </a:xfrm>
        <a:prstGeom prst="rect">
          <a:avLst/>
        </a:prstGeom>
      </xdr:spPr>
    </xdr:pic>
    <xdr:clientData/>
  </xdr:twoCellAnchor>
  <xdr:twoCellAnchor>
    <xdr:from>
      <xdr:col>2</xdr:col>
      <xdr:colOff>150963</xdr:colOff>
      <xdr:row>3</xdr:row>
      <xdr:rowOff>21567</xdr:rowOff>
    </xdr:from>
    <xdr:to>
      <xdr:col>3</xdr:col>
      <xdr:colOff>512194</xdr:colOff>
      <xdr:row>5</xdr:row>
      <xdr:rowOff>86264</xdr:rowOff>
    </xdr:to>
    <xdr:sp macro="" textlink="">
      <xdr:nvSpPr>
        <xdr:cNvPr id="136" name="Forma libre: forma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/>
      </xdr:nvSpPr>
      <xdr:spPr>
        <a:xfrm>
          <a:off x="1315529" y="1450317"/>
          <a:ext cx="1121434" cy="409754"/>
        </a:xfrm>
        <a:custGeom>
          <a:avLst/>
          <a:gdLst>
            <a:gd name="connsiteX0" fmla="*/ 442 w 1014547"/>
            <a:gd name="connsiteY0" fmla="*/ 307 h 370968"/>
            <a:gd name="connsiteX1" fmla="*/ 442 w 1014547"/>
            <a:gd name="connsiteY1" fmla="*/ 19832 h 370968"/>
            <a:gd name="connsiteX2" fmla="*/ 19962 w 1014547"/>
            <a:gd name="connsiteY2" fmla="*/ 39355 h 370968"/>
            <a:gd name="connsiteX3" fmla="*/ 39461 w 1014547"/>
            <a:gd name="connsiteY3" fmla="*/ 58881 h 370968"/>
            <a:gd name="connsiteX4" fmla="*/ 39461 w 1014547"/>
            <a:gd name="connsiteY4" fmla="*/ 78406 h 370968"/>
            <a:gd name="connsiteX5" fmla="*/ 58981 w 1014547"/>
            <a:gd name="connsiteY5" fmla="*/ 97929 h 370968"/>
            <a:gd name="connsiteX6" fmla="*/ 58981 w 1014547"/>
            <a:gd name="connsiteY6" fmla="*/ 117455 h 370968"/>
            <a:gd name="connsiteX7" fmla="*/ 78479 w 1014547"/>
            <a:gd name="connsiteY7" fmla="*/ 136978 h 370968"/>
            <a:gd name="connsiteX8" fmla="*/ 97999 w 1014547"/>
            <a:gd name="connsiteY8" fmla="*/ 156504 h 370968"/>
            <a:gd name="connsiteX9" fmla="*/ 117520 w 1014547"/>
            <a:gd name="connsiteY9" fmla="*/ 156504 h 370968"/>
            <a:gd name="connsiteX10" fmla="*/ 137018 w 1014547"/>
            <a:gd name="connsiteY10" fmla="*/ 156504 h 370968"/>
            <a:gd name="connsiteX11" fmla="*/ 156538 w 1014547"/>
            <a:gd name="connsiteY11" fmla="*/ 156504 h 370968"/>
            <a:gd name="connsiteX12" fmla="*/ 176036 w 1014547"/>
            <a:gd name="connsiteY12" fmla="*/ 136978 h 370968"/>
            <a:gd name="connsiteX13" fmla="*/ 195557 w 1014547"/>
            <a:gd name="connsiteY13" fmla="*/ 156504 h 370968"/>
            <a:gd name="connsiteX14" fmla="*/ 215055 w 1014547"/>
            <a:gd name="connsiteY14" fmla="*/ 156504 h 370968"/>
            <a:gd name="connsiteX15" fmla="*/ 234575 w 1014547"/>
            <a:gd name="connsiteY15" fmla="*/ 156504 h 370968"/>
            <a:gd name="connsiteX16" fmla="*/ 254073 w 1014547"/>
            <a:gd name="connsiteY16" fmla="*/ 156504 h 370968"/>
            <a:gd name="connsiteX17" fmla="*/ 273594 w 1014547"/>
            <a:gd name="connsiteY17" fmla="*/ 156504 h 370968"/>
            <a:gd name="connsiteX18" fmla="*/ 293114 w 1014547"/>
            <a:gd name="connsiteY18" fmla="*/ 156504 h 370968"/>
            <a:gd name="connsiteX19" fmla="*/ 312612 w 1014547"/>
            <a:gd name="connsiteY19" fmla="*/ 136978 h 370968"/>
            <a:gd name="connsiteX20" fmla="*/ 332132 w 1014547"/>
            <a:gd name="connsiteY20" fmla="*/ 136978 h 370968"/>
            <a:gd name="connsiteX21" fmla="*/ 351630 w 1014547"/>
            <a:gd name="connsiteY21" fmla="*/ 136978 h 370968"/>
            <a:gd name="connsiteX22" fmla="*/ 371151 w 1014547"/>
            <a:gd name="connsiteY22" fmla="*/ 156504 h 370968"/>
            <a:gd name="connsiteX23" fmla="*/ 351630 w 1014547"/>
            <a:gd name="connsiteY23" fmla="*/ 176029 h 370968"/>
            <a:gd name="connsiteX24" fmla="*/ 351630 w 1014547"/>
            <a:gd name="connsiteY24" fmla="*/ 195552 h 370968"/>
            <a:gd name="connsiteX25" fmla="*/ 332132 w 1014547"/>
            <a:gd name="connsiteY25" fmla="*/ 215078 h 370968"/>
            <a:gd name="connsiteX26" fmla="*/ 351630 w 1014547"/>
            <a:gd name="connsiteY26" fmla="*/ 234603 h 370968"/>
            <a:gd name="connsiteX27" fmla="*/ 371151 w 1014547"/>
            <a:gd name="connsiteY27" fmla="*/ 254127 h 370968"/>
            <a:gd name="connsiteX28" fmla="*/ 390649 w 1014547"/>
            <a:gd name="connsiteY28" fmla="*/ 273652 h 370968"/>
            <a:gd name="connsiteX29" fmla="*/ 410170 w 1014547"/>
            <a:gd name="connsiteY29" fmla="*/ 273652 h 370968"/>
            <a:gd name="connsiteX30" fmla="*/ 429690 w 1014547"/>
            <a:gd name="connsiteY30" fmla="*/ 273652 h 370968"/>
            <a:gd name="connsiteX31" fmla="*/ 449188 w 1014547"/>
            <a:gd name="connsiteY31" fmla="*/ 273652 h 370968"/>
            <a:gd name="connsiteX32" fmla="*/ 468708 w 1014547"/>
            <a:gd name="connsiteY32" fmla="*/ 273652 h 370968"/>
            <a:gd name="connsiteX33" fmla="*/ 488207 w 1014547"/>
            <a:gd name="connsiteY33" fmla="*/ 273652 h 370968"/>
            <a:gd name="connsiteX34" fmla="*/ 507727 w 1014547"/>
            <a:gd name="connsiteY34" fmla="*/ 254127 h 370968"/>
            <a:gd name="connsiteX35" fmla="*/ 527225 w 1014547"/>
            <a:gd name="connsiteY35" fmla="*/ 234603 h 370968"/>
            <a:gd name="connsiteX36" fmla="*/ 546745 w 1014547"/>
            <a:gd name="connsiteY36" fmla="*/ 215078 h 370968"/>
            <a:gd name="connsiteX37" fmla="*/ 566244 w 1014547"/>
            <a:gd name="connsiteY37" fmla="*/ 215078 h 370968"/>
            <a:gd name="connsiteX38" fmla="*/ 585764 w 1014547"/>
            <a:gd name="connsiteY38" fmla="*/ 234603 h 370968"/>
            <a:gd name="connsiteX39" fmla="*/ 605284 w 1014547"/>
            <a:gd name="connsiteY39" fmla="*/ 254127 h 370968"/>
            <a:gd name="connsiteX40" fmla="*/ 605284 w 1014547"/>
            <a:gd name="connsiteY40" fmla="*/ 273652 h 370968"/>
            <a:gd name="connsiteX41" fmla="*/ 624782 w 1014547"/>
            <a:gd name="connsiteY41" fmla="*/ 293178 h 370968"/>
            <a:gd name="connsiteX42" fmla="*/ 644303 w 1014547"/>
            <a:gd name="connsiteY42" fmla="*/ 293178 h 370968"/>
            <a:gd name="connsiteX43" fmla="*/ 663801 w 1014547"/>
            <a:gd name="connsiteY43" fmla="*/ 293178 h 370968"/>
            <a:gd name="connsiteX44" fmla="*/ 683321 w 1014547"/>
            <a:gd name="connsiteY44" fmla="*/ 293178 h 370968"/>
            <a:gd name="connsiteX45" fmla="*/ 702819 w 1014547"/>
            <a:gd name="connsiteY45" fmla="*/ 293178 h 370968"/>
            <a:gd name="connsiteX46" fmla="*/ 722340 w 1014547"/>
            <a:gd name="connsiteY46" fmla="*/ 293178 h 370968"/>
            <a:gd name="connsiteX47" fmla="*/ 741860 w 1014547"/>
            <a:gd name="connsiteY47" fmla="*/ 312701 h 370968"/>
            <a:gd name="connsiteX48" fmla="*/ 761358 w 1014547"/>
            <a:gd name="connsiteY48" fmla="*/ 312701 h 370968"/>
            <a:gd name="connsiteX49" fmla="*/ 780878 w 1014547"/>
            <a:gd name="connsiteY49" fmla="*/ 312701 h 370968"/>
            <a:gd name="connsiteX50" fmla="*/ 800377 w 1014547"/>
            <a:gd name="connsiteY50" fmla="*/ 332226 h 370968"/>
            <a:gd name="connsiteX51" fmla="*/ 819897 w 1014547"/>
            <a:gd name="connsiteY51" fmla="*/ 332226 h 370968"/>
            <a:gd name="connsiteX52" fmla="*/ 839395 w 1014547"/>
            <a:gd name="connsiteY52" fmla="*/ 332226 h 370968"/>
            <a:gd name="connsiteX53" fmla="*/ 858915 w 1014547"/>
            <a:gd name="connsiteY53" fmla="*/ 351750 h 370968"/>
            <a:gd name="connsiteX54" fmla="*/ 878413 w 1014547"/>
            <a:gd name="connsiteY54" fmla="*/ 351750 h 370968"/>
            <a:gd name="connsiteX55" fmla="*/ 897934 w 1014547"/>
            <a:gd name="connsiteY55" fmla="*/ 351750 h 370968"/>
            <a:gd name="connsiteX56" fmla="*/ 917454 w 1014547"/>
            <a:gd name="connsiteY56" fmla="*/ 371275 h 370968"/>
            <a:gd name="connsiteX57" fmla="*/ 936953 w 1014547"/>
            <a:gd name="connsiteY57" fmla="*/ 371275 h 370968"/>
            <a:gd name="connsiteX58" fmla="*/ 956473 w 1014547"/>
            <a:gd name="connsiteY58" fmla="*/ 371275 h 370968"/>
            <a:gd name="connsiteX59" fmla="*/ 975971 w 1014547"/>
            <a:gd name="connsiteY59" fmla="*/ 371275 h 370968"/>
            <a:gd name="connsiteX60" fmla="*/ 995491 w 1014547"/>
            <a:gd name="connsiteY60" fmla="*/ 371275 h 370968"/>
            <a:gd name="connsiteX61" fmla="*/ 1014990 w 1014547"/>
            <a:gd name="connsiteY61" fmla="*/ 371275 h 3709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</a:cxnLst>
          <a:rect l="l" t="t" r="r" b="b"/>
          <a:pathLst>
            <a:path w="1014547" h="370968">
              <a:moveTo>
                <a:pt x="442" y="307"/>
              </a:moveTo>
              <a:lnTo>
                <a:pt x="442" y="19832"/>
              </a:lnTo>
              <a:lnTo>
                <a:pt x="19962" y="39355"/>
              </a:lnTo>
              <a:lnTo>
                <a:pt x="39461" y="58881"/>
              </a:lnTo>
              <a:lnTo>
                <a:pt x="39461" y="78406"/>
              </a:lnTo>
              <a:lnTo>
                <a:pt x="58981" y="97929"/>
              </a:lnTo>
              <a:lnTo>
                <a:pt x="58981" y="117455"/>
              </a:lnTo>
              <a:lnTo>
                <a:pt x="78479" y="136978"/>
              </a:lnTo>
              <a:lnTo>
                <a:pt x="97999" y="156504"/>
              </a:lnTo>
              <a:lnTo>
                <a:pt x="117520" y="156504"/>
              </a:lnTo>
              <a:lnTo>
                <a:pt x="137018" y="156504"/>
              </a:lnTo>
              <a:lnTo>
                <a:pt x="156538" y="156504"/>
              </a:lnTo>
              <a:lnTo>
                <a:pt x="176036" y="136978"/>
              </a:lnTo>
              <a:lnTo>
                <a:pt x="195557" y="156504"/>
              </a:lnTo>
              <a:lnTo>
                <a:pt x="215055" y="156504"/>
              </a:lnTo>
              <a:lnTo>
                <a:pt x="234575" y="156504"/>
              </a:lnTo>
              <a:lnTo>
                <a:pt x="254073" y="156504"/>
              </a:lnTo>
              <a:lnTo>
                <a:pt x="273594" y="156504"/>
              </a:lnTo>
              <a:lnTo>
                <a:pt x="293114" y="156504"/>
              </a:lnTo>
              <a:lnTo>
                <a:pt x="312612" y="136978"/>
              </a:lnTo>
              <a:lnTo>
                <a:pt x="332132" y="136978"/>
              </a:lnTo>
              <a:lnTo>
                <a:pt x="351630" y="136978"/>
              </a:lnTo>
              <a:lnTo>
                <a:pt x="371151" y="156504"/>
              </a:lnTo>
              <a:lnTo>
                <a:pt x="351630" y="176029"/>
              </a:lnTo>
              <a:lnTo>
                <a:pt x="351630" y="195552"/>
              </a:lnTo>
              <a:lnTo>
                <a:pt x="332132" y="215078"/>
              </a:lnTo>
              <a:lnTo>
                <a:pt x="351630" y="234603"/>
              </a:lnTo>
              <a:lnTo>
                <a:pt x="371151" y="254127"/>
              </a:lnTo>
              <a:lnTo>
                <a:pt x="390649" y="273652"/>
              </a:lnTo>
              <a:lnTo>
                <a:pt x="410170" y="273652"/>
              </a:lnTo>
              <a:lnTo>
                <a:pt x="429690" y="273652"/>
              </a:lnTo>
              <a:lnTo>
                <a:pt x="449188" y="273652"/>
              </a:lnTo>
              <a:lnTo>
                <a:pt x="468708" y="273652"/>
              </a:lnTo>
              <a:lnTo>
                <a:pt x="488207" y="273652"/>
              </a:lnTo>
              <a:lnTo>
                <a:pt x="507727" y="254127"/>
              </a:lnTo>
              <a:lnTo>
                <a:pt x="527225" y="234603"/>
              </a:lnTo>
              <a:lnTo>
                <a:pt x="546745" y="215078"/>
              </a:lnTo>
              <a:lnTo>
                <a:pt x="566244" y="215078"/>
              </a:lnTo>
              <a:lnTo>
                <a:pt x="585764" y="234603"/>
              </a:lnTo>
              <a:lnTo>
                <a:pt x="605284" y="254127"/>
              </a:lnTo>
              <a:lnTo>
                <a:pt x="605284" y="273652"/>
              </a:lnTo>
              <a:lnTo>
                <a:pt x="624782" y="293178"/>
              </a:lnTo>
              <a:lnTo>
                <a:pt x="644303" y="293178"/>
              </a:lnTo>
              <a:lnTo>
                <a:pt x="663801" y="293178"/>
              </a:lnTo>
              <a:lnTo>
                <a:pt x="683321" y="293178"/>
              </a:lnTo>
              <a:lnTo>
                <a:pt x="702819" y="293178"/>
              </a:lnTo>
              <a:lnTo>
                <a:pt x="722340" y="293178"/>
              </a:lnTo>
              <a:lnTo>
                <a:pt x="741860" y="312701"/>
              </a:lnTo>
              <a:lnTo>
                <a:pt x="761358" y="312701"/>
              </a:lnTo>
              <a:lnTo>
                <a:pt x="780878" y="312701"/>
              </a:lnTo>
              <a:lnTo>
                <a:pt x="800377" y="332226"/>
              </a:lnTo>
              <a:lnTo>
                <a:pt x="819897" y="332226"/>
              </a:lnTo>
              <a:lnTo>
                <a:pt x="839395" y="332226"/>
              </a:lnTo>
              <a:lnTo>
                <a:pt x="858915" y="351750"/>
              </a:lnTo>
              <a:lnTo>
                <a:pt x="878413" y="351750"/>
              </a:lnTo>
              <a:lnTo>
                <a:pt x="897934" y="351750"/>
              </a:lnTo>
              <a:lnTo>
                <a:pt x="917454" y="371275"/>
              </a:lnTo>
              <a:lnTo>
                <a:pt x="936953" y="371275"/>
              </a:lnTo>
              <a:lnTo>
                <a:pt x="956473" y="371275"/>
              </a:lnTo>
              <a:lnTo>
                <a:pt x="975971" y="371275"/>
              </a:lnTo>
              <a:lnTo>
                <a:pt x="995491" y="371275"/>
              </a:lnTo>
              <a:lnTo>
                <a:pt x="1014990" y="371275"/>
              </a:lnTo>
            </a:path>
          </a:pathLst>
        </a:custGeom>
        <a:noFill/>
        <a:ln w="37286" cap="sq">
          <a:solidFill>
            <a:srgbClr val="1F78B4"/>
          </a:solidFill>
          <a:prstDash val="solid"/>
          <a:bevel/>
        </a:ln>
      </xdr:spPr>
      <xdr:txBody>
        <a:bodyPr rtlCol="0" anchor="ctr"/>
        <a:lstStyle/>
        <a:p>
          <a:endParaRPr lang="es-CO"/>
        </a:p>
      </xdr:txBody>
    </xdr:sp>
    <xdr:clientData/>
  </xdr:twoCellAnchor>
  <xdr:twoCellAnchor>
    <xdr:from>
      <xdr:col>1</xdr:col>
      <xdr:colOff>400397</xdr:colOff>
      <xdr:row>2</xdr:row>
      <xdr:rowOff>183312</xdr:rowOff>
    </xdr:from>
    <xdr:to>
      <xdr:col>2</xdr:col>
      <xdr:colOff>299324</xdr:colOff>
      <xdr:row>6</xdr:row>
      <xdr:rowOff>99204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pSpPr/>
      </xdr:nvGrpSpPr>
      <xdr:grpSpPr>
        <a:xfrm>
          <a:off x="794152" y="1241581"/>
          <a:ext cx="654550" cy="1065270"/>
          <a:chOff x="4016675" y="384092"/>
          <a:chExt cx="737574" cy="926044"/>
        </a:xfrm>
      </xdr:grpSpPr>
      <xdr:grpSp>
        <xdr:nvGrpSpPr>
          <xdr:cNvPr id="15" name="Grup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GrpSpPr/>
        </xdr:nvGrpSpPr>
        <xdr:grpSpPr>
          <a:xfrm>
            <a:off x="4099540" y="384092"/>
            <a:ext cx="654709" cy="926044"/>
            <a:chOff x="3811180" y="206113"/>
            <a:chExt cx="801178" cy="1133217"/>
          </a:xfrm>
        </xdr:grpSpPr>
        <xdr:pic>
          <xdr:nvPicPr>
            <xdr:cNvPr id="8" name="Gráfico 7" descr="Montañas contorno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3811180" y="206113"/>
              <a:ext cx="801178" cy="704131"/>
            </a:xfrm>
            <a:prstGeom prst="rect">
              <a:avLst/>
            </a:prstGeom>
          </xdr:spPr>
        </xdr:pic>
        <xdr:pic>
          <xdr:nvPicPr>
            <xdr:cNvPr id="14" name="Gráfico 13" descr="Selva tropical con relleno sólido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4079251" y="823882"/>
              <a:ext cx="515450" cy="515448"/>
            </a:xfrm>
            <a:prstGeom prst="rect">
              <a:avLst/>
            </a:prstGeom>
          </xdr:spPr>
        </xdr:pic>
      </xdr:grpSp>
      <xdr:pic>
        <xdr:nvPicPr>
          <xdr:cNvPr id="19" name="Gráfico 18" descr="Selva tropical con relleno sólido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flipH="1">
            <a:off x="4016675" y="971061"/>
            <a:ext cx="328881" cy="3289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0</xdr:row>
          <xdr:rowOff>609600</xdr:rowOff>
        </xdr:from>
        <xdr:to>
          <xdr:col>15</xdr:col>
          <xdr:colOff>647700</xdr:colOff>
          <xdr:row>1</xdr:row>
          <xdr:rowOff>350520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4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Model Topology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152400</xdr:rowOff>
        </xdr:from>
        <xdr:to>
          <xdr:col>15</xdr:col>
          <xdr:colOff>563880</xdr:colOff>
          <xdr:row>8</xdr:row>
          <xdr:rowOff>152400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4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River Barriers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202343</xdr:colOff>
      <xdr:row>2</xdr:row>
      <xdr:rowOff>216084</xdr:rowOff>
    </xdr:from>
    <xdr:to>
      <xdr:col>15</xdr:col>
      <xdr:colOff>276836</xdr:colOff>
      <xdr:row>6</xdr:row>
      <xdr:rowOff>61590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7867566" y="1272448"/>
          <a:ext cx="1580023" cy="996789"/>
          <a:chOff x="8767141" y="1268636"/>
          <a:chExt cx="1590926" cy="1003262"/>
        </a:xfrm>
      </xdr:grpSpPr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GrpSpPr/>
        </xdr:nvGrpSpPr>
        <xdr:grpSpPr>
          <a:xfrm>
            <a:off x="8767141" y="1268636"/>
            <a:ext cx="1590926" cy="1003262"/>
            <a:chOff x="8782962" y="1269645"/>
            <a:chExt cx="1629346" cy="1003603"/>
          </a:xfrm>
        </xdr:grpSpPr>
        <xdr:sp macro="" textlink="">
          <xdr:nvSpPr>
            <xdr:cNvPr id="107" name="Forma libre: forma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/>
          </xdr:nvSpPr>
          <xdr:spPr>
            <a:xfrm>
              <a:off x="10054240" y="1730607"/>
              <a:ext cx="4885" cy="38213"/>
            </a:xfrm>
            <a:custGeom>
              <a:avLst/>
              <a:gdLst>
                <a:gd name="connsiteX0" fmla="*/ 442 w 19498"/>
                <a:gd name="connsiteY0" fmla="*/ 307 h 156197"/>
                <a:gd name="connsiteX1" fmla="*/ 442 w 19498"/>
                <a:gd name="connsiteY1" fmla="*/ 19830 h 156197"/>
                <a:gd name="connsiteX2" fmla="*/ 442 w 19498"/>
                <a:gd name="connsiteY2" fmla="*/ 39355 h 156197"/>
                <a:gd name="connsiteX3" fmla="*/ 442 w 19498"/>
                <a:gd name="connsiteY3" fmla="*/ 58881 h 156197"/>
                <a:gd name="connsiteX4" fmla="*/ 19940 w 19498"/>
                <a:gd name="connsiteY4" fmla="*/ 78404 h 156197"/>
                <a:gd name="connsiteX5" fmla="*/ 19940 w 19498"/>
                <a:gd name="connsiteY5" fmla="*/ 97930 h 156197"/>
                <a:gd name="connsiteX6" fmla="*/ 442 w 19498"/>
                <a:gd name="connsiteY6" fmla="*/ 117453 h 156197"/>
                <a:gd name="connsiteX7" fmla="*/ 442 w 19498"/>
                <a:gd name="connsiteY7" fmla="*/ 136978 h 156197"/>
                <a:gd name="connsiteX8" fmla="*/ 442 w 19498"/>
                <a:gd name="connsiteY8" fmla="*/ 156504 h 1561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19498" h="156197">
                  <a:moveTo>
                    <a:pt x="442" y="307"/>
                  </a:moveTo>
                  <a:lnTo>
                    <a:pt x="442" y="19830"/>
                  </a:lnTo>
                  <a:lnTo>
                    <a:pt x="442" y="39355"/>
                  </a:lnTo>
                  <a:lnTo>
                    <a:pt x="442" y="58881"/>
                  </a:lnTo>
                  <a:lnTo>
                    <a:pt x="19940" y="78404"/>
                  </a:lnTo>
                  <a:lnTo>
                    <a:pt x="19940" y="97930"/>
                  </a:lnTo>
                  <a:lnTo>
                    <a:pt x="442" y="117453"/>
                  </a:lnTo>
                  <a:lnTo>
                    <a:pt x="442" y="136978"/>
                  </a:lnTo>
                  <a:lnTo>
                    <a:pt x="442" y="156504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08" name="Forma libre: forma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/>
          </xdr:nvSpPr>
          <xdr:spPr>
            <a:xfrm>
              <a:off x="9896661" y="1351834"/>
              <a:ext cx="58653" cy="329060"/>
            </a:xfrm>
            <a:custGeom>
              <a:avLst/>
              <a:gdLst>
                <a:gd name="connsiteX0" fmla="*/ 19940 w 234132"/>
                <a:gd name="connsiteY0" fmla="*/ 307 h 1347200"/>
                <a:gd name="connsiteX1" fmla="*/ 39460 w 234132"/>
                <a:gd name="connsiteY1" fmla="*/ 19831 h 1347200"/>
                <a:gd name="connsiteX2" fmla="*/ 39460 w 234132"/>
                <a:gd name="connsiteY2" fmla="*/ 39356 h 1347200"/>
                <a:gd name="connsiteX3" fmla="*/ 39460 w 234132"/>
                <a:gd name="connsiteY3" fmla="*/ 58881 h 1347200"/>
                <a:gd name="connsiteX4" fmla="*/ 39460 w 234132"/>
                <a:gd name="connsiteY4" fmla="*/ 78405 h 1347200"/>
                <a:gd name="connsiteX5" fmla="*/ 39460 w 234132"/>
                <a:gd name="connsiteY5" fmla="*/ 97930 h 1347200"/>
                <a:gd name="connsiteX6" fmla="*/ 58981 w 234132"/>
                <a:gd name="connsiteY6" fmla="*/ 117455 h 1347200"/>
                <a:gd name="connsiteX7" fmla="*/ 58981 w 234132"/>
                <a:gd name="connsiteY7" fmla="*/ 136979 h 1347200"/>
                <a:gd name="connsiteX8" fmla="*/ 58981 w 234132"/>
                <a:gd name="connsiteY8" fmla="*/ 156504 h 1347200"/>
                <a:gd name="connsiteX9" fmla="*/ 58981 w 234132"/>
                <a:gd name="connsiteY9" fmla="*/ 176029 h 1347200"/>
                <a:gd name="connsiteX10" fmla="*/ 78479 w 234132"/>
                <a:gd name="connsiteY10" fmla="*/ 195553 h 1347200"/>
                <a:gd name="connsiteX11" fmla="*/ 78479 w 234132"/>
                <a:gd name="connsiteY11" fmla="*/ 215078 h 1347200"/>
                <a:gd name="connsiteX12" fmla="*/ 78479 w 234132"/>
                <a:gd name="connsiteY12" fmla="*/ 234603 h 1347200"/>
                <a:gd name="connsiteX13" fmla="*/ 78479 w 234132"/>
                <a:gd name="connsiteY13" fmla="*/ 254127 h 1347200"/>
                <a:gd name="connsiteX14" fmla="*/ 97999 w 234132"/>
                <a:gd name="connsiteY14" fmla="*/ 273651 h 1347200"/>
                <a:gd name="connsiteX15" fmla="*/ 97999 w 234132"/>
                <a:gd name="connsiteY15" fmla="*/ 293177 h 1347200"/>
                <a:gd name="connsiteX16" fmla="*/ 97999 w 234132"/>
                <a:gd name="connsiteY16" fmla="*/ 312702 h 1347200"/>
                <a:gd name="connsiteX17" fmla="*/ 97999 w 234132"/>
                <a:gd name="connsiteY17" fmla="*/ 332225 h 1347200"/>
                <a:gd name="connsiteX18" fmla="*/ 97999 w 234132"/>
                <a:gd name="connsiteY18" fmla="*/ 351751 h 1347200"/>
                <a:gd name="connsiteX19" fmla="*/ 97999 w 234132"/>
                <a:gd name="connsiteY19" fmla="*/ 371276 h 1347200"/>
                <a:gd name="connsiteX20" fmla="*/ 97999 w 234132"/>
                <a:gd name="connsiteY20" fmla="*/ 390799 h 1347200"/>
                <a:gd name="connsiteX21" fmla="*/ 97999 w 234132"/>
                <a:gd name="connsiteY21" fmla="*/ 410325 h 1347200"/>
                <a:gd name="connsiteX22" fmla="*/ 97999 w 234132"/>
                <a:gd name="connsiteY22" fmla="*/ 429850 h 1347200"/>
                <a:gd name="connsiteX23" fmla="*/ 97999 w 234132"/>
                <a:gd name="connsiteY23" fmla="*/ 449374 h 1347200"/>
                <a:gd name="connsiteX24" fmla="*/ 97999 w 234132"/>
                <a:gd name="connsiteY24" fmla="*/ 468899 h 1347200"/>
                <a:gd name="connsiteX25" fmla="*/ 97999 w 234132"/>
                <a:gd name="connsiteY25" fmla="*/ 488422 h 1347200"/>
                <a:gd name="connsiteX26" fmla="*/ 97999 w 234132"/>
                <a:gd name="connsiteY26" fmla="*/ 507948 h 1347200"/>
                <a:gd name="connsiteX27" fmla="*/ 97999 w 234132"/>
                <a:gd name="connsiteY27" fmla="*/ 527473 h 1347200"/>
                <a:gd name="connsiteX28" fmla="*/ 97999 w 234132"/>
                <a:gd name="connsiteY28" fmla="*/ 546997 h 1347200"/>
                <a:gd name="connsiteX29" fmla="*/ 97999 w 234132"/>
                <a:gd name="connsiteY29" fmla="*/ 566522 h 1347200"/>
                <a:gd name="connsiteX30" fmla="*/ 97999 w 234132"/>
                <a:gd name="connsiteY30" fmla="*/ 586048 h 1347200"/>
                <a:gd name="connsiteX31" fmla="*/ 97999 w 234132"/>
                <a:gd name="connsiteY31" fmla="*/ 605571 h 1347200"/>
                <a:gd name="connsiteX32" fmla="*/ 97999 w 234132"/>
                <a:gd name="connsiteY32" fmla="*/ 625096 h 1347200"/>
                <a:gd name="connsiteX33" fmla="*/ 97999 w 234132"/>
                <a:gd name="connsiteY33" fmla="*/ 644622 h 1347200"/>
                <a:gd name="connsiteX34" fmla="*/ 117497 w 234132"/>
                <a:gd name="connsiteY34" fmla="*/ 664145 h 1347200"/>
                <a:gd name="connsiteX35" fmla="*/ 117497 w 234132"/>
                <a:gd name="connsiteY35" fmla="*/ 683670 h 1347200"/>
                <a:gd name="connsiteX36" fmla="*/ 117497 w 234132"/>
                <a:gd name="connsiteY36" fmla="*/ 703194 h 1347200"/>
                <a:gd name="connsiteX37" fmla="*/ 117497 w 234132"/>
                <a:gd name="connsiteY37" fmla="*/ 722719 h 1347200"/>
                <a:gd name="connsiteX38" fmla="*/ 117497 w 234132"/>
                <a:gd name="connsiteY38" fmla="*/ 742245 h 1347200"/>
                <a:gd name="connsiteX39" fmla="*/ 117497 w 234132"/>
                <a:gd name="connsiteY39" fmla="*/ 761768 h 1347200"/>
                <a:gd name="connsiteX40" fmla="*/ 97999 w 234132"/>
                <a:gd name="connsiteY40" fmla="*/ 781293 h 1347200"/>
                <a:gd name="connsiteX41" fmla="*/ 97999 w 234132"/>
                <a:gd name="connsiteY41" fmla="*/ 800819 h 1347200"/>
                <a:gd name="connsiteX42" fmla="*/ 97999 w 234132"/>
                <a:gd name="connsiteY42" fmla="*/ 820342 h 1347200"/>
                <a:gd name="connsiteX43" fmla="*/ 78479 w 234132"/>
                <a:gd name="connsiteY43" fmla="*/ 839868 h 1347200"/>
                <a:gd name="connsiteX44" fmla="*/ 58981 w 234132"/>
                <a:gd name="connsiteY44" fmla="*/ 859391 h 1347200"/>
                <a:gd name="connsiteX45" fmla="*/ 39460 w 234132"/>
                <a:gd name="connsiteY45" fmla="*/ 878916 h 1347200"/>
                <a:gd name="connsiteX46" fmla="*/ 19940 w 234132"/>
                <a:gd name="connsiteY46" fmla="*/ 898442 h 1347200"/>
                <a:gd name="connsiteX47" fmla="*/ 19940 w 234132"/>
                <a:gd name="connsiteY47" fmla="*/ 917965 h 1347200"/>
                <a:gd name="connsiteX48" fmla="*/ 19940 w 234132"/>
                <a:gd name="connsiteY48" fmla="*/ 937491 h 1347200"/>
                <a:gd name="connsiteX49" fmla="*/ 442 w 234132"/>
                <a:gd name="connsiteY49" fmla="*/ 957016 h 1347200"/>
                <a:gd name="connsiteX50" fmla="*/ 442 w 234132"/>
                <a:gd name="connsiteY50" fmla="*/ 976539 h 1347200"/>
                <a:gd name="connsiteX51" fmla="*/ 442 w 234132"/>
                <a:gd name="connsiteY51" fmla="*/ 996065 h 1347200"/>
                <a:gd name="connsiteX52" fmla="*/ 442 w 234132"/>
                <a:gd name="connsiteY52" fmla="*/ 1015590 h 1347200"/>
                <a:gd name="connsiteX53" fmla="*/ 442 w 234132"/>
                <a:gd name="connsiteY53" fmla="*/ 1035114 h 1347200"/>
                <a:gd name="connsiteX54" fmla="*/ 442 w 234132"/>
                <a:gd name="connsiteY54" fmla="*/ 1054639 h 1347200"/>
                <a:gd name="connsiteX55" fmla="*/ 442 w 234132"/>
                <a:gd name="connsiteY55" fmla="*/ 1074162 h 1347200"/>
                <a:gd name="connsiteX56" fmla="*/ 19940 w 234132"/>
                <a:gd name="connsiteY56" fmla="*/ 1093688 h 1347200"/>
                <a:gd name="connsiteX57" fmla="*/ 39460 w 234132"/>
                <a:gd name="connsiteY57" fmla="*/ 1113213 h 1347200"/>
                <a:gd name="connsiteX58" fmla="*/ 58981 w 234132"/>
                <a:gd name="connsiteY58" fmla="*/ 1132736 h 1347200"/>
                <a:gd name="connsiteX59" fmla="*/ 78479 w 234132"/>
                <a:gd name="connsiteY59" fmla="*/ 1152262 h 1347200"/>
                <a:gd name="connsiteX60" fmla="*/ 97999 w 234132"/>
                <a:gd name="connsiteY60" fmla="*/ 1171787 h 1347200"/>
                <a:gd name="connsiteX61" fmla="*/ 117497 w 234132"/>
                <a:gd name="connsiteY61" fmla="*/ 1191311 h 1347200"/>
                <a:gd name="connsiteX62" fmla="*/ 137018 w 234132"/>
                <a:gd name="connsiteY62" fmla="*/ 1191311 h 1347200"/>
                <a:gd name="connsiteX63" fmla="*/ 156516 w 234132"/>
                <a:gd name="connsiteY63" fmla="*/ 1210836 h 1347200"/>
                <a:gd name="connsiteX64" fmla="*/ 176036 w 234132"/>
                <a:gd name="connsiteY64" fmla="*/ 1230362 h 1347200"/>
                <a:gd name="connsiteX65" fmla="*/ 176036 w 234132"/>
                <a:gd name="connsiteY65" fmla="*/ 1249885 h 1347200"/>
                <a:gd name="connsiteX66" fmla="*/ 176036 w 234132"/>
                <a:gd name="connsiteY66" fmla="*/ 1269410 h 1347200"/>
                <a:gd name="connsiteX67" fmla="*/ 195556 w 234132"/>
                <a:gd name="connsiteY67" fmla="*/ 1288934 h 1347200"/>
                <a:gd name="connsiteX68" fmla="*/ 215055 w 234132"/>
                <a:gd name="connsiteY68" fmla="*/ 1308459 h 1347200"/>
                <a:gd name="connsiteX69" fmla="*/ 215055 w 234132"/>
                <a:gd name="connsiteY69" fmla="*/ 1327985 h 1347200"/>
                <a:gd name="connsiteX70" fmla="*/ 234575 w 234132"/>
                <a:gd name="connsiteY70" fmla="*/ 1347508 h 1347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</a:cxnLst>
              <a:rect l="l" t="t" r="r" b="b"/>
              <a:pathLst>
                <a:path w="234132" h="1347200">
                  <a:moveTo>
                    <a:pt x="19940" y="307"/>
                  </a:moveTo>
                  <a:lnTo>
                    <a:pt x="39460" y="19831"/>
                  </a:lnTo>
                  <a:lnTo>
                    <a:pt x="39460" y="39356"/>
                  </a:lnTo>
                  <a:lnTo>
                    <a:pt x="39460" y="58881"/>
                  </a:lnTo>
                  <a:lnTo>
                    <a:pt x="39460" y="78405"/>
                  </a:lnTo>
                  <a:lnTo>
                    <a:pt x="39460" y="97930"/>
                  </a:lnTo>
                  <a:lnTo>
                    <a:pt x="58981" y="117455"/>
                  </a:lnTo>
                  <a:lnTo>
                    <a:pt x="58981" y="136979"/>
                  </a:lnTo>
                  <a:lnTo>
                    <a:pt x="58981" y="156504"/>
                  </a:lnTo>
                  <a:lnTo>
                    <a:pt x="58981" y="176029"/>
                  </a:lnTo>
                  <a:lnTo>
                    <a:pt x="78479" y="195553"/>
                  </a:lnTo>
                  <a:lnTo>
                    <a:pt x="78479" y="215078"/>
                  </a:lnTo>
                  <a:lnTo>
                    <a:pt x="78479" y="234603"/>
                  </a:lnTo>
                  <a:lnTo>
                    <a:pt x="78479" y="254127"/>
                  </a:lnTo>
                  <a:lnTo>
                    <a:pt x="97999" y="273651"/>
                  </a:lnTo>
                  <a:lnTo>
                    <a:pt x="97999" y="293177"/>
                  </a:lnTo>
                  <a:lnTo>
                    <a:pt x="97999" y="312702"/>
                  </a:lnTo>
                  <a:lnTo>
                    <a:pt x="97999" y="332225"/>
                  </a:lnTo>
                  <a:lnTo>
                    <a:pt x="97999" y="351751"/>
                  </a:lnTo>
                  <a:lnTo>
                    <a:pt x="97999" y="371276"/>
                  </a:lnTo>
                  <a:lnTo>
                    <a:pt x="97999" y="390799"/>
                  </a:lnTo>
                  <a:lnTo>
                    <a:pt x="97999" y="410325"/>
                  </a:lnTo>
                  <a:lnTo>
                    <a:pt x="97999" y="429850"/>
                  </a:lnTo>
                  <a:lnTo>
                    <a:pt x="97999" y="449374"/>
                  </a:lnTo>
                  <a:lnTo>
                    <a:pt x="97999" y="468899"/>
                  </a:lnTo>
                  <a:lnTo>
                    <a:pt x="97999" y="488422"/>
                  </a:lnTo>
                  <a:lnTo>
                    <a:pt x="97999" y="507948"/>
                  </a:lnTo>
                  <a:lnTo>
                    <a:pt x="97999" y="527473"/>
                  </a:lnTo>
                  <a:lnTo>
                    <a:pt x="97999" y="546997"/>
                  </a:lnTo>
                  <a:lnTo>
                    <a:pt x="97999" y="566522"/>
                  </a:lnTo>
                  <a:lnTo>
                    <a:pt x="97999" y="586048"/>
                  </a:lnTo>
                  <a:lnTo>
                    <a:pt x="97999" y="605571"/>
                  </a:lnTo>
                  <a:lnTo>
                    <a:pt x="97999" y="625096"/>
                  </a:lnTo>
                  <a:lnTo>
                    <a:pt x="97999" y="644622"/>
                  </a:lnTo>
                  <a:lnTo>
                    <a:pt x="117497" y="664145"/>
                  </a:lnTo>
                  <a:lnTo>
                    <a:pt x="117497" y="683670"/>
                  </a:lnTo>
                  <a:lnTo>
                    <a:pt x="117497" y="703194"/>
                  </a:lnTo>
                  <a:lnTo>
                    <a:pt x="117497" y="722719"/>
                  </a:lnTo>
                  <a:lnTo>
                    <a:pt x="117497" y="742245"/>
                  </a:lnTo>
                  <a:lnTo>
                    <a:pt x="117497" y="761768"/>
                  </a:lnTo>
                  <a:lnTo>
                    <a:pt x="97999" y="781293"/>
                  </a:lnTo>
                  <a:lnTo>
                    <a:pt x="97999" y="800819"/>
                  </a:lnTo>
                  <a:lnTo>
                    <a:pt x="97999" y="820342"/>
                  </a:lnTo>
                  <a:lnTo>
                    <a:pt x="78479" y="839868"/>
                  </a:lnTo>
                  <a:lnTo>
                    <a:pt x="58981" y="859391"/>
                  </a:lnTo>
                  <a:lnTo>
                    <a:pt x="39460" y="878916"/>
                  </a:lnTo>
                  <a:lnTo>
                    <a:pt x="19940" y="898442"/>
                  </a:lnTo>
                  <a:lnTo>
                    <a:pt x="19940" y="917965"/>
                  </a:lnTo>
                  <a:lnTo>
                    <a:pt x="19940" y="937491"/>
                  </a:lnTo>
                  <a:lnTo>
                    <a:pt x="442" y="957016"/>
                  </a:lnTo>
                  <a:lnTo>
                    <a:pt x="442" y="976539"/>
                  </a:lnTo>
                  <a:lnTo>
                    <a:pt x="442" y="996065"/>
                  </a:lnTo>
                  <a:lnTo>
                    <a:pt x="442" y="1015590"/>
                  </a:lnTo>
                  <a:lnTo>
                    <a:pt x="442" y="1035114"/>
                  </a:lnTo>
                  <a:lnTo>
                    <a:pt x="442" y="1054639"/>
                  </a:lnTo>
                  <a:lnTo>
                    <a:pt x="442" y="1074162"/>
                  </a:lnTo>
                  <a:lnTo>
                    <a:pt x="19940" y="1093688"/>
                  </a:lnTo>
                  <a:lnTo>
                    <a:pt x="39460" y="1113213"/>
                  </a:lnTo>
                  <a:lnTo>
                    <a:pt x="58981" y="1132736"/>
                  </a:lnTo>
                  <a:lnTo>
                    <a:pt x="78479" y="1152262"/>
                  </a:lnTo>
                  <a:lnTo>
                    <a:pt x="97999" y="1171787"/>
                  </a:lnTo>
                  <a:lnTo>
                    <a:pt x="117497" y="1191311"/>
                  </a:lnTo>
                  <a:lnTo>
                    <a:pt x="137018" y="1191311"/>
                  </a:lnTo>
                  <a:lnTo>
                    <a:pt x="156516" y="1210836"/>
                  </a:lnTo>
                  <a:lnTo>
                    <a:pt x="176036" y="1230362"/>
                  </a:lnTo>
                  <a:lnTo>
                    <a:pt x="176036" y="1249885"/>
                  </a:lnTo>
                  <a:lnTo>
                    <a:pt x="176036" y="1269410"/>
                  </a:lnTo>
                  <a:lnTo>
                    <a:pt x="195556" y="1288934"/>
                  </a:lnTo>
                  <a:lnTo>
                    <a:pt x="215055" y="1308459"/>
                  </a:lnTo>
                  <a:lnTo>
                    <a:pt x="215055" y="1327985"/>
                  </a:lnTo>
                  <a:lnTo>
                    <a:pt x="234575" y="1347508"/>
                  </a:lnTo>
                </a:path>
              </a:pathLst>
            </a:custGeom>
            <a:noFill/>
            <a:ln w="261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09" name="Forma libre: forma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/>
          </xdr:nvSpPr>
          <xdr:spPr>
            <a:xfrm>
              <a:off x="9955314" y="1680894"/>
              <a:ext cx="14659" cy="54385"/>
            </a:xfrm>
            <a:custGeom>
              <a:avLst/>
              <a:gdLst>
                <a:gd name="connsiteX0" fmla="*/ 442 w 58516"/>
                <a:gd name="connsiteY0" fmla="*/ 307 h 214771"/>
                <a:gd name="connsiteX1" fmla="*/ 442 w 58516"/>
                <a:gd name="connsiteY1" fmla="*/ 19832 h 214771"/>
                <a:gd name="connsiteX2" fmla="*/ 19940 w 58516"/>
                <a:gd name="connsiteY2" fmla="*/ 39358 h 214771"/>
                <a:gd name="connsiteX3" fmla="*/ 39460 w 58516"/>
                <a:gd name="connsiteY3" fmla="*/ 58881 h 214771"/>
                <a:gd name="connsiteX4" fmla="*/ 58959 w 58516"/>
                <a:gd name="connsiteY4" fmla="*/ 78406 h 214771"/>
                <a:gd name="connsiteX5" fmla="*/ 58959 w 58516"/>
                <a:gd name="connsiteY5" fmla="*/ 97930 h 214771"/>
                <a:gd name="connsiteX6" fmla="*/ 39460 w 58516"/>
                <a:gd name="connsiteY6" fmla="*/ 117455 h 214771"/>
                <a:gd name="connsiteX7" fmla="*/ 39460 w 58516"/>
                <a:gd name="connsiteY7" fmla="*/ 136981 h 214771"/>
                <a:gd name="connsiteX8" fmla="*/ 39460 w 58516"/>
                <a:gd name="connsiteY8" fmla="*/ 156504 h 214771"/>
                <a:gd name="connsiteX9" fmla="*/ 19940 w 58516"/>
                <a:gd name="connsiteY9" fmla="*/ 176029 h 214771"/>
                <a:gd name="connsiteX10" fmla="*/ 19940 w 58516"/>
                <a:gd name="connsiteY10" fmla="*/ 195555 h 214771"/>
                <a:gd name="connsiteX11" fmla="*/ 442 w 58516"/>
                <a:gd name="connsiteY11" fmla="*/ 215078 h 2147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58516" h="214771">
                  <a:moveTo>
                    <a:pt x="442" y="307"/>
                  </a:moveTo>
                  <a:lnTo>
                    <a:pt x="442" y="19832"/>
                  </a:lnTo>
                  <a:lnTo>
                    <a:pt x="19940" y="39358"/>
                  </a:lnTo>
                  <a:lnTo>
                    <a:pt x="39460" y="58881"/>
                  </a:lnTo>
                  <a:lnTo>
                    <a:pt x="58959" y="78406"/>
                  </a:lnTo>
                  <a:lnTo>
                    <a:pt x="58959" y="97930"/>
                  </a:lnTo>
                  <a:lnTo>
                    <a:pt x="39460" y="117455"/>
                  </a:lnTo>
                  <a:lnTo>
                    <a:pt x="39460" y="136981"/>
                  </a:lnTo>
                  <a:lnTo>
                    <a:pt x="39460" y="156504"/>
                  </a:lnTo>
                  <a:lnTo>
                    <a:pt x="19940" y="176029"/>
                  </a:lnTo>
                  <a:lnTo>
                    <a:pt x="19940" y="195555"/>
                  </a:lnTo>
                  <a:lnTo>
                    <a:pt x="442" y="215078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0" name="Forma libre: forma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/>
          </xdr:nvSpPr>
          <xdr:spPr>
            <a:xfrm>
              <a:off x="9773296" y="1269645"/>
              <a:ext cx="39098" cy="120401"/>
            </a:xfrm>
            <a:custGeom>
              <a:avLst/>
              <a:gdLst>
                <a:gd name="connsiteX0" fmla="*/ 97999 w 156073"/>
                <a:gd name="connsiteY0" fmla="*/ 307 h 492679"/>
                <a:gd name="connsiteX1" fmla="*/ 97999 w 156073"/>
                <a:gd name="connsiteY1" fmla="*/ 4870 h 492679"/>
                <a:gd name="connsiteX2" fmla="*/ 97999 w 156073"/>
                <a:gd name="connsiteY2" fmla="*/ 24393 h 492679"/>
                <a:gd name="connsiteX3" fmla="*/ 97999 w 156073"/>
                <a:gd name="connsiteY3" fmla="*/ 43919 h 492679"/>
                <a:gd name="connsiteX4" fmla="*/ 97999 w 156073"/>
                <a:gd name="connsiteY4" fmla="*/ 63444 h 492679"/>
                <a:gd name="connsiteX5" fmla="*/ 97999 w 156073"/>
                <a:gd name="connsiteY5" fmla="*/ 82968 h 492679"/>
                <a:gd name="connsiteX6" fmla="*/ 97999 w 156073"/>
                <a:gd name="connsiteY6" fmla="*/ 102493 h 492679"/>
                <a:gd name="connsiteX7" fmla="*/ 117497 w 156073"/>
                <a:gd name="connsiteY7" fmla="*/ 122018 h 492679"/>
                <a:gd name="connsiteX8" fmla="*/ 137018 w 156073"/>
                <a:gd name="connsiteY8" fmla="*/ 141542 h 492679"/>
                <a:gd name="connsiteX9" fmla="*/ 137018 w 156073"/>
                <a:gd name="connsiteY9" fmla="*/ 161067 h 492679"/>
                <a:gd name="connsiteX10" fmla="*/ 156516 w 156073"/>
                <a:gd name="connsiteY10" fmla="*/ 180592 h 492679"/>
                <a:gd name="connsiteX11" fmla="*/ 156516 w 156073"/>
                <a:gd name="connsiteY11" fmla="*/ 200116 h 492679"/>
                <a:gd name="connsiteX12" fmla="*/ 156516 w 156073"/>
                <a:gd name="connsiteY12" fmla="*/ 219641 h 492679"/>
                <a:gd name="connsiteX13" fmla="*/ 156516 w 156073"/>
                <a:gd name="connsiteY13" fmla="*/ 239166 h 492679"/>
                <a:gd name="connsiteX14" fmla="*/ 156516 w 156073"/>
                <a:gd name="connsiteY14" fmla="*/ 258690 h 492679"/>
                <a:gd name="connsiteX15" fmla="*/ 137018 w 156073"/>
                <a:gd name="connsiteY15" fmla="*/ 278215 h 492679"/>
                <a:gd name="connsiteX16" fmla="*/ 137018 w 156073"/>
                <a:gd name="connsiteY16" fmla="*/ 297740 h 492679"/>
                <a:gd name="connsiteX17" fmla="*/ 137018 w 156073"/>
                <a:gd name="connsiteY17" fmla="*/ 317264 h 492679"/>
                <a:gd name="connsiteX18" fmla="*/ 137018 w 156073"/>
                <a:gd name="connsiteY18" fmla="*/ 336789 h 492679"/>
                <a:gd name="connsiteX19" fmla="*/ 117497 w 156073"/>
                <a:gd name="connsiteY19" fmla="*/ 356314 h 492679"/>
                <a:gd name="connsiteX20" fmla="*/ 97999 w 156073"/>
                <a:gd name="connsiteY20" fmla="*/ 375838 h 492679"/>
                <a:gd name="connsiteX21" fmla="*/ 78479 w 156073"/>
                <a:gd name="connsiteY21" fmla="*/ 395363 h 492679"/>
                <a:gd name="connsiteX22" fmla="*/ 58981 w 156073"/>
                <a:gd name="connsiteY22" fmla="*/ 414888 h 492679"/>
                <a:gd name="connsiteX23" fmla="*/ 39460 w 156073"/>
                <a:gd name="connsiteY23" fmla="*/ 434412 h 492679"/>
                <a:gd name="connsiteX24" fmla="*/ 19940 w 156073"/>
                <a:gd name="connsiteY24" fmla="*/ 453937 h 492679"/>
                <a:gd name="connsiteX25" fmla="*/ 442 w 156073"/>
                <a:gd name="connsiteY25" fmla="*/ 473462 h 492679"/>
                <a:gd name="connsiteX26" fmla="*/ 442 w 156073"/>
                <a:gd name="connsiteY26" fmla="*/ 492986 h 4926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156073" h="492679">
                  <a:moveTo>
                    <a:pt x="97999" y="307"/>
                  </a:moveTo>
                  <a:lnTo>
                    <a:pt x="97999" y="4870"/>
                  </a:lnTo>
                  <a:lnTo>
                    <a:pt x="97999" y="24393"/>
                  </a:lnTo>
                  <a:lnTo>
                    <a:pt x="97999" y="43919"/>
                  </a:lnTo>
                  <a:lnTo>
                    <a:pt x="97999" y="63444"/>
                  </a:lnTo>
                  <a:lnTo>
                    <a:pt x="97999" y="82968"/>
                  </a:lnTo>
                  <a:lnTo>
                    <a:pt x="97999" y="102493"/>
                  </a:lnTo>
                  <a:lnTo>
                    <a:pt x="117497" y="122018"/>
                  </a:lnTo>
                  <a:lnTo>
                    <a:pt x="137018" y="141542"/>
                  </a:lnTo>
                  <a:lnTo>
                    <a:pt x="137018" y="161067"/>
                  </a:lnTo>
                  <a:lnTo>
                    <a:pt x="156516" y="180592"/>
                  </a:lnTo>
                  <a:lnTo>
                    <a:pt x="156516" y="200116"/>
                  </a:lnTo>
                  <a:lnTo>
                    <a:pt x="156516" y="219641"/>
                  </a:lnTo>
                  <a:lnTo>
                    <a:pt x="156516" y="239166"/>
                  </a:lnTo>
                  <a:lnTo>
                    <a:pt x="156516" y="258690"/>
                  </a:lnTo>
                  <a:lnTo>
                    <a:pt x="137018" y="278215"/>
                  </a:lnTo>
                  <a:lnTo>
                    <a:pt x="137018" y="297740"/>
                  </a:lnTo>
                  <a:lnTo>
                    <a:pt x="137018" y="317264"/>
                  </a:lnTo>
                  <a:lnTo>
                    <a:pt x="137018" y="336789"/>
                  </a:lnTo>
                  <a:lnTo>
                    <a:pt x="117497" y="356314"/>
                  </a:lnTo>
                  <a:lnTo>
                    <a:pt x="97999" y="375838"/>
                  </a:lnTo>
                  <a:lnTo>
                    <a:pt x="78479" y="395363"/>
                  </a:lnTo>
                  <a:lnTo>
                    <a:pt x="58981" y="414888"/>
                  </a:lnTo>
                  <a:lnTo>
                    <a:pt x="39460" y="434412"/>
                  </a:lnTo>
                  <a:lnTo>
                    <a:pt x="19940" y="453937"/>
                  </a:lnTo>
                  <a:lnTo>
                    <a:pt x="442" y="473462"/>
                  </a:lnTo>
                  <a:lnTo>
                    <a:pt x="442" y="492986"/>
                  </a:lnTo>
                </a:path>
              </a:pathLst>
            </a:custGeom>
            <a:noFill/>
            <a:ln w="261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1" name="Forma libre: forma 110">
              <a:extLst>
                <a:ext uri="{FF2B5EF4-FFF2-40B4-BE49-F238E27FC236}">
                  <a16:creationId xmlns:a16="http://schemas.microsoft.com/office/drawing/2014/main" id="{00000000-0008-0000-0400-00006F000000}"/>
                </a:ext>
              </a:extLst>
            </xdr:cNvPr>
            <xdr:cNvSpPr/>
          </xdr:nvSpPr>
          <xdr:spPr>
            <a:xfrm>
              <a:off x="9763522" y="1390046"/>
              <a:ext cx="108700" cy="330377"/>
            </a:xfrm>
            <a:custGeom>
              <a:avLst/>
              <a:gdLst>
                <a:gd name="connsiteX0" fmla="*/ 39460 w 429225"/>
                <a:gd name="connsiteY0" fmla="*/ 307 h 1347200"/>
                <a:gd name="connsiteX1" fmla="*/ 19940 w 429225"/>
                <a:gd name="connsiteY1" fmla="*/ 19832 h 1347200"/>
                <a:gd name="connsiteX2" fmla="*/ 19940 w 429225"/>
                <a:gd name="connsiteY2" fmla="*/ 39356 h 1347200"/>
                <a:gd name="connsiteX3" fmla="*/ 19940 w 429225"/>
                <a:gd name="connsiteY3" fmla="*/ 58881 h 1347200"/>
                <a:gd name="connsiteX4" fmla="*/ 19940 w 429225"/>
                <a:gd name="connsiteY4" fmla="*/ 78406 h 1347200"/>
                <a:gd name="connsiteX5" fmla="*/ 442 w 429225"/>
                <a:gd name="connsiteY5" fmla="*/ 97930 h 1347200"/>
                <a:gd name="connsiteX6" fmla="*/ 442 w 429225"/>
                <a:gd name="connsiteY6" fmla="*/ 117454 h 1347200"/>
                <a:gd name="connsiteX7" fmla="*/ 442 w 429225"/>
                <a:gd name="connsiteY7" fmla="*/ 136979 h 1347200"/>
                <a:gd name="connsiteX8" fmla="*/ 442 w 429225"/>
                <a:gd name="connsiteY8" fmla="*/ 156505 h 1347200"/>
                <a:gd name="connsiteX9" fmla="*/ 442 w 429225"/>
                <a:gd name="connsiteY9" fmla="*/ 176028 h 1347200"/>
                <a:gd name="connsiteX10" fmla="*/ 442 w 429225"/>
                <a:gd name="connsiteY10" fmla="*/ 195554 h 1347200"/>
                <a:gd name="connsiteX11" fmla="*/ 442 w 429225"/>
                <a:gd name="connsiteY11" fmla="*/ 215079 h 1347200"/>
                <a:gd name="connsiteX12" fmla="*/ 442 w 429225"/>
                <a:gd name="connsiteY12" fmla="*/ 234602 h 1347200"/>
                <a:gd name="connsiteX13" fmla="*/ 19940 w 429225"/>
                <a:gd name="connsiteY13" fmla="*/ 254128 h 1347200"/>
                <a:gd name="connsiteX14" fmla="*/ 19940 w 429225"/>
                <a:gd name="connsiteY14" fmla="*/ 273653 h 1347200"/>
                <a:gd name="connsiteX15" fmla="*/ 39460 w 429225"/>
                <a:gd name="connsiteY15" fmla="*/ 293176 h 1347200"/>
                <a:gd name="connsiteX16" fmla="*/ 39460 w 429225"/>
                <a:gd name="connsiteY16" fmla="*/ 312702 h 1347200"/>
                <a:gd name="connsiteX17" fmla="*/ 39460 w 429225"/>
                <a:gd name="connsiteY17" fmla="*/ 332225 h 1347200"/>
                <a:gd name="connsiteX18" fmla="*/ 39460 w 429225"/>
                <a:gd name="connsiteY18" fmla="*/ 351751 h 1347200"/>
                <a:gd name="connsiteX19" fmla="*/ 39460 w 429225"/>
                <a:gd name="connsiteY19" fmla="*/ 371276 h 1347200"/>
                <a:gd name="connsiteX20" fmla="*/ 58958 w 429225"/>
                <a:gd name="connsiteY20" fmla="*/ 390799 h 1347200"/>
                <a:gd name="connsiteX21" fmla="*/ 78479 w 429225"/>
                <a:gd name="connsiteY21" fmla="*/ 410325 h 1347200"/>
                <a:gd name="connsiteX22" fmla="*/ 78479 w 429225"/>
                <a:gd name="connsiteY22" fmla="*/ 429850 h 1347200"/>
                <a:gd name="connsiteX23" fmla="*/ 78479 w 429225"/>
                <a:gd name="connsiteY23" fmla="*/ 449374 h 1347200"/>
                <a:gd name="connsiteX24" fmla="*/ 78479 w 429225"/>
                <a:gd name="connsiteY24" fmla="*/ 468899 h 1347200"/>
                <a:gd name="connsiteX25" fmla="*/ 78479 w 429225"/>
                <a:gd name="connsiteY25" fmla="*/ 488425 h 1347200"/>
                <a:gd name="connsiteX26" fmla="*/ 97999 w 429225"/>
                <a:gd name="connsiteY26" fmla="*/ 507948 h 1347200"/>
                <a:gd name="connsiteX27" fmla="*/ 97999 w 429225"/>
                <a:gd name="connsiteY27" fmla="*/ 527473 h 1347200"/>
                <a:gd name="connsiteX28" fmla="*/ 97999 w 429225"/>
                <a:gd name="connsiteY28" fmla="*/ 546997 h 1347200"/>
                <a:gd name="connsiteX29" fmla="*/ 117497 w 429225"/>
                <a:gd name="connsiteY29" fmla="*/ 566522 h 1347200"/>
                <a:gd name="connsiteX30" fmla="*/ 117497 w 429225"/>
                <a:gd name="connsiteY30" fmla="*/ 586048 h 1347200"/>
                <a:gd name="connsiteX31" fmla="*/ 117497 w 429225"/>
                <a:gd name="connsiteY31" fmla="*/ 605571 h 1347200"/>
                <a:gd name="connsiteX32" fmla="*/ 117497 w 429225"/>
                <a:gd name="connsiteY32" fmla="*/ 625096 h 1347200"/>
                <a:gd name="connsiteX33" fmla="*/ 97999 w 429225"/>
                <a:gd name="connsiteY33" fmla="*/ 644622 h 1347200"/>
                <a:gd name="connsiteX34" fmla="*/ 97999 w 429225"/>
                <a:gd name="connsiteY34" fmla="*/ 664145 h 1347200"/>
                <a:gd name="connsiteX35" fmla="*/ 97999 w 429225"/>
                <a:gd name="connsiteY35" fmla="*/ 683670 h 1347200"/>
                <a:gd name="connsiteX36" fmla="*/ 117497 w 429225"/>
                <a:gd name="connsiteY36" fmla="*/ 703194 h 1347200"/>
                <a:gd name="connsiteX37" fmla="*/ 117497 w 429225"/>
                <a:gd name="connsiteY37" fmla="*/ 722719 h 1347200"/>
                <a:gd name="connsiteX38" fmla="*/ 117497 w 429225"/>
                <a:gd name="connsiteY38" fmla="*/ 742245 h 1347200"/>
                <a:gd name="connsiteX39" fmla="*/ 117497 w 429225"/>
                <a:gd name="connsiteY39" fmla="*/ 761768 h 1347200"/>
                <a:gd name="connsiteX40" fmla="*/ 137018 w 429225"/>
                <a:gd name="connsiteY40" fmla="*/ 781293 h 1347200"/>
                <a:gd name="connsiteX41" fmla="*/ 137018 w 429225"/>
                <a:gd name="connsiteY41" fmla="*/ 800819 h 1347200"/>
                <a:gd name="connsiteX42" fmla="*/ 156516 w 429225"/>
                <a:gd name="connsiteY42" fmla="*/ 820342 h 1347200"/>
                <a:gd name="connsiteX43" fmla="*/ 156516 w 429225"/>
                <a:gd name="connsiteY43" fmla="*/ 839868 h 1347200"/>
                <a:gd name="connsiteX44" fmla="*/ 176036 w 429225"/>
                <a:gd name="connsiteY44" fmla="*/ 859393 h 1347200"/>
                <a:gd name="connsiteX45" fmla="*/ 195534 w 429225"/>
                <a:gd name="connsiteY45" fmla="*/ 878916 h 1347200"/>
                <a:gd name="connsiteX46" fmla="*/ 195534 w 429225"/>
                <a:gd name="connsiteY46" fmla="*/ 898442 h 1347200"/>
                <a:gd name="connsiteX47" fmla="*/ 195534 w 429225"/>
                <a:gd name="connsiteY47" fmla="*/ 917965 h 1347200"/>
                <a:gd name="connsiteX48" fmla="*/ 195534 w 429225"/>
                <a:gd name="connsiteY48" fmla="*/ 937491 h 1347200"/>
                <a:gd name="connsiteX49" fmla="*/ 215055 w 429225"/>
                <a:gd name="connsiteY49" fmla="*/ 957016 h 1347200"/>
                <a:gd name="connsiteX50" fmla="*/ 215055 w 429225"/>
                <a:gd name="connsiteY50" fmla="*/ 976539 h 1347200"/>
                <a:gd name="connsiteX51" fmla="*/ 215055 w 429225"/>
                <a:gd name="connsiteY51" fmla="*/ 996065 h 1347200"/>
                <a:gd name="connsiteX52" fmla="*/ 215055 w 429225"/>
                <a:gd name="connsiteY52" fmla="*/ 1015590 h 1347200"/>
                <a:gd name="connsiteX53" fmla="*/ 234553 w 429225"/>
                <a:gd name="connsiteY53" fmla="*/ 1035113 h 1347200"/>
                <a:gd name="connsiteX54" fmla="*/ 234553 w 429225"/>
                <a:gd name="connsiteY54" fmla="*/ 1054639 h 1347200"/>
                <a:gd name="connsiteX55" fmla="*/ 254073 w 429225"/>
                <a:gd name="connsiteY55" fmla="*/ 1074164 h 1347200"/>
                <a:gd name="connsiteX56" fmla="*/ 273593 w 429225"/>
                <a:gd name="connsiteY56" fmla="*/ 1093688 h 1347200"/>
                <a:gd name="connsiteX57" fmla="*/ 293092 w 429225"/>
                <a:gd name="connsiteY57" fmla="*/ 1113213 h 1347200"/>
                <a:gd name="connsiteX58" fmla="*/ 293092 w 429225"/>
                <a:gd name="connsiteY58" fmla="*/ 1132736 h 1347200"/>
                <a:gd name="connsiteX59" fmla="*/ 312612 w 429225"/>
                <a:gd name="connsiteY59" fmla="*/ 1152262 h 1347200"/>
                <a:gd name="connsiteX60" fmla="*/ 312612 w 429225"/>
                <a:gd name="connsiteY60" fmla="*/ 1171787 h 1347200"/>
                <a:gd name="connsiteX61" fmla="*/ 312612 w 429225"/>
                <a:gd name="connsiteY61" fmla="*/ 1191311 h 1347200"/>
                <a:gd name="connsiteX62" fmla="*/ 312612 w 429225"/>
                <a:gd name="connsiteY62" fmla="*/ 1210836 h 1347200"/>
                <a:gd name="connsiteX63" fmla="*/ 332110 w 429225"/>
                <a:gd name="connsiteY63" fmla="*/ 1230362 h 1347200"/>
                <a:gd name="connsiteX64" fmla="*/ 351631 w 429225"/>
                <a:gd name="connsiteY64" fmla="*/ 1249885 h 1347200"/>
                <a:gd name="connsiteX65" fmla="*/ 351631 w 429225"/>
                <a:gd name="connsiteY65" fmla="*/ 1269410 h 1347200"/>
                <a:gd name="connsiteX66" fmla="*/ 371129 w 429225"/>
                <a:gd name="connsiteY66" fmla="*/ 1288934 h 1347200"/>
                <a:gd name="connsiteX67" fmla="*/ 390649 w 429225"/>
                <a:gd name="connsiteY67" fmla="*/ 1308459 h 1347200"/>
                <a:gd name="connsiteX68" fmla="*/ 390649 w 429225"/>
                <a:gd name="connsiteY68" fmla="*/ 1327985 h 1347200"/>
                <a:gd name="connsiteX69" fmla="*/ 410169 w 429225"/>
                <a:gd name="connsiteY69" fmla="*/ 1347508 h 1347200"/>
                <a:gd name="connsiteX70" fmla="*/ 429668 w 429225"/>
                <a:gd name="connsiteY70" fmla="*/ 1347508 h 1347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</a:cxnLst>
              <a:rect l="l" t="t" r="r" b="b"/>
              <a:pathLst>
                <a:path w="429225" h="1347200">
                  <a:moveTo>
                    <a:pt x="39460" y="307"/>
                  </a:moveTo>
                  <a:lnTo>
                    <a:pt x="19940" y="19832"/>
                  </a:lnTo>
                  <a:lnTo>
                    <a:pt x="19940" y="39356"/>
                  </a:lnTo>
                  <a:lnTo>
                    <a:pt x="19940" y="58881"/>
                  </a:lnTo>
                  <a:lnTo>
                    <a:pt x="19940" y="78406"/>
                  </a:lnTo>
                  <a:lnTo>
                    <a:pt x="442" y="97930"/>
                  </a:lnTo>
                  <a:lnTo>
                    <a:pt x="442" y="117454"/>
                  </a:lnTo>
                  <a:lnTo>
                    <a:pt x="442" y="136979"/>
                  </a:lnTo>
                  <a:lnTo>
                    <a:pt x="442" y="156505"/>
                  </a:lnTo>
                  <a:lnTo>
                    <a:pt x="442" y="176028"/>
                  </a:lnTo>
                  <a:lnTo>
                    <a:pt x="442" y="195554"/>
                  </a:lnTo>
                  <a:lnTo>
                    <a:pt x="442" y="215079"/>
                  </a:lnTo>
                  <a:lnTo>
                    <a:pt x="442" y="234602"/>
                  </a:lnTo>
                  <a:lnTo>
                    <a:pt x="19940" y="254128"/>
                  </a:lnTo>
                  <a:lnTo>
                    <a:pt x="19940" y="273653"/>
                  </a:lnTo>
                  <a:lnTo>
                    <a:pt x="39460" y="293176"/>
                  </a:lnTo>
                  <a:lnTo>
                    <a:pt x="39460" y="312702"/>
                  </a:lnTo>
                  <a:lnTo>
                    <a:pt x="39460" y="332225"/>
                  </a:lnTo>
                  <a:lnTo>
                    <a:pt x="39460" y="351751"/>
                  </a:lnTo>
                  <a:lnTo>
                    <a:pt x="39460" y="371276"/>
                  </a:lnTo>
                  <a:lnTo>
                    <a:pt x="58958" y="390799"/>
                  </a:lnTo>
                  <a:lnTo>
                    <a:pt x="78479" y="410325"/>
                  </a:lnTo>
                  <a:lnTo>
                    <a:pt x="78479" y="429850"/>
                  </a:lnTo>
                  <a:lnTo>
                    <a:pt x="78479" y="449374"/>
                  </a:lnTo>
                  <a:lnTo>
                    <a:pt x="78479" y="468899"/>
                  </a:lnTo>
                  <a:lnTo>
                    <a:pt x="78479" y="488425"/>
                  </a:lnTo>
                  <a:lnTo>
                    <a:pt x="97999" y="507948"/>
                  </a:lnTo>
                  <a:lnTo>
                    <a:pt x="97999" y="527473"/>
                  </a:lnTo>
                  <a:lnTo>
                    <a:pt x="97999" y="546997"/>
                  </a:lnTo>
                  <a:lnTo>
                    <a:pt x="117497" y="566522"/>
                  </a:lnTo>
                  <a:lnTo>
                    <a:pt x="117497" y="586048"/>
                  </a:lnTo>
                  <a:lnTo>
                    <a:pt x="117497" y="605571"/>
                  </a:lnTo>
                  <a:lnTo>
                    <a:pt x="117497" y="625096"/>
                  </a:lnTo>
                  <a:lnTo>
                    <a:pt x="97999" y="644622"/>
                  </a:lnTo>
                  <a:lnTo>
                    <a:pt x="97999" y="664145"/>
                  </a:lnTo>
                  <a:lnTo>
                    <a:pt x="97999" y="683670"/>
                  </a:lnTo>
                  <a:lnTo>
                    <a:pt x="117497" y="703194"/>
                  </a:lnTo>
                  <a:lnTo>
                    <a:pt x="117497" y="722719"/>
                  </a:lnTo>
                  <a:lnTo>
                    <a:pt x="117497" y="742245"/>
                  </a:lnTo>
                  <a:lnTo>
                    <a:pt x="117497" y="761768"/>
                  </a:lnTo>
                  <a:lnTo>
                    <a:pt x="137018" y="781293"/>
                  </a:lnTo>
                  <a:lnTo>
                    <a:pt x="137018" y="800819"/>
                  </a:lnTo>
                  <a:lnTo>
                    <a:pt x="156516" y="820342"/>
                  </a:lnTo>
                  <a:lnTo>
                    <a:pt x="156516" y="839868"/>
                  </a:lnTo>
                  <a:lnTo>
                    <a:pt x="176036" y="859393"/>
                  </a:lnTo>
                  <a:lnTo>
                    <a:pt x="195534" y="878916"/>
                  </a:lnTo>
                  <a:lnTo>
                    <a:pt x="195534" y="898442"/>
                  </a:lnTo>
                  <a:lnTo>
                    <a:pt x="195534" y="917965"/>
                  </a:lnTo>
                  <a:lnTo>
                    <a:pt x="195534" y="937491"/>
                  </a:lnTo>
                  <a:lnTo>
                    <a:pt x="215055" y="957016"/>
                  </a:lnTo>
                  <a:lnTo>
                    <a:pt x="215055" y="976539"/>
                  </a:lnTo>
                  <a:lnTo>
                    <a:pt x="215055" y="996065"/>
                  </a:lnTo>
                  <a:lnTo>
                    <a:pt x="215055" y="1015590"/>
                  </a:lnTo>
                  <a:lnTo>
                    <a:pt x="234553" y="1035113"/>
                  </a:lnTo>
                  <a:lnTo>
                    <a:pt x="234553" y="1054639"/>
                  </a:lnTo>
                  <a:lnTo>
                    <a:pt x="254073" y="1074164"/>
                  </a:lnTo>
                  <a:lnTo>
                    <a:pt x="273593" y="1093688"/>
                  </a:lnTo>
                  <a:lnTo>
                    <a:pt x="293092" y="1113213"/>
                  </a:lnTo>
                  <a:lnTo>
                    <a:pt x="293092" y="1132736"/>
                  </a:lnTo>
                  <a:lnTo>
                    <a:pt x="312612" y="1152262"/>
                  </a:lnTo>
                  <a:lnTo>
                    <a:pt x="312612" y="1171787"/>
                  </a:lnTo>
                  <a:lnTo>
                    <a:pt x="312612" y="1191311"/>
                  </a:lnTo>
                  <a:lnTo>
                    <a:pt x="312612" y="1210836"/>
                  </a:lnTo>
                  <a:lnTo>
                    <a:pt x="332110" y="1230362"/>
                  </a:lnTo>
                  <a:lnTo>
                    <a:pt x="351631" y="1249885"/>
                  </a:lnTo>
                  <a:lnTo>
                    <a:pt x="351631" y="1269410"/>
                  </a:lnTo>
                  <a:lnTo>
                    <a:pt x="371129" y="1288934"/>
                  </a:lnTo>
                  <a:lnTo>
                    <a:pt x="390649" y="1308459"/>
                  </a:lnTo>
                  <a:lnTo>
                    <a:pt x="390649" y="1327985"/>
                  </a:lnTo>
                  <a:lnTo>
                    <a:pt x="410169" y="1347508"/>
                  </a:lnTo>
                  <a:lnTo>
                    <a:pt x="429668" y="1347508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2" name="Forma libre: forma 111">
              <a:extLst>
                <a:ext uri="{FF2B5EF4-FFF2-40B4-BE49-F238E27FC236}">
                  <a16:creationId xmlns:a16="http://schemas.microsoft.com/office/drawing/2014/main" id="{00000000-0008-0000-0400-000070000000}"/>
                </a:ext>
              </a:extLst>
            </xdr:cNvPr>
            <xdr:cNvSpPr/>
          </xdr:nvSpPr>
          <xdr:spPr>
            <a:xfrm>
              <a:off x="9665764" y="1509357"/>
              <a:ext cx="97757" cy="118469"/>
            </a:xfrm>
            <a:custGeom>
              <a:avLst/>
              <a:gdLst>
                <a:gd name="connsiteX0" fmla="*/ 19962 w 390229"/>
                <a:gd name="connsiteY0" fmla="*/ 307 h 488114"/>
                <a:gd name="connsiteX1" fmla="*/ 442 w 390229"/>
                <a:gd name="connsiteY1" fmla="*/ 19830 h 488114"/>
                <a:gd name="connsiteX2" fmla="*/ 442 w 390229"/>
                <a:gd name="connsiteY2" fmla="*/ 39355 h 488114"/>
                <a:gd name="connsiteX3" fmla="*/ 442 w 390229"/>
                <a:gd name="connsiteY3" fmla="*/ 58879 h 488114"/>
                <a:gd name="connsiteX4" fmla="*/ 19962 w 390229"/>
                <a:gd name="connsiteY4" fmla="*/ 78404 h 488114"/>
                <a:gd name="connsiteX5" fmla="*/ 39483 w 390229"/>
                <a:gd name="connsiteY5" fmla="*/ 97930 h 488114"/>
                <a:gd name="connsiteX6" fmla="*/ 39483 w 390229"/>
                <a:gd name="connsiteY6" fmla="*/ 117453 h 488114"/>
                <a:gd name="connsiteX7" fmla="*/ 58981 w 390229"/>
                <a:gd name="connsiteY7" fmla="*/ 136978 h 488114"/>
                <a:gd name="connsiteX8" fmla="*/ 58981 w 390229"/>
                <a:gd name="connsiteY8" fmla="*/ 156504 h 488114"/>
                <a:gd name="connsiteX9" fmla="*/ 58981 w 390229"/>
                <a:gd name="connsiteY9" fmla="*/ 176027 h 488114"/>
                <a:gd name="connsiteX10" fmla="*/ 78501 w 390229"/>
                <a:gd name="connsiteY10" fmla="*/ 195553 h 488114"/>
                <a:gd name="connsiteX11" fmla="*/ 78501 w 390229"/>
                <a:gd name="connsiteY11" fmla="*/ 215076 h 488114"/>
                <a:gd name="connsiteX12" fmla="*/ 97999 w 390229"/>
                <a:gd name="connsiteY12" fmla="*/ 234601 h 488114"/>
                <a:gd name="connsiteX13" fmla="*/ 117520 w 390229"/>
                <a:gd name="connsiteY13" fmla="*/ 254127 h 488114"/>
                <a:gd name="connsiteX14" fmla="*/ 137018 w 390229"/>
                <a:gd name="connsiteY14" fmla="*/ 273650 h 488114"/>
                <a:gd name="connsiteX15" fmla="*/ 156538 w 390229"/>
                <a:gd name="connsiteY15" fmla="*/ 273650 h 488114"/>
                <a:gd name="connsiteX16" fmla="*/ 176036 w 390229"/>
                <a:gd name="connsiteY16" fmla="*/ 293176 h 488114"/>
                <a:gd name="connsiteX17" fmla="*/ 195557 w 390229"/>
                <a:gd name="connsiteY17" fmla="*/ 312701 h 488114"/>
                <a:gd name="connsiteX18" fmla="*/ 215077 w 390229"/>
                <a:gd name="connsiteY18" fmla="*/ 332224 h 488114"/>
                <a:gd name="connsiteX19" fmla="*/ 234575 w 390229"/>
                <a:gd name="connsiteY19" fmla="*/ 351750 h 488114"/>
                <a:gd name="connsiteX20" fmla="*/ 254095 w 390229"/>
                <a:gd name="connsiteY20" fmla="*/ 371275 h 488114"/>
                <a:gd name="connsiteX21" fmla="*/ 273593 w 390229"/>
                <a:gd name="connsiteY21" fmla="*/ 390799 h 488114"/>
                <a:gd name="connsiteX22" fmla="*/ 293114 w 390229"/>
                <a:gd name="connsiteY22" fmla="*/ 410324 h 488114"/>
                <a:gd name="connsiteX23" fmla="*/ 312612 w 390229"/>
                <a:gd name="connsiteY23" fmla="*/ 429847 h 488114"/>
                <a:gd name="connsiteX24" fmla="*/ 332132 w 390229"/>
                <a:gd name="connsiteY24" fmla="*/ 449373 h 488114"/>
                <a:gd name="connsiteX25" fmla="*/ 351653 w 390229"/>
                <a:gd name="connsiteY25" fmla="*/ 468898 h 488114"/>
                <a:gd name="connsiteX26" fmla="*/ 371151 w 390229"/>
                <a:gd name="connsiteY26" fmla="*/ 488421 h 488114"/>
                <a:gd name="connsiteX27" fmla="*/ 390671 w 390229"/>
                <a:gd name="connsiteY27" fmla="*/ 488421 h 48811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390229" h="488114">
                  <a:moveTo>
                    <a:pt x="19962" y="307"/>
                  </a:moveTo>
                  <a:lnTo>
                    <a:pt x="442" y="19830"/>
                  </a:lnTo>
                  <a:lnTo>
                    <a:pt x="442" y="39355"/>
                  </a:lnTo>
                  <a:lnTo>
                    <a:pt x="442" y="58879"/>
                  </a:lnTo>
                  <a:lnTo>
                    <a:pt x="19962" y="78404"/>
                  </a:lnTo>
                  <a:lnTo>
                    <a:pt x="39483" y="97930"/>
                  </a:lnTo>
                  <a:lnTo>
                    <a:pt x="39483" y="117453"/>
                  </a:lnTo>
                  <a:lnTo>
                    <a:pt x="58981" y="136978"/>
                  </a:lnTo>
                  <a:lnTo>
                    <a:pt x="58981" y="156504"/>
                  </a:lnTo>
                  <a:lnTo>
                    <a:pt x="58981" y="176027"/>
                  </a:lnTo>
                  <a:lnTo>
                    <a:pt x="78501" y="195553"/>
                  </a:lnTo>
                  <a:lnTo>
                    <a:pt x="78501" y="215076"/>
                  </a:lnTo>
                  <a:lnTo>
                    <a:pt x="97999" y="234601"/>
                  </a:lnTo>
                  <a:lnTo>
                    <a:pt x="117520" y="254127"/>
                  </a:lnTo>
                  <a:lnTo>
                    <a:pt x="137018" y="273650"/>
                  </a:lnTo>
                  <a:lnTo>
                    <a:pt x="156538" y="273650"/>
                  </a:lnTo>
                  <a:lnTo>
                    <a:pt x="176036" y="293176"/>
                  </a:lnTo>
                  <a:lnTo>
                    <a:pt x="195557" y="312701"/>
                  </a:lnTo>
                  <a:lnTo>
                    <a:pt x="215077" y="332224"/>
                  </a:lnTo>
                  <a:lnTo>
                    <a:pt x="234575" y="351750"/>
                  </a:lnTo>
                  <a:lnTo>
                    <a:pt x="254095" y="371275"/>
                  </a:lnTo>
                  <a:lnTo>
                    <a:pt x="273593" y="390799"/>
                  </a:lnTo>
                  <a:lnTo>
                    <a:pt x="293114" y="410324"/>
                  </a:lnTo>
                  <a:lnTo>
                    <a:pt x="312612" y="429847"/>
                  </a:lnTo>
                  <a:lnTo>
                    <a:pt x="332132" y="449373"/>
                  </a:lnTo>
                  <a:lnTo>
                    <a:pt x="351653" y="468898"/>
                  </a:lnTo>
                  <a:lnTo>
                    <a:pt x="371151" y="488421"/>
                  </a:lnTo>
                  <a:lnTo>
                    <a:pt x="390671" y="488421"/>
                  </a:lnTo>
                </a:path>
              </a:pathLst>
            </a:custGeom>
            <a:noFill/>
            <a:ln w="261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3" name="Forma libre: forma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/>
          </xdr:nvSpPr>
          <xdr:spPr>
            <a:xfrm>
              <a:off x="9763522" y="1627826"/>
              <a:ext cx="89150" cy="107453"/>
            </a:xfrm>
            <a:custGeom>
              <a:avLst/>
              <a:gdLst>
                <a:gd name="connsiteX0" fmla="*/ 442 w 351188"/>
                <a:gd name="connsiteY0" fmla="*/ 307 h 429542"/>
                <a:gd name="connsiteX1" fmla="*/ 19940 w 351188"/>
                <a:gd name="connsiteY1" fmla="*/ 307 h 429542"/>
                <a:gd name="connsiteX2" fmla="*/ 39460 w 351188"/>
                <a:gd name="connsiteY2" fmla="*/ 19832 h 429542"/>
                <a:gd name="connsiteX3" fmla="*/ 58958 w 351188"/>
                <a:gd name="connsiteY3" fmla="*/ 39358 h 429542"/>
                <a:gd name="connsiteX4" fmla="*/ 58958 w 351188"/>
                <a:gd name="connsiteY4" fmla="*/ 58881 h 429542"/>
                <a:gd name="connsiteX5" fmla="*/ 58958 w 351188"/>
                <a:gd name="connsiteY5" fmla="*/ 78406 h 429542"/>
                <a:gd name="connsiteX6" fmla="*/ 58958 w 351188"/>
                <a:gd name="connsiteY6" fmla="*/ 97932 h 429542"/>
                <a:gd name="connsiteX7" fmla="*/ 58958 w 351188"/>
                <a:gd name="connsiteY7" fmla="*/ 117455 h 429542"/>
                <a:gd name="connsiteX8" fmla="*/ 58958 w 351188"/>
                <a:gd name="connsiteY8" fmla="*/ 136981 h 429542"/>
                <a:gd name="connsiteX9" fmla="*/ 78479 w 351188"/>
                <a:gd name="connsiteY9" fmla="*/ 156504 h 429542"/>
                <a:gd name="connsiteX10" fmla="*/ 78479 w 351188"/>
                <a:gd name="connsiteY10" fmla="*/ 176029 h 429542"/>
                <a:gd name="connsiteX11" fmla="*/ 97999 w 351188"/>
                <a:gd name="connsiteY11" fmla="*/ 195555 h 429542"/>
                <a:gd name="connsiteX12" fmla="*/ 117497 w 351188"/>
                <a:gd name="connsiteY12" fmla="*/ 195555 h 429542"/>
                <a:gd name="connsiteX13" fmla="*/ 137018 w 351188"/>
                <a:gd name="connsiteY13" fmla="*/ 195555 h 429542"/>
                <a:gd name="connsiteX14" fmla="*/ 156516 w 351188"/>
                <a:gd name="connsiteY14" fmla="*/ 215078 h 429542"/>
                <a:gd name="connsiteX15" fmla="*/ 176036 w 351188"/>
                <a:gd name="connsiteY15" fmla="*/ 234604 h 429542"/>
                <a:gd name="connsiteX16" fmla="*/ 195534 w 351188"/>
                <a:gd name="connsiteY16" fmla="*/ 254129 h 429542"/>
                <a:gd name="connsiteX17" fmla="*/ 195534 w 351188"/>
                <a:gd name="connsiteY17" fmla="*/ 273652 h 429542"/>
                <a:gd name="connsiteX18" fmla="*/ 195534 w 351188"/>
                <a:gd name="connsiteY18" fmla="*/ 293178 h 429542"/>
                <a:gd name="connsiteX19" fmla="*/ 195534 w 351188"/>
                <a:gd name="connsiteY19" fmla="*/ 312701 h 429542"/>
                <a:gd name="connsiteX20" fmla="*/ 215055 w 351188"/>
                <a:gd name="connsiteY20" fmla="*/ 332226 h 429542"/>
                <a:gd name="connsiteX21" fmla="*/ 234553 w 351188"/>
                <a:gd name="connsiteY21" fmla="*/ 351752 h 429542"/>
                <a:gd name="connsiteX22" fmla="*/ 254073 w 351188"/>
                <a:gd name="connsiteY22" fmla="*/ 371275 h 429542"/>
                <a:gd name="connsiteX23" fmla="*/ 273593 w 351188"/>
                <a:gd name="connsiteY23" fmla="*/ 390801 h 429542"/>
                <a:gd name="connsiteX24" fmla="*/ 293092 w 351188"/>
                <a:gd name="connsiteY24" fmla="*/ 390801 h 429542"/>
                <a:gd name="connsiteX25" fmla="*/ 312612 w 351188"/>
                <a:gd name="connsiteY25" fmla="*/ 410326 h 429542"/>
                <a:gd name="connsiteX26" fmla="*/ 332110 w 351188"/>
                <a:gd name="connsiteY26" fmla="*/ 429849 h 429542"/>
                <a:gd name="connsiteX27" fmla="*/ 351631 w 351188"/>
                <a:gd name="connsiteY27" fmla="*/ 429849 h 4295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351188" h="429542">
                  <a:moveTo>
                    <a:pt x="442" y="307"/>
                  </a:moveTo>
                  <a:lnTo>
                    <a:pt x="19940" y="307"/>
                  </a:lnTo>
                  <a:lnTo>
                    <a:pt x="39460" y="19832"/>
                  </a:lnTo>
                  <a:lnTo>
                    <a:pt x="58958" y="39358"/>
                  </a:lnTo>
                  <a:lnTo>
                    <a:pt x="58958" y="58881"/>
                  </a:lnTo>
                  <a:lnTo>
                    <a:pt x="58958" y="78406"/>
                  </a:lnTo>
                  <a:lnTo>
                    <a:pt x="58958" y="97932"/>
                  </a:lnTo>
                  <a:lnTo>
                    <a:pt x="58958" y="117455"/>
                  </a:lnTo>
                  <a:lnTo>
                    <a:pt x="58958" y="136981"/>
                  </a:lnTo>
                  <a:lnTo>
                    <a:pt x="78479" y="156504"/>
                  </a:lnTo>
                  <a:lnTo>
                    <a:pt x="78479" y="176029"/>
                  </a:lnTo>
                  <a:lnTo>
                    <a:pt x="97999" y="195555"/>
                  </a:lnTo>
                  <a:lnTo>
                    <a:pt x="117497" y="195555"/>
                  </a:lnTo>
                  <a:lnTo>
                    <a:pt x="137018" y="195555"/>
                  </a:lnTo>
                  <a:lnTo>
                    <a:pt x="156516" y="215078"/>
                  </a:lnTo>
                  <a:lnTo>
                    <a:pt x="176036" y="234604"/>
                  </a:lnTo>
                  <a:lnTo>
                    <a:pt x="195534" y="254129"/>
                  </a:lnTo>
                  <a:lnTo>
                    <a:pt x="195534" y="273652"/>
                  </a:lnTo>
                  <a:lnTo>
                    <a:pt x="195534" y="293178"/>
                  </a:lnTo>
                  <a:lnTo>
                    <a:pt x="195534" y="312701"/>
                  </a:lnTo>
                  <a:lnTo>
                    <a:pt x="215055" y="332226"/>
                  </a:lnTo>
                  <a:lnTo>
                    <a:pt x="234553" y="351752"/>
                  </a:lnTo>
                  <a:lnTo>
                    <a:pt x="254073" y="371275"/>
                  </a:lnTo>
                  <a:lnTo>
                    <a:pt x="273593" y="390801"/>
                  </a:lnTo>
                  <a:lnTo>
                    <a:pt x="293092" y="390801"/>
                  </a:lnTo>
                  <a:lnTo>
                    <a:pt x="312612" y="410326"/>
                  </a:lnTo>
                  <a:lnTo>
                    <a:pt x="332110" y="429849"/>
                  </a:lnTo>
                  <a:lnTo>
                    <a:pt x="351631" y="429849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4" name="Forma libre: forma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/>
          </xdr:nvSpPr>
          <xdr:spPr>
            <a:xfrm>
              <a:off x="9999303" y="1269645"/>
              <a:ext cx="98926" cy="206170"/>
            </a:xfrm>
            <a:custGeom>
              <a:avLst/>
              <a:gdLst>
                <a:gd name="connsiteX0" fmla="*/ 19940 w 390207"/>
                <a:gd name="connsiteY0" fmla="*/ 307 h 844123"/>
                <a:gd name="connsiteX1" fmla="*/ 19940 w 390207"/>
                <a:gd name="connsiteY1" fmla="*/ 4870 h 844123"/>
                <a:gd name="connsiteX2" fmla="*/ 19940 w 390207"/>
                <a:gd name="connsiteY2" fmla="*/ 24393 h 844123"/>
                <a:gd name="connsiteX3" fmla="*/ 442 w 390207"/>
                <a:gd name="connsiteY3" fmla="*/ 43919 h 844123"/>
                <a:gd name="connsiteX4" fmla="*/ 442 w 390207"/>
                <a:gd name="connsiteY4" fmla="*/ 63444 h 844123"/>
                <a:gd name="connsiteX5" fmla="*/ 442 w 390207"/>
                <a:gd name="connsiteY5" fmla="*/ 82968 h 844123"/>
                <a:gd name="connsiteX6" fmla="*/ 442 w 390207"/>
                <a:gd name="connsiteY6" fmla="*/ 102493 h 844123"/>
                <a:gd name="connsiteX7" fmla="*/ 442 w 390207"/>
                <a:gd name="connsiteY7" fmla="*/ 122018 h 844123"/>
                <a:gd name="connsiteX8" fmla="*/ 442 w 390207"/>
                <a:gd name="connsiteY8" fmla="*/ 141542 h 844123"/>
                <a:gd name="connsiteX9" fmla="*/ 442 w 390207"/>
                <a:gd name="connsiteY9" fmla="*/ 161067 h 844123"/>
                <a:gd name="connsiteX10" fmla="*/ 442 w 390207"/>
                <a:gd name="connsiteY10" fmla="*/ 180592 h 844123"/>
                <a:gd name="connsiteX11" fmla="*/ 442 w 390207"/>
                <a:gd name="connsiteY11" fmla="*/ 200116 h 844123"/>
                <a:gd name="connsiteX12" fmla="*/ 19940 w 390207"/>
                <a:gd name="connsiteY12" fmla="*/ 219641 h 844123"/>
                <a:gd name="connsiteX13" fmla="*/ 19940 w 390207"/>
                <a:gd name="connsiteY13" fmla="*/ 239166 h 844123"/>
                <a:gd name="connsiteX14" fmla="*/ 19940 w 390207"/>
                <a:gd name="connsiteY14" fmla="*/ 258690 h 844123"/>
                <a:gd name="connsiteX15" fmla="*/ 19940 w 390207"/>
                <a:gd name="connsiteY15" fmla="*/ 278215 h 844123"/>
                <a:gd name="connsiteX16" fmla="*/ 39460 w 390207"/>
                <a:gd name="connsiteY16" fmla="*/ 297740 h 844123"/>
                <a:gd name="connsiteX17" fmla="*/ 39460 w 390207"/>
                <a:gd name="connsiteY17" fmla="*/ 317264 h 844123"/>
                <a:gd name="connsiteX18" fmla="*/ 58959 w 390207"/>
                <a:gd name="connsiteY18" fmla="*/ 336789 h 844123"/>
                <a:gd name="connsiteX19" fmla="*/ 78479 w 390207"/>
                <a:gd name="connsiteY19" fmla="*/ 356314 h 844123"/>
                <a:gd name="connsiteX20" fmla="*/ 97999 w 390207"/>
                <a:gd name="connsiteY20" fmla="*/ 356314 h 844123"/>
                <a:gd name="connsiteX21" fmla="*/ 117498 w 390207"/>
                <a:gd name="connsiteY21" fmla="*/ 375838 h 844123"/>
                <a:gd name="connsiteX22" fmla="*/ 137018 w 390207"/>
                <a:gd name="connsiteY22" fmla="*/ 395363 h 844123"/>
                <a:gd name="connsiteX23" fmla="*/ 137018 w 390207"/>
                <a:gd name="connsiteY23" fmla="*/ 414888 h 844123"/>
                <a:gd name="connsiteX24" fmla="*/ 137018 w 390207"/>
                <a:gd name="connsiteY24" fmla="*/ 434412 h 844123"/>
                <a:gd name="connsiteX25" fmla="*/ 156516 w 390207"/>
                <a:gd name="connsiteY25" fmla="*/ 453937 h 844123"/>
                <a:gd name="connsiteX26" fmla="*/ 156516 w 390207"/>
                <a:gd name="connsiteY26" fmla="*/ 473461 h 844123"/>
                <a:gd name="connsiteX27" fmla="*/ 176036 w 390207"/>
                <a:gd name="connsiteY27" fmla="*/ 492986 h 844123"/>
                <a:gd name="connsiteX28" fmla="*/ 195534 w 390207"/>
                <a:gd name="connsiteY28" fmla="*/ 512511 h 844123"/>
                <a:gd name="connsiteX29" fmla="*/ 195534 w 390207"/>
                <a:gd name="connsiteY29" fmla="*/ 532036 h 844123"/>
                <a:gd name="connsiteX30" fmla="*/ 195534 w 390207"/>
                <a:gd name="connsiteY30" fmla="*/ 551560 h 844123"/>
                <a:gd name="connsiteX31" fmla="*/ 215055 w 390207"/>
                <a:gd name="connsiteY31" fmla="*/ 571085 h 844123"/>
                <a:gd name="connsiteX32" fmla="*/ 215055 w 390207"/>
                <a:gd name="connsiteY32" fmla="*/ 590609 h 844123"/>
                <a:gd name="connsiteX33" fmla="*/ 215055 w 390207"/>
                <a:gd name="connsiteY33" fmla="*/ 610133 h 844123"/>
                <a:gd name="connsiteX34" fmla="*/ 234553 w 390207"/>
                <a:gd name="connsiteY34" fmla="*/ 629659 h 844123"/>
                <a:gd name="connsiteX35" fmla="*/ 254073 w 390207"/>
                <a:gd name="connsiteY35" fmla="*/ 649184 h 844123"/>
                <a:gd name="connsiteX36" fmla="*/ 254073 w 390207"/>
                <a:gd name="connsiteY36" fmla="*/ 668707 h 844123"/>
                <a:gd name="connsiteX37" fmla="*/ 254073 w 390207"/>
                <a:gd name="connsiteY37" fmla="*/ 688233 h 844123"/>
                <a:gd name="connsiteX38" fmla="*/ 273594 w 390207"/>
                <a:gd name="connsiteY38" fmla="*/ 707758 h 844123"/>
                <a:gd name="connsiteX39" fmla="*/ 293092 w 390207"/>
                <a:gd name="connsiteY39" fmla="*/ 727282 h 844123"/>
                <a:gd name="connsiteX40" fmla="*/ 312612 w 390207"/>
                <a:gd name="connsiteY40" fmla="*/ 746807 h 844123"/>
                <a:gd name="connsiteX41" fmla="*/ 332110 w 390207"/>
                <a:gd name="connsiteY41" fmla="*/ 766333 h 844123"/>
                <a:gd name="connsiteX42" fmla="*/ 351631 w 390207"/>
                <a:gd name="connsiteY42" fmla="*/ 766333 h 844123"/>
                <a:gd name="connsiteX43" fmla="*/ 371129 w 390207"/>
                <a:gd name="connsiteY43" fmla="*/ 785856 h 844123"/>
                <a:gd name="connsiteX44" fmla="*/ 390649 w 390207"/>
                <a:gd name="connsiteY44" fmla="*/ 805381 h 844123"/>
                <a:gd name="connsiteX45" fmla="*/ 390649 w 390207"/>
                <a:gd name="connsiteY45" fmla="*/ 824905 h 844123"/>
                <a:gd name="connsiteX46" fmla="*/ 390649 w 390207"/>
                <a:gd name="connsiteY46" fmla="*/ 844430 h 8441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</a:cxnLst>
              <a:rect l="l" t="t" r="r" b="b"/>
              <a:pathLst>
                <a:path w="390207" h="844123">
                  <a:moveTo>
                    <a:pt x="19940" y="307"/>
                  </a:moveTo>
                  <a:lnTo>
                    <a:pt x="19940" y="4870"/>
                  </a:lnTo>
                  <a:lnTo>
                    <a:pt x="19940" y="24393"/>
                  </a:lnTo>
                  <a:lnTo>
                    <a:pt x="442" y="43919"/>
                  </a:lnTo>
                  <a:lnTo>
                    <a:pt x="442" y="63444"/>
                  </a:lnTo>
                  <a:lnTo>
                    <a:pt x="442" y="82968"/>
                  </a:lnTo>
                  <a:lnTo>
                    <a:pt x="442" y="102493"/>
                  </a:lnTo>
                  <a:lnTo>
                    <a:pt x="442" y="122018"/>
                  </a:lnTo>
                  <a:lnTo>
                    <a:pt x="442" y="141542"/>
                  </a:lnTo>
                  <a:lnTo>
                    <a:pt x="442" y="161067"/>
                  </a:lnTo>
                  <a:lnTo>
                    <a:pt x="442" y="180592"/>
                  </a:lnTo>
                  <a:lnTo>
                    <a:pt x="442" y="200116"/>
                  </a:lnTo>
                  <a:lnTo>
                    <a:pt x="19940" y="219641"/>
                  </a:lnTo>
                  <a:lnTo>
                    <a:pt x="19940" y="239166"/>
                  </a:lnTo>
                  <a:lnTo>
                    <a:pt x="19940" y="258690"/>
                  </a:lnTo>
                  <a:lnTo>
                    <a:pt x="19940" y="278215"/>
                  </a:lnTo>
                  <a:lnTo>
                    <a:pt x="39460" y="297740"/>
                  </a:lnTo>
                  <a:lnTo>
                    <a:pt x="39460" y="317264"/>
                  </a:lnTo>
                  <a:lnTo>
                    <a:pt x="58959" y="336789"/>
                  </a:lnTo>
                  <a:lnTo>
                    <a:pt x="78479" y="356314"/>
                  </a:lnTo>
                  <a:lnTo>
                    <a:pt x="97999" y="356314"/>
                  </a:lnTo>
                  <a:lnTo>
                    <a:pt x="117498" y="375838"/>
                  </a:lnTo>
                  <a:lnTo>
                    <a:pt x="137018" y="395363"/>
                  </a:lnTo>
                  <a:lnTo>
                    <a:pt x="137018" y="414888"/>
                  </a:lnTo>
                  <a:lnTo>
                    <a:pt x="137018" y="434412"/>
                  </a:lnTo>
                  <a:lnTo>
                    <a:pt x="156516" y="453937"/>
                  </a:lnTo>
                  <a:lnTo>
                    <a:pt x="156516" y="473461"/>
                  </a:lnTo>
                  <a:lnTo>
                    <a:pt x="176036" y="492986"/>
                  </a:lnTo>
                  <a:lnTo>
                    <a:pt x="195534" y="512511"/>
                  </a:lnTo>
                  <a:lnTo>
                    <a:pt x="195534" y="532036"/>
                  </a:lnTo>
                  <a:lnTo>
                    <a:pt x="195534" y="551560"/>
                  </a:lnTo>
                  <a:lnTo>
                    <a:pt x="215055" y="571085"/>
                  </a:lnTo>
                  <a:lnTo>
                    <a:pt x="215055" y="590609"/>
                  </a:lnTo>
                  <a:lnTo>
                    <a:pt x="215055" y="610133"/>
                  </a:lnTo>
                  <a:lnTo>
                    <a:pt x="234553" y="629659"/>
                  </a:lnTo>
                  <a:lnTo>
                    <a:pt x="254073" y="649184"/>
                  </a:lnTo>
                  <a:lnTo>
                    <a:pt x="254073" y="668707"/>
                  </a:lnTo>
                  <a:lnTo>
                    <a:pt x="254073" y="688233"/>
                  </a:lnTo>
                  <a:lnTo>
                    <a:pt x="273594" y="707758"/>
                  </a:lnTo>
                  <a:lnTo>
                    <a:pt x="293092" y="727282"/>
                  </a:lnTo>
                  <a:lnTo>
                    <a:pt x="312612" y="746807"/>
                  </a:lnTo>
                  <a:lnTo>
                    <a:pt x="332110" y="766333"/>
                  </a:lnTo>
                  <a:lnTo>
                    <a:pt x="351631" y="766333"/>
                  </a:lnTo>
                  <a:lnTo>
                    <a:pt x="371129" y="785856"/>
                  </a:lnTo>
                  <a:lnTo>
                    <a:pt x="390649" y="805381"/>
                  </a:lnTo>
                  <a:lnTo>
                    <a:pt x="390649" y="824905"/>
                  </a:lnTo>
                  <a:lnTo>
                    <a:pt x="390649" y="844430"/>
                  </a:lnTo>
                </a:path>
              </a:pathLst>
            </a:custGeom>
            <a:noFill/>
            <a:ln w="2617" cap="sq">
              <a:solidFill>
                <a:schemeClr val="accent6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8777493" y="1474253"/>
              <a:ext cx="1339054" cy="297350"/>
              <a:chOff x="8782962" y="1475815"/>
              <a:chExt cx="1339706" cy="297676"/>
            </a:xfrm>
          </xdr:grpSpPr>
          <xdr:sp macro="" textlink="">
            <xdr:nvSpPr>
              <xdr:cNvPr id="193" name="Forma libre: forma 192">
                <a:extLst>
                  <a:ext uri="{FF2B5EF4-FFF2-40B4-BE49-F238E27FC236}">
                    <a16:creationId xmlns:a16="http://schemas.microsoft.com/office/drawing/2014/main" id="{00000000-0008-0000-0400-0000C1000000}"/>
                  </a:ext>
                </a:extLst>
              </xdr:cNvPr>
              <xdr:cNvSpPr/>
            </xdr:nvSpPr>
            <xdr:spPr>
              <a:xfrm>
                <a:off x="10098110" y="1475815"/>
                <a:ext cx="24558" cy="297676"/>
              </a:xfrm>
              <a:custGeom>
                <a:avLst/>
                <a:gdLst>
                  <a:gd name="connsiteX0" fmla="*/ 442 w 97557"/>
                  <a:gd name="connsiteY0" fmla="*/ 307 h 1210528"/>
                  <a:gd name="connsiteX1" fmla="*/ 442 w 97557"/>
                  <a:gd name="connsiteY1" fmla="*/ 19832 h 1210528"/>
                  <a:gd name="connsiteX2" fmla="*/ 442 w 97557"/>
                  <a:gd name="connsiteY2" fmla="*/ 39355 h 1210528"/>
                  <a:gd name="connsiteX3" fmla="*/ 442 w 97557"/>
                  <a:gd name="connsiteY3" fmla="*/ 58881 h 1210528"/>
                  <a:gd name="connsiteX4" fmla="*/ 442 w 97557"/>
                  <a:gd name="connsiteY4" fmla="*/ 78406 h 1210528"/>
                  <a:gd name="connsiteX5" fmla="*/ 19962 w 97557"/>
                  <a:gd name="connsiteY5" fmla="*/ 97930 h 1210528"/>
                  <a:gd name="connsiteX6" fmla="*/ 39460 w 97557"/>
                  <a:gd name="connsiteY6" fmla="*/ 117455 h 1210528"/>
                  <a:gd name="connsiteX7" fmla="*/ 58980 w 97557"/>
                  <a:gd name="connsiteY7" fmla="*/ 136981 h 1210528"/>
                  <a:gd name="connsiteX8" fmla="*/ 78479 w 97557"/>
                  <a:gd name="connsiteY8" fmla="*/ 156504 h 1210528"/>
                  <a:gd name="connsiteX9" fmla="*/ 78479 w 97557"/>
                  <a:gd name="connsiteY9" fmla="*/ 176029 h 1210528"/>
                  <a:gd name="connsiteX10" fmla="*/ 78479 w 97557"/>
                  <a:gd name="connsiteY10" fmla="*/ 195553 h 1210528"/>
                  <a:gd name="connsiteX11" fmla="*/ 78479 w 97557"/>
                  <a:gd name="connsiteY11" fmla="*/ 215078 h 1210528"/>
                  <a:gd name="connsiteX12" fmla="*/ 78479 w 97557"/>
                  <a:gd name="connsiteY12" fmla="*/ 234604 h 1210528"/>
                  <a:gd name="connsiteX13" fmla="*/ 78479 w 97557"/>
                  <a:gd name="connsiteY13" fmla="*/ 254127 h 1210528"/>
                  <a:gd name="connsiteX14" fmla="*/ 58980 w 97557"/>
                  <a:gd name="connsiteY14" fmla="*/ 273652 h 1210528"/>
                  <a:gd name="connsiteX15" fmla="*/ 58980 w 97557"/>
                  <a:gd name="connsiteY15" fmla="*/ 293178 h 1210528"/>
                  <a:gd name="connsiteX16" fmla="*/ 58980 w 97557"/>
                  <a:gd name="connsiteY16" fmla="*/ 312701 h 1210528"/>
                  <a:gd name="connsiteX17" fmla="*/ 58980 w 97557"/>
                  <a:gd name="connsiteY17" fmla="*/ 332227 h 1210528"/>
                  <a:gd name="connsiteX18" fmla="*/ 39460 w 97557"/>
                  <a:gd name="connsiteY18" fmla="*/ 351750 h 1210528"/>
                  <a:gd name="connsiteX19" fmla="*/ 39460 w 97557"/>
                  <a:gd name="connsiteY19" fmla="*/ 371275 h 1210528"/>
                  <a:gd name="connsiteX20" fmla="*/ 19962 w 97557"/>
                  <a:gd name="connsiteY20" fmla="*/ 390801 h 1210528"/>
                  <a:gd name="connsiteX21" fmla="*/ 19962 w 97557"/>
                  <a:gd name="connsiteY21" fmla="*/ 410324 h 1210528"/>
                  <a:gd name="connsiteX22" fmla="*/ 19962 w 97557"/>
                  <a:gd name="connsiteY22" fmla="*/ 429849 h 1210528"/>
                  <a:gd name="connsiteX23" fmla="*/ 19962 w 97557"/>
                  <a:gd name="connsiteY23" fmla="*/ 449375 h 1210528"/>
                  <a:gd name="connsiteX24" fmla="*/ 39460 w 97557"/>
                  <a:gd name="connsiteY24" fmla="*/ 468898 h 1210528"/>
                  <a:gd name="connsiteX25" fmla="*/ 39460 w 97557"/>
                  <a:gd name="connsiteY25" fmla="*/ 488424 h 1210528"/>
                  <a:gd name="connsiteX26" fmla="*/ 39460 w 97557"/>
                  <a:gd name="connsiteY26" fmla="*/ 507949 h 1210528"/>
                  <a:gd name="connsiteX27" fmla="*/ 39460 w 97557"/>
                  <a:gd name="connsiteY27" fmla="*/ 527472 h 1210528"/>
                  <a:gd name="connsiteX28" fmla="*/ 39460 w 97557"/>
                  <a:gd name="connsiteY28" fmla="*/ 546998 h 1210528"/>
                  <a:gd name="connsiteX29" fmla="*/ 39460 w 97557"/>
                  <a:gd name="connsiteY29" fmla="*/ 566521 h 1210528"/>
                  <a:gd name="connsiteX30" fmla="*/ 39460 w 97557"/>
                  <a:gd name="connsiteY30" fmla="*/ 586047 h 1210528"/>
                  <a:gd name="connsiteX31" fmla="*/ 39460 w 97557"/>
                  <a:gd name="connsiteY31" fmla="*/ 605572 h 1210528"/>
                  <a:gd name="connsiteX32" fmla="*/ 39460 w 97557"/>
                  <a:gd name="connsiteY32" fmla="*/ 625095 h 1210528"/>
                  <a:gd name="connsiteX33" fmla="*/ 39460 w 97557"/>
                  <a:gd name="connsiteY33" fmla="*/ 644621 h 1210528"/>
                  <a:gd name="connsiteX34" fmla="*/ 39460 w 97557"/>
                  <a:gd name="connsiteY34" fmla="*/ 664146 h 1210528"/>
                  <a:gd name="connsiteX35" fmla="*/ 39460 w 97557"/>
                  <a:gd name="connsiteY35" fmla="*/ 683670 h 1210528"/>
                  <a:gd name="connsiteX36" fmla="*/ 39460 w 97557"/>
                  <a:gd name="connsiteY36" fmla="*/ 703195 h 1210528"/>
                  <a:gd name="connsiteX37" fmla="*/ 39460 w 97557"/>
                  <a:gd name="connsiteY37" fmla="*/ 722720 h 1210528"/>
                  <a:gd name="connsiteX38" fmla="*/ 39460 w 97557"/>
                  <a:gd name="connsiteY38" fmla="*/ 742244 h 1210528"/>
                  <a:gd name="connsiteX39" fmla="*/ 58980 w 97557"/>
                  <a:gd name="connsiteY39" fmla="*/ 761769 h 1210528"/>
                  <a:gd name="connsiteX40" fmla="*/ 78479 w 97557"/>
                  <a:gd name="connsiteY40" fmla="*/ 781293 h 1210528"/>
                  <a:gd name="connsiteX41" fmla="*/ 97999 w 97557"/>
                  <a:gd name="connsiteY41" fmla="*/ 800818 h 1210528"/>
                  <a:gd name="connsiteX42" fmla="*/ 97999 w 97557"/>
                  <a:gd name="connsiteY42" fmla="*/ 820343 h 1210528"/>
                  <a:gd name="connsiteX43" fmla="*/ 97999 w 97557"/>
                  <a:gd name="connsiteY43" fmla="*/ 839867 h 1210528"/>
                  <a:gd name="connsiteX44" fmla="*/ 97999 w 97557"/>
                  <a:gd name="connsiteY44" fmla="*/ 859392 h 1210528"/>
                  <a:gd name="connsiteX45" fmla="*/ 78479 w 97557"/>
                  <a:gd name="connsiteY45" fmla="*/ 878918 h 1210528"/>
                  <a:gd name="connsiteX46" fmla="*/ 78479 w 97557"/>
                  <a:gd name="connsiteY46" fmla="*/ 898441 h 1210528"/>
                  <a:gd name="connsiteX47" fmla="*/ 78479 w 97557"/>
                  <a:gd name="connsiteY47" fmla="*/ 917966 h 1210528"/>
                  <a:gd name="connsiteX48" fmla="*/ 78479 w 97557"/>
                  <a:gd name="connsiteY48" fmla="*/ 937490 h 1210528"/>
                  <a:gd name="connsiteX49" fmla="*/ 78479 w 97557"/>
                  <a:gd name="connsiteY49" fmla="*/ 957015 h 1210528"/>
                  <a:gd name="connsiteX50" fmla="*/ 78479 w 97557"/>
                  <a:gd name="connsiteY50" fmla="*/ 976541 h 1210528"/>
                  <a:gd name="connsiteX51" fmla="*/ 58980 w 97557"/>
                  <a:gd name="connsiteY51" fmla="*/ 996064 h 1210528"/>
                  <a:gd name="connsiteX52" fmla="*/ 39460 w 97557"/>
                  <a:gd name="connsiteY52" fmla="*/ 1015589 h 1210528"/>
                  <a:gd name="connsiteX53" fmla="*/ 39460 w 97557"/>
                  <a:gd name="connsiteY53" fmla="*/ 1035115 h 1210528"/>
                  <a:gd name="connsiteX54" fmla="*/ 39460 w 97557"/>
                  <a:gd name="connsiteY54" fmla="*/ 1054638 h 1210528"/>
                  <a:gd name="connsiteX55" fmla="*/ 58980 w 97557"/>
                  <a:gd name="connsiteY55" fmla="*/ 1074164 h 1210528"/>
                  <a:gd name="connsiteX56" fmla="*/ 58980 w 97557"/>
                  <a:gd name="connsiteY56" fmla="*/ 1093689 h 1210528"/>
                  <a:gd name="connsiteX57" fmla="*/ 58980 w 97557"/>
                  <a:gd name="connsiteY57" fmla="*/ 1113212 h 1210528"/>
                  <a:gd name="connsiteX58" fmla="*/ 58980 w 97557"/>
                  <a:gd name="connsiteY58" fmla="*/ 1132738 h 1210528"/>
                  <a:gd name="connsiteX59" fmla="*/ 39460 w 97557"/>
                  <a:gd name="connsiteY59" fmla="*/ 1152261 h 1210528"/>
                  <a:gd name="connsiteX60" fmla="*/ 39460 w 97557"/>
                  <a:gd name="connsiteY60" fmla="*/ 1171786 h 1210528"/>
                  <a:gd name="connsiteX61" fmla="*/ 39460 w 97557"/>
                  <a:gd name="connsiteY61" fmla="*/ 1191312 h 1210528"/>
                  <a:gd name="connsiteX62" fmla="*/ 19962 w 97557"/>
                  <a:gd name="connsiteY62" fmla="*/ 1210835 h 1210528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  <a:cxn ang="0">
                    <a:pos x="connsiteX36" y="connsiteY36"/>
                  </a:cxn>
                  <a:cxn ang="0">
                    <a:pos x="connsiteX37" y="connsiteY37"/>
                  </a:cxn>
                  <a:cxn ang="0">
                    <a:pos x="connsiteX38" y="connsiteY38"/>
                  </a:cxn>
                  <a:cxn ang="0">
                    <a:pos x="connsiteX39" y="connsiteY39"/>
                  </a:cxn>
                  <a:cxn ang="0">
                    <a:pos x="connsiteX40" y="connsiteY40"/>
                  </a:cxn>
                  <a:cxn ang="0">
                    <a:pos x="connsiteX41" y="connsiteY41"/>
                  </a:cxn>
                  <a:cxn ang="0">
                    <a:pos x="connsiteX42" y="connsiteY42"/>
                  </a:cxn>
                  <a:cxn ang="0">
                    <a:pos x="connsiteX43" y="connsiteY43"/>
                  </a:cxn>
                  <a:cxn ang="0">
                    <a:pos x="connsiteX44" y="connsiteY44"/>
                  </a:cxn>
                  <a:cxn ang="0">
                    <a:pos x="connsiteX45" y="connsiteY45"/>
                  </a:cxn>
                  <a:cxn ang="0">
                    <a:pos x="connsiteX46" y="connsiteY46"/>
                  </a:cxn>
                  <a:cxn ang="0">
                    <a:pos x="connsiteX47" y="connsiteY47"/>
                  </a:cxn>
                  <a:cxn ang="0">
                    <a:pos x="connsiteX48" y="connsiteY48"/>
                  </a:cxn>
                  <a:cxn ang="0">
                    <a:pos x="connsiteX49" y="connsiteY49"/>
                  </a:cxn>
                  <a:cxn ang="0">
                    <a:pos x="connsiteX50" y="connsiteY50"/>
                  </a:cxn>
                  <a:cxn ang="0">
                    <a:pos x="connsiteX51" y="connsiteY51"/>
                  </a:cxn>
                  <a:cxn ang="0">
                    <a:pos x="connsiteX52" y="connsiteY52"/>
                  </a:cxn>
                  <a:cxn ang="0">
                    <a:pos x="connsiteX53" y="connsiteY53"/>
                  </a:cxn>
                  <a:cxn ang="0">
                    <a:pos x="connsiteX54" y="connsiteY54"/>
                  </a:cxn>
                  <a:cxn ang="0">
                    <a:pos x="connsiteX55" y="connsiteY55"/>
                  </a:cxn>
                  <a:cxn ang="0">
                    <a:pos x="connsiteX56" y="connsiteY56"/>
                  </a:cxn>
                  <a:cxn ang="0">
                    <a:pos x="connsiteX57" y="connsiteY57"/>
                  </a:cxn>
                  <a:cxn ang="0">
                    <a:pos x="connsiteX58" y="connsiteY58"/>
                  </a:cxn>
                  <a:cxn ang="0">
                    <a:pos x="connsiteX59" y="connsiteY59"/>
                  </a:cxn>
                  <a:cxn ang="0">
                    <a:pos x="connsiteX60" y="connsiteY60"/>
                  </a:cxn>
                  <a:cxn ang="0">
                    <a:pos x="connsiteX61" y="connsiteY61"/>
                  </a:cxn>
                  <a:cxn ang="0">
                    <a:pos x="connsiteX62" y="connsiteY62"/>
                  </a:cxn>
                </a:cxnLst>
                <a:rect l="l" t="t" r="r" b="b"/>
                <a:pathLst>
                  <a:path w="97557" h="1210528">
                    <a:moveTo>
                      <a:pt x="442" y="307"/>
                    </a:moveTo>
                    <a:lnTo>
                      <a:pt x="442" y="19832"/>
                    </a:lnTo>
                    <a:lnTo>
                      <a:pt x="442" y="39355"/>
                    </a:lnTo>
                    <a:lnTo>
                      <a:pt x="442" y="58881"/>
                    </a:lnTo>
                    <a:lnTo>
                      <a:pt x="442" y="78406"/>
                    </a:lnTo>
                    <a:lnTo>
                      <a:pt x="19962" y="97930"/>
                    </a:lnTo>
                    <a:lnTo>
                      <a:pt x="39460" y="117455"/>
                    </a:lnTo>
                    <a:lnTo>
                      <a:pt x="58980" y="136981"/>
                    </a:lnTo>
                    <a:lnTo>
                      <a:pt x="78479" y="156504"/>
                    </a:lnTo>
                    <a:lnTo>
                      <a:pt x="78479" y="176029"/>
                    </a:lnTo>
                    <a:lnTo>
                      <a:pt x="78479" y="195553"/>
                    </a:lnTo>
                    <a:lnTo>
                      <a:pt x="78479" y="215078"/>
                    </a:lnTo>
                    <a:lnTo>
                      <a:pt x="78479" y="234604"/>
                    </a:lnTo>
                    <a:lnTo>
                      <a:pt x="78479" y="254127"/>
                    </a:lnTo>
                    <a:lnTo>
                      <a:pt x="58980" y="273652"/>
                    </a:lnTo>
                    <a:lnTo>
                      <a:pt x="58980" y="293178"/>
                    </a:lnTo>
                    <a:lnTo>
                      <a:pt x="58980" y="312701"/>
                    </a:lnTo>
                    <a:lnTo>
                      <a:pt x="58980" y="332227"/>
                    </a:lnTo>
                    <a:lnTo>
                      <a:pt x="39460" y="351750"/>
                    </a:lnTo>
                    <a:lnTo>
                      <a:pt x="39460" y="371275"/>
                    </a:lnTo>
                    <a:lnTo>
                      <a:pt x="19962" y="390801"/>
                    </a:lnTo>
                    <a:lnTo>
                      <a:pt x="19962" y="410324"/>
                    </a:lnTo>
                    <a:lnTo>
                      <a:pt x="19962" y="429849"/>
                    </a:lnTo>
                    <a:lnTo>
                      <a:pt x="19962" y="449375"/>
                    </a:lnTo>
                    <a:lnTo>
                      <a:pt x="39460" y="468898"/>
                    </a:lnTo>
                    <a:lnTo>
                      <a:pt x="39460" y="488424"/>
                    </a:lnTo>
                    <a:lnTo>
                      <a:pt x="39460" y="507949"/>
                    </a:lnTo>
                    <a:lnTo>
                      <a:pt x="39460" y="527472"/>
                    </a:lnTo>
                    <a:lnTo>
                      <a:pt x="39460" y="546998"/>
                    </a:lnTo>
                    <a:lnTo>
                      <a:pt x="39460" y="566521"/>
                    </a:lnTo>
                    <a:lnTo>
                      <a:pt x="39460" y="586047"/>
                    </a:lnTo>
                    <a:lnTo>
                      <a:pt x="39460" y="605572"/>
                    </a:lnTo>
                    <a:lnTo>
                      <a:pt x="39460" y="625095"/>
                    </a:lnTo>
                    <a:lnTo>
                      <a:pt x="39460" y="644621"/>
                    </a:lnTo>
                    <a:lnTo>
                      <a:pt x="39460" y="664146"/>
                    </a:lnTo>
                    <a:lnTo>
                      <a:pt x="39460" y="683670"/>
                    </a:lnTo>
                    <a:lnTo>
                      <a:pt x="39460" y="703195"/>
                    </a:lnTo>
                    <a:lnTo>
                      <a:pt x="39460" y="722720"/>
                    </a:lnTo>
                    <a:lnTo>
                      <a:pt x="39460" y="742244"/>
                    </a:lnTo>
                    <a:lnTo>
                      <a:pt x="58980" y="761769"/>
                    </a:lnTo>
                    <a:lnTo>
                      <a:pt x="78479" y="781293"/>
                    </a:lnTo>
                    <a:lnTo>
                      <a:pt x="97999" y="800818"/>
                    </a:lnTo>
                    <a:lnTo>
                      <a:pt x="97999" y="820343"/>
                    </a:lnTo>
                    <a:lnTo>
                      <a:pt x="97999" y="839867"/>
                    </a:lnTo>
                    <a:lnTo>
                      <a:pt x="97999" y="859392"/>
                    </a:lnTo>
                    <a:lnTo>
                      <a:pt x="78479" y="878918"/>
                    </a:lnTo>
                    <a:lnTo>
                      <a:pt x="78479" y="898441"/>
                    </a:lnTo>
                    <a:lnTo>
                      <a:pt x="78479" y="917966"/>
                    </a:lnTo>
                    <a:lnTo>
                      <a:pt x="78479" y="937490"/>
                    </a:lnTo>
                    <a:lnTo>
                      <a:pt x="78479" y="957015"/>
                    </a:lnTo>
                    <a:lnTo>
                      <a:pt x="78479" y="976541"/>
                    </a:lnTo>
                    <a:lnTo>
                      <a:pt x="58980" y="996064"/>
                    </a:lnTo>
                    <a:lnTo>
                      <a:pt x="39460" y="1015589"/>
                    </a:lnTo>
                    <a:lnTo>
                      <a:pt x="39460" y="1035115"/>
                    </a:lnTo>
                    <a:lnTo>
                      <a:pt x="39460" y="1054638"/>
                    </a:lnTo>
                    <a:lnTo>
                      <a:pt x="58980" y="1074164"/>
                    </a:lnTo>
                    <a:lnTo>
                      <a:pt x="58980" y="1093689"/>
                    </a:lnTo>
                    <a:lnTo>
                      <a:pt x="58980" y="1113212"/>
                    </a:lnTo>
                    <a:lnTo>
                      <a:pt x="58980" y="1132738"/>
                    </a:lnTo>
                    <a:lnTo>
                      <a:pt x="39460" y="1152261"/>
                    </a:lnTo>
                    <a:lnTo>
                      <a:pt x="39460" y="1171786"/>
                    </a:lnTo>
                    <a:lnTo>
                      <a:pt x="39460" y="1191312"/>
                    </a:lnTo>
                    <a:lnTo>
                      <a:pt x="19962" y="1210835"/>
                    </a:lnTo>
                  </a:path>
                </a:pathLst>
              </a:custGeom>
              <a:noFill/>
              <a:ln w="3701" cap="sq">
                <a:solidFill>
                  <a:schemeClr val="accent6"/>
                </a:solidFill>
                <a:prstDash val="solid"/>
                <a:bevel/>
              </a:ln>
            </xdr:spPr>
            <xdr:txBody>
              <a:bodyPr rtlCol="0" anchor="ctr"/>
              <a:lstStyle/>
              <a:p>
                <a:endParaRPr lang="es-CO"/>
              </a:p>
            </xdr:txBody>
          </xdr:sp>
          <xdr:sp macro="" textlink="">
            <xdr:nvSpPr>
              <xdr:cNvPr id="194" name="Forma libre: forma 193">
                <a:extLst>
                  <a:ext uri="{FF2B5EF4-FFF2-40B4-BE49-F238E27FC236}">
                    <a16:creationId xmlns:a16="http://schemas.microsoft.com/office/drawing/2014/main" id="{00000000-0008-0000-0400-0000C2000000}"/>
                  </a:ext>
                </a:extLst>
              </xdr:cNvPr>
              <xdr:cNvSpPr/>
            </xdr:nvSpPr>
            <xdr:spPr>
              <a:xfrm>
                <a:off x="8810657" y="1653266"/>
                <a:ext cx="196458" cy="57877"/>
              </a:xfrm>
              <a:custGeom>
                <a:avLst/>
                <a:gdLst>
                  <a:gd name="connsiteX0" fmla="*/ 442 w 780425"/>
                  <a:gd name="connsiteY0" fmla="*/ 307 h 234294"/>
                  <a:gd name="connsiteX1" fmla="*/ 19954 w 780425"/>
                  <a:gd name="connsiteY1" fmla="*/ 19830 h 234294"/>
                  <a:gd name="connsiteX2" fmla="*/ 39463 w 780425"/>
                  <a:gd name="connsiteY2" fmla="*/ 39355 h 234294"/>
                  <a:gd name="connsiteX3" fmla="*/ 58975 w 780425"/>
                  <a:gd name="connsiteY3" fmla="*/ 39355 h 234294"/>
                  <a:gd name="connsiteX4" fmla="*/ 78484 w 780425"/>
                  <a:gd name="connsiteY4" fmla="*/ 58879 h 234294"/>
                  <a:gd name="connsiteX5" fmla="*/ 97995 w 780425"/>
                  <a:gd name="connsiteY5" fmla="*/ 58879 h 234294"/>
                  <a:gd name="connsiteX6" fmla="*/ 117507 w 780425"/>
                  <a:gd name="connsiteY6" fmla="*/ 58879 h 234294"/>
                  <a:gd name="connsiteX7" fmla="*/ 137016 w 780425"/>
                  <a:gd name="connsiteY7" fmla="*/ 58879 h 234294"/>
                  <a:gd name="connsiteX8" fmla="*/ 156527 w 780425"/>
                  <a:gd name="connsiteY8" fmla="*/ 39355 h 234294"/>
                  <a:gd name="connsiteX9" fmla="*/ 176039 w 780425"/>
                  <a:gd name="connsiteY9" fmla="*/ 39355 h 234294"/>
                  <a:gd name="connsiteX10" fmla="*/ 195548 w 780425"/>
                  <a:gd name="connsiteY10" fmla="*/ 58879 h 234294"/>
                  <a:gd name="connsiteX11" fmla="*/ 195548 w 780425"/>
                  <a:gd name="connsiteY11" fmla="*/ 78404 h 234294"/>
                  <a:gd name="connsiteX12" fmla="*/ 215060 w 780425"/>
                  <a:gd name="connsiteY12" fmla="*/ 97930 h 234294"/>
                  <a:gd name="connsiteX13" fmla="*/ 234571 w 780425"/>
                  <a:gd name="connsiteY13" fmla="*/ 97930 h 234294"/>
                  <a:gd name="connsiteX14" fmla="*/ 254081 w 780425"/>
                  <a:gd name="connsiteY14" fmla="*/ 97930 h 234294"/>
                  <a:gd name="connsiteX15" fmla="*/ 273591 w 780425"/>
                  <a:gd name="connsiteY15" fmla="*/ 117453 h 234294"/>
                  <a:gd name="connsiteX16" fmla="*/ 293102 w 780425"/>
                  <a:gd name="connsiteY16" fmla="*/ 136978 h 234294"/>
                  <a:gd name="connsiteX17" fmla="*/ 293102 w 780425"/>
                  <a:gd name="connsiteY17" fmla="*/ 156504 h 234294"/>
                  <a:gd name="connsiteX18" fmla="*/ 312613 w 780425"/>
                  <a:gd name="connsiteY18" fmla="*/ 176027 h 234294"/>
                  <a:gd name="connsiteX19" fmla="*/ 332123 w 780425"/>
                  <a:gd name="connsiteY19" fmla="*/ 195553 h 234294"/>
                  <a:gd name="connsiteX20" fmla="*/ 332123 w 780425"/>
                  <a:gd name="connsiteY20" fmla="*/ 215076 h 234294"/>
                  <a:gd name="connsiteX21" fmla="*/ 351634 w 780425"/>
                  <a:gd name="connsiteY21" fmla="*/ 234601 h 234294"/>
                  <a:gd name="connsiteX22" fmla="*/ 371145 w 780425"/>
                  <a:gd name="connsiteY22" fmla="*/ 234601 h 234294"/>
                  <a:gd name="connsiteX23" fmla="*/ 390655 w 780425"/>
                  <a:gd name="connsiteY23" fmla="*/ 215076 h 234294"/>
                  <a:gd name="connsiteX24" fmla="*/ 410166 w 780425"/>
                  <a:gd name="connsiteY24" fmla="*/ 215076 h 234294"/>
                  <a:gd name="connsiteX25" fmla="*/ 429676 w 780425"/>
                  <a:gd name="connsiteY25" fmla="*/ 215076 h 234294"/>
                  <a:gd name="connsiteX26" fmla="*/ 449187 w 780425"/>
                  <a:gd name="connsiteY26" fmla="*/ 215076 h 234294"/>
                  <a:gd name="connsiteX27" fmla="*/ 468698 w 780425"/>
                  <a:gd name="connsiteY27" fmla="*/ 195553 h 234294"/>
                  <a:gd name="connsiteX28" fmla="*/ 468698 w 780425"/>
                  <a:gd name="connsiteY28" fmla="*/ 176027 h 234294"/>
                  <a:gd name="connsiteX29" fmla="*/ 488209 w 780425"/>
                  <a:gd name="connsiteY29" fmla="*/ 156504 h 234294"/>
                  <a:gd name="connsiteX30" fmla="*/ 507719 w 780425"/>
                  <a:gd name="connsiteY30" fmla="*/ 156504 h 234294"/>
                  <a:gd name="connsiteX31" fmla="*/ 527230 w 780425"/>
                  <a:gd name="connsiteY31" fmla="*/ 176027 h 234294"/>
                  <a:gd name="connsiteX32" fmla="*/ 546741 w 780425"/>
                  <a:gd name="connsiteY32" fmla="*/ 176027 h 234294"/>
                  <a:gd name="connsiteX33" fmla="*/ 566251 w 780425"/>
                  <a:gd name="connsiteY33" fmla="*/ 156504 h 234294"/>
                  <a:gd name="connsiteX34" fmla="*/ 566251 w 780425"/>
                  <a:gd name="connsiteY34" fmla="*/ 136978 h 234294"/>
                  <a:gd name="connsiteX35" fmla="*/ 566251 w 780425"/>
                  <a:gd name="connsiteY35" fmla="*/ 117453 h 234294"/>
                  <a:gd name="connsiteX36" fmla="*/ 566251 w 780425"/>
                  <a:gd name="connsiteY36" fmla="*/ 97930 h 234294"/>
                  <a:gd name="connsiteX37" fmla="*/ 566251 w 780425"/>
                  <a:gd name="connsiteY37" fmla="*/ 78404 h 234294"/>
                  <a:gd name="connsiteX38" fmla="*/ 585762 w 780425"/>
                  <a:gd name="connsiteY38" fmla="*/ 58879 h 234294"/>
                  <a:gd name="connsiteX39" fmla="*/ 605273 w 780425"/>
                  <a:gd name="connsiteY39" fmla="*/ 58879 h 234294"/>
                  <a:gd name="connsiteX40" fmla="*/ 624783 w 780425"/>
                  <a:gd name="connsiteY40" fmla="*/ 58879 h 234294"/>
                  <a:gd name="connsiteX41" fmla="*/ 644294 w 780425"/>
                  <a:gd name="connsiteY41" fmla="*/ 78404 h 234294"/>
                  <a:gd name="connsiteX42" fmla="*/ 663805 w 780425"/>
                  <a:gd name="connsiteY42" fmla="*/ 97930 h 234294"/>
                  <a:gd name="connsiteX43" fmla="*/ 683315 w 780425"/>
                  <a:gd name="connsiteY43" fmla="*/ 97930 h 234294"/>
                  <a:gd name="connsiteX44" fmla="*/ 702826 w 780425"/>
                  <a:gd name="connsiteY44" fmla="*/ 97930 h 234294"/>
                  <a:gd name="connsiteX45" fmla="*/ 722336 w 780425"/>
                  <a:gd name="connsiteY45" fmla="*/ 78404 h 234294"/>
                  <a:gd name="connsiteX46" fmla="*/ 741847 w 780425"/>
                  <a:gd name="connsiteY46" fmla="*/ 58879 h 234294"/>
                  <a:gd name="connsiteX47" fmla="*/ 761359 w 780425"/>
                  <a:gd name="connsiteY47" fmla="*/ 39355 h 234294"/>
                  <a:gd name="connsiteX48" fmla="*/ 780868 w 780425"/>
                  <a:gd name="connsiteY48" fmla="*/ 39355 h 23429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  <a:cxn ang="0">
                    <a:pos x="connsiteX36" y="connsiteY36"/>
                  </a:cxn>
                  <a:cxn ang="0">
                    <a:pos x="connsiteX37" y="connsiteY37"/>
                  </a:cxn>
                  <a:cxn ang="0">
                    <a:pos x="connsiteX38" y="connsiteY38"/>
                  </a:cxn>
                  <a:cxn ang="0">
                    <a:pos x="connsiteX39" y="connsiteY39"/>
                  </a:cxn>
                  <a:cxn ang="0">
                    <a:pos x="connsiteX40" y="connsiteY40"/>
                  </a:cxn>
                  <a:cxn ang="0">
                    <a:pos x="connsiteX41" y="connsiteY41"/>
                  </a:cxn>
                  <a:cxn ang="0">
                    <a:pos x="connsiteX42" y="connsiteY42"/>
                  </a:cxn>
                  <a:cxn ang="0">
                    <a:pos x="connsiteX43" y="connsiteY43"/>
                  </a:cxn>
                  <a:cxn ang="0">
                    <a:pos x="connsiteX44" y="connsiteY44"/>
                  </a:cxn>
                  <a:cxn ang="0">
                    <a:pos x="connsiteX45" y="connsiteY45"/>
                  </a:cxn>
                  <a:cxn ang="0">
                    <a:pos x="connsiteX46" y="connsiteY46"/>
                  </a:cxn>
                  <a:cxn ang="0">
                    <a:pos x="connsiteX47" y="connsiteY47"/>
                  </a:cxn>
                  <a:cxn ang="0">
                    <a:pos x="connsiteX48" y="connsiteY48"/>
                  </a:cxn>
                </a:cxnLst>
                <a:rect l="l" t="t" r="r" b="b"/>
                <a:pathLst>
                  <a:path w="780425" h="234294">
                    <a:moveTo>
                      <a:pt x="442" y="307"/>
                    </a:moveTo>
                    <a:lnTo>
                      <a:pt x="19954" y="19830"/>
                    </a:lnTo>
                    <a:lnTo>
                      <a:pt x="39463" y="39355"/>
                    </a:lnTo>
                    <a:lnTo>
                      <a:pt x="58975" y="39355"/>
                    </a:lnTo>
                    <a:lnTo>
                      <a:pt x="78484" y="58879"/>
                    </a:lnTo>
                    <a:lnTo>
                      <a:pt x="97995" y="58879"/>
                    </a:lnTo>
                    <a:lnTo>
                      <a:pt x="117507" y="58879"/>
                    </a:lnTo>
                    <a:lnTo>
                      <a:pt x="137016" y="58879"/>
                    </a:lnTo>
                    <a:lnTo>
                      <a:pt x="156527" y="39355"/>
                    </a:lnTo>
                    <a:lnTo>
                      <a:pt x="176039" y="39355"/>
                    </a:lnTo>
                    <a:lnTo>
                      <a:pt x="195548" y="58879"/>
                    </a:lnTo>
                    <a:lnTo>
                      <a:pt x="195548" y="78404"/>
                    </a:lnTo>
                    <a:lnTo>
                      <a:pt x="215060" y="97930"/>
                    </a:lnTo>
                    <a:lnTo>
                      <a:pt x="234571" y="97930"/>
                    </a:lnTo>
                    <a:lnTo>
                      <a:pt x="254081" y="97930"/>
                    </a:lnTo>
                    <a:lnTo>
                      <a:pt x="273591" y="117453"/>
                    </a:lnTo>
                    <a:lnTo>
                      <a:pt x="293102" y="136978"/>
                    </a:lnTo>
                    <a:lnTo>
                      <a:pt x="293102" y="156504"/>
                    </a:lnTo>
                    <a:lnTo>
                      <a:pt x="312613" y="176027"/>
                    </a:lnTo>
                    <a:lnTo>
                      <a:pt x="332123" y="195553"/>
                    </a:lnTo>
                    <a:lnTo>
                      <a:pt x="332123" y="215076"/>
                    </a:lnTo>
                    <a:lnTo>
                      <a:pt x="351634" y="234601"/>
                    </a:lnTo>
                    <a:lnTo>
                      <a:pt x="371145" y="234601"/>
                    </a:lnTo>
                    <a:lnTo>
                      <a:pt x="390655" y="215076"/>
                    </a:lnTo>
                    <a:lnTo>
                      <a:pt x="410166" y="215076"/>
                    </a:lnTo>
                    <a:lnTo>
                      <a:pt x="429676" y="215076"/>
                    </a:lnTo>
                    <a:lnTo>
                      <a:pt x="449187" y="215076"/>
                    </a:lnTo>
                    <a:lnTo>
                      <a:pt x="468698" y="195553"/>
                    </a:lnTo>
                    <a:lnTo>
                      <a:pt x="468698" y="176027"/>
                    </a:lnTo>
                    <a:lnTo>
                      <a:pt x="488209" y="156504"/>
                    </a:lnTo>
                    <a:lnTo>
                      <a:pt x="507719" y="156504"/>
                    </a:lnTo>
                    <a:lnTo>
                      <a:pt x="527230" y="176027"/>
                    </a:lnTo>
                    <a:lnTo>
                      <a:pt x="546741" y="176027"/>
                    </a:lnTo>
                    <a:lnTo>
                      <a:pt x="566251" y="156504"/>
                    </a:lnTo>
                    <a:lnTo>
                      <a:pt x="566251" y="136978"/>
                    </a:lnTo>
                    <a:lnTo>
                      <a:pt x="566251" y="117453"/>
                    </a:lnTo>
                    <a:lnTo>
                      <a:pt x="566251" y="97930"/>
                    </a:lnTo>
                    <a:lnTo>
                      <a:pt x="566251" y="78404"/>
                    </a:lnTo>
                    <a:lnTo>
                      <a:pt x="585762" y="58879"/>
                    </a:lnTo>
                    <a:lnTo>
                      <a:pt x="605273" y="58879"/>
                    </a:lnTo>
                    <a:lnTo>
                      <a:pt x="624783" y="58879"/>
                    </a:lnTo>
                    <a:lnTo>
                      <a:pt x="644294" y="78404"/>
                    </a:lnTo>
                    <a:lnTo>
                      <a:pt x="663805" y="97930"/>
                    </a:lnTo>
                    <a:lnTo>
                      <a:pt x="683315" y="97930"/>
                    </a:lnTo>
                    <a:lnTo>
                      <a:pt x="702826" y="97930"/>
                    </a:lnTo>
                    <a:lnTo>
                      <a:pt x="722336" y="78404"/>
                    </a:lnTo>
                    <a:lnTo>
                      <a:pt x="741847" y="58879"/>
                    </a:lnTo>
                    <a:lnTo>
                      <a:pt x="761359" y="39355"/>
                    </a:lnTo>
                    <a:lnTo>
                      <a:pt x="780868" y="39355"/>
                    </a:lnTo>
                  </a:path>
                </a:pathLst>
              </a:custGeom>
              <a:noFill/>
              <a:ln w="3701" cap="sq">
                <a:solidFill>
                  <a:srgbClr val="1F78B4"/>
                </a:solidFill>
                <a:prstDash val="solid"/>
                <a:bevel/>
              </a:ln>
            </xdr:spPr>
            <xdr:txBody>
              <a:bodyPr rtlCol="0" anchor="ctr"/>
              <a:lstStyle/>
              <a:p>
                <a:endParaRPr lang="es-CO"/>
              </a:p>
            </xdr:txBody>
          </xdr:sp>
          <xdr:sp macro="" textlink="">
            <xdr:nvSpPr>
              <xdr:cNvPr id="195" name="Forma libre: forma 194">
                <a:extLst>
                  <a:ext uri="{FF2B5EF4-FFF2-40B4-BE49-F238E27FC236}">
                    <a16:creationId xmlns:a16="http://schemas.microsoft.com/office/drawing/2014/main" id="{00000000-0008-0000-0400-0000C3000000}"/>
                  </a:ext>
                </a:extLst>
              </xdr:cNvPr>
              <xdr:cNvSpPr/>
            </xdr:nvSpPr>
            <xdr:spPr>
              <a:xfrm>
                <a:off x="8782962" y="1590918"/>
                <a:ext cx="224153" cy="71940"/>
              </a:xfrm>
              <a:custGeom>
                <a:avLst/>
                <a:gdLst>
                  <a:gd name="connsiteX0" fmla="*/ 442 w 890443"/>
                  <a:gd name="connsiteY0" fmla="*/ 78406 h 292871"/>
                  <a:gd name="connsiteX1" fmla="*/ 12908 w 890443"/>
                  <a:gd name="connsiteY1" fmla="*/ 78406 h 292871"/>
                  <a:gd name="connsiteX2" fmla="*/ 32417 w 890443"/>
                  <a:gd name="connsiteY2" fmla="*/ 78406 h 292871"/>
                  <a:gd name="connsiteX3" fmla="*/ 51929 w 890443"/>
                  <a:gd name="connsiteY3" fmla="*/ 97930 h 292871"/>
                  <a:gd name="connsiteX4" fmla="*/ 71440 w 890443"/>
                  <a:gd name="connsiteY4" fmla="*/ 78406 h 292871"/>
                  <a:gd name="connsiteX5" fmla="*/ 90949 w 890443"/>
                  <a:gd name="connsiteY5" fmla="*/ 78406 h 292871"/>
                  <a:gd name="connsiteX6" fmla="*/ 110461 w 890443"/>
                  <a:gd name="connsiteY6" fmla="*/ 97930 h 292871"/>
                  <a:gd name="connsiteX7" fmla="*/ 129972 w 890443"/>
                  <a:gd name="connsiteY7" fmla="*/ 97930 h 292871"/>
                  <a:gd name="connsiteX8" fmla="*/ 149482 w 890443"/>
                  <a:gd name="connsiteY8" fmla="*/ 97930 h 292871"/>
                  <a:gd name="connsiteX9" fmla="*/ 168993 w 890443"/>
                  <a:gd name="connsiteY9" fmla="*/ 78406 h 292871"/>
                  <a:gd name="connsiteX10" fmla="*/ 188502 w 890443"/>
                  <a:gd name="connsiteY10" fmla="*/ 58881 h 292871"/>
                  <a:gd name="connsiteX11" fmla="*/ 208014 w 890443"/>
                  <a:gd name="connsiteY11" fmla="*/ 58881 h 292871"/>
                  <a:gd name="connsiteX12" fmla="*/ 227525 w 890443"/>
                  <a:gd name="connsiteY12" fmla="*/ 39358 h 292871"/>
                  <a:gd name="connsiteX13" fmla="*/ 247034 w 890443"/>
                  <a:gd name="connsiteY13" fmla="*/ 39358 h 292871"/>
                  <a:gd name="connsiteX14" fmla="*/ 266546 w 890443"/>
                  <a:gd name="connsiteY14" fmla="*/ 39358 h 292871"/>
                  <a:gd name="connsiteX15" fmla="*/ 286057 w 890443"/>
                  <a:gd name="connsiteY15" fmla="*/ 19832 h 292871"/>
                  <a:gd name="connsiteX16" fmla="*/ 305567 w 890443"/>
                  <a:gd name="connsiteY16" fmla="*/ 19832 h 292871"/>
                  <a:gd name="connsiteX17" fmla="*/ 325078 w 890443"/>
                  <a:gd name="connsiteY17" fmla="*/ 19832 h 292871"/>
                  <a:gd name="connsiteX18" fmla="*/ 344590 w 890443"/>
                  <a:gd name="connsiteY18" fmla="*/ 19832 h 292871"/>
                  <a:gd name="connsiteX19" fmla="*/ 364099 w 890443"/>
                  <a:gd name="connsiteY19" fmla="*/ 19832 h 292871"/>
                  <a:gd name="connsiteX20" fmla="*/ 383610 w 890443"/>
                  <a:gd name="connsiteY20" fmla="*/ 307 h 292871"/>
                  <a:gd name="connsiteX21" fmla="*/ 403120 w 890443"/>
                  <a:gd name="connsiteY21" fmla="*/ 307 h 292871"/>
                  <a:gd name="connsiteX22" fmla="*/ 422631 w 890443"/>
                  <a:gd name="connsiteY22" fmla="*/ 307 h 292871"/>
                  <a:gd name="connsiteX23" fmla="*/ 442142 w 890443"/>
                  <a:gd name="connsiteY23" fmla="*/ 307 h 292871"/>
                  <a:gd name="connsiteX24" fmla="*/ 461652 w 890443"/>
                  <a:gd name="connsiteY24" fmla="*/ 19832 h 292871"/>
                  <a:gd name="connsiteX25" fmla="*/ 481163 w 890443"/>
                  <a:gd name="connsiteY25" fmla="*/ 19832 h 292871"/>
                  <a:gd name="connsiteX26" fmla="*/ 500674 w 890443"/>
                  <a:gd name="connsiteY26" fmla="*/ 19832 h 292871"/>
                  <a:gd name="connsiteX27" fmla="*/ 520184 w 890443"/>
                  <a:gd name="connsiteY27" fmla="*/ 19832 h 292871"/>
                  <a:gd name="connsiteX28" fmla="*/ 539695 w 890443"/>
                  <a:gd name="connsiteY28" fmla="*/ 19832 h 292871"/>
                  <a:gd name="connsiteX29" fmla="*/ 559206 w 890443"/>
                  <a:gd name="connsiteY29" fmla="*/ 19832 h 292871"/>
                  <a:gd name="connsiteX30" fmla="*/ 578716 w 890443"/>
                  <a:gd name="connsiteY30" fmla="*/ 19832 h 292871"/>
                  <a:gd name="connsiteX31" fmla="*/ 598227 w 890443"/>
                  <a:gd name="connsiteY31" fmla="*/ 19832 h 292871"/>
                  <a:gd name="connsiteX32" fmla="*/ 617738 w 890443"/>
                  <a:gd name="connsiteY32" fmla="*/ 39358 h 292871"/>
                  <a:gd name="connsiteX33" fmla="*/ 637248 w 890443"/>
                  <a:gd name="connsiteY33" fmla="*/ 58881 h 292871"/>
                  <a:gd name="connsiteX34" fmla="*/ 637248 w 890443"/>
                  <a:gd name="connsiteY34" fmla="*/ 78406 h 292871"/>
                  <a:gd name="connsiteX35" fmla="*/ 656759 w 890443"/>
                  <a:gd name="connsiteY35" fmla="*/ 97930 h 292871"/>
                  <a:gd name="connsiteX36" fmla="*/ 676270 w 890443"/>
                  <a:gd name="connsiteY36" fmla="*/ 97930 h 292871"/>
                  <a:gd name="connsiteX37" fmla="*/ 695780 w 890443"/>
                  <a:gd name="connsiteY37" fmla="*/ 97930 h 292871"/>
                  <a:gd name="connsiteX38" fmla="*/ 715291 w 890443"/>
                  <a:gd name="connsiteY38" fmla="*/ 117455 h 292871"/>
                  <a:gd name="connsiteX39" fmla="*/ 734802 w 890443"/>
                  <a:gd name="connsiteY39" fmla="*/ 136981 h 292871"/>
                  <a:gd name="connsiteX40" fmla="*/ 754312 w 890443"/>
                  <a:gd name="connsiteY40" fmla="*/ 156504 h 292871"/>
                  <a:gd name="connsiteX41" fmla="*/ 773823 w 890443"/>
                  <a:gd name="connsiteY41" fmla="*/ 156504 h 292871"/>
                  <a:gd name="connsiteX42" fmla="*/ 793334 w 890443"/>
                  <a:gd name="connsiteY42" fmla="*/ 176029 h 292871"/>
                  <a:gd name="connsiteX43" fmla="*/ 812845 w 890443"/>
                  <a:gd name="connsiteY43" fmla="*/ 176029 h 292871"/>
                  <a:gd name="connsiteX44" fmla="*/ 832354 w 890443"/>
                  <a:gd name="connsiteY44" fmla="*/ 195555 h 292871"/>
                  <a:gd name="connsiteX45" fmla="*/ 851866 w 890443"/>
                  <a:gd name="connsiteY45" fmla="*/ 215078 h 292871"/>
                  <a:gd name="connsiteX46" fmla="*/ 851866 w 890443"/>
                  <a:gd name="connsiteY46" fmla="*/ 234604 h 292871"/>
                  <a:gd name="connsiteX47" fmla="*/ 871377 w 890443"/>
                  <a:gd name="connsiteY47" fmla="*/ 254129 h 292871"/>
                  <a:gd name="connsiteX48" fmla="*/ 871377 w 890443"/>
                  <a:gd name="connsiteY48" fmla="*/ 273652 h 292871"/>
                  <a:gd name="connsiteX49" fmla="*/ 879311 w 890443"/>
                  <a:gd name="connsiteY49" fmla="*/ 281561 h 292871"/>
                  <a:gd name="connsiteX50" fmla="*/ 890886 w 890443"/>
                  <a:gd name="connsiteY50" fmla="*/ 293178 h 292871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  <a:cxn ang="0">
                    <a:pos x="connsiteX36" y="connsiteY36"/>
                  </a:cxn>
                  <a:cxn ang="0">
                    <a:pos x="connsiteX37" y="connsiteY37"/>
                  </a:cxn>
                  <a:cxn ang="0">
                    <a:pos x="connsiteX38" y="connsiteY38"/>
                  </a:cxn>
                  <a:cxn ang="0">
                    <a:pos x="connsiteX39" y="connsiteY39"/>
                  </a:cxn>
                  <a:cxn ang="0">
                    <a:pos x="connsiteX40" y="connsiteY40"/>
                  </a:cxn>
                  <a:cxn ang="0">
                    <a:pos x="connsiteX41" y="connsiteY41"/>
                  </a:cxn>
                  <a:cxn ang="0">
                    <a:pos x="connsiteX42" y="connsiteY42"/>
                  </a:cxn>
                  <a:cxn ang="0">
                    <a:pos x="connsiteX43" y="connsiteY43"/>
                  </a:cxn>
                  <a:cxn ang="0">
                    <a:pos x="connsiteX44" y="connsiteY44"/>
                  </a:cxn>
                  <a:cxn ang="0">
                    <a:pos x="connsiteX45" y="connsiteY45"/>
                  </a:cxn>
                  <a:cxn ang="0">
                    <a:pos x="connsiteX46" y="connsiteY46"/>
                  </a:cxn>
                  <a:cxn ang="0">
                    <a:pos x="connsiteX47" y="connsiteY47"/>
                  </a:cxn>
                  <a:cxn ang="0">
                    <a:pos x="connsiteX48" y="connsiteY48"/>
                  </a:cxn>
                  <a:cxn ang="0">
                    <a:pos x="connsiteX49" y="connsiteY49"/>
                  </a:cxn>
                  <a:cxn ang="0">
                    <a:pos x="connsiteX50" y="connsiteY50"/>
                  </a:cxn>
                </a:cxnLst>
                <a:rect l="l" t="t" r="r" b="b"/>
                <a:pathLst>
                  <a:path w="890443" h="292871">
                    <a:moveTo>
                      <a:pt x="442" y="78406"/>
                    </a:moveTo>
                    <a:lnTo>
                      <a:pt x="12908" y="78406"/>
                    </a:lnTo>
                    <a:lnTo>
                      <a:pt x="32417" y="78406"/>
                    </a:lnTo>
                    <a:lnTo>
                      <a:pt x="51929" y="97930"/>
                    </a:lnTo>
                    <a:lnTo>
                      <a:pt x="71440" y="78406"/>
                    </a:lnTo>
                    <a:lnTo>
                      <a:pt x="90949" y="78406"/>
                    </a:lnTo>
                    <a:lnTo>
                      <a:pt x="110461" y="97930"/>
                    </a:lnTo>
                    <a:lnTo>
                      <a:pt x="129972" y="97930"/>
                    </a:lnTo>
                    <a:lnTo>
                      <a:pt x="149482" y="97930"/>
                    </a:lnTo>
                    <a:lnTo>
                      <a:pt x="168993" y="78406"/>
                    </a:lnTo>
                    <a:lnTo>
                      <a:pt x="188502" y="58881"/>
                    </a:lnTo>
                    <a:lnTo>
                      <a:pt x="208014" y="58881"/>
                    </a:lnTo>
                    <a:lnTo>
                      <a:pt x="227525" y="39358"/>
                    </a:lnTo>
                    <a:lnTo>
                      <a:pt x="247034" y="39358"/>
                    </a:lnTo>
                    <a:lnTo>
                      <a:pt x="266546" y="39358"/>
                    </a:lnTo>
                    <a:lnTo>
                      <a:pt x="286057" y="19832"/>
                    </a:lnTo>
                    <a:lnTo>
                      <a:pt x="305567" y="19832"/>
                    </a:lnTo>
                    <a:lnTo>
                      <a:pt x="325078" y="19832"/>
                    </a:lnTo>
                    <a:lnTo>
                      <a:pt x="344590" y="19832"/>
                    </a:lnTo>
                    <a:lnTo>
                      <a:pt x="364099" y="19832"/>
                    </a:lnTo>
                    <a:lnTo>
                      <a:pt x="383610" y="307"/>
                    </a:lnTo>
                    <a:lnTo>
                      <a:pt x="403120" y="307"/>
                    </a:lnTo>
                    <a:lnTo>
                      <a:pt x="422631" y="307"/>
                    </a:lnTo>
                    <a:lnTo>
                      <a:pt x="442142" y="307"/>
                    </a:lnTo>
                    <a:lnTo>
                      <a:pt x="461652" y="19832"/>
                    </a:lnTo>
                    <a:lnTo>
                      <a:pt x="481163" y="19832"/>
                    </a:lnTo>
                    <a:lnTo>
                      <a:pt x="500674" y="19832"/>
                    </a:lnTo>
                    <a:lnTo>
                      <a:pt x="520184" y="19832"/>
                    </a:lnTo>
                    <a:lnTo>
                      <a:pt x="539695" y="19832"/>
                    </a:lnTo>
                    <a:lnTo>
                      <a:pt x="559206" y="19832"/>
                    </a:lnTo>
                    <a:lnTo>
                      <a:pt x="578716" y="19832"/>
                    </a:lnTo>
                    <a:lnTo>
                      <a:pt x="598227" y="19832"/>
                    </a:lnTo>
                    <a:lnTo>
                      <a:pt x="617738" y="39358"/>
                    </a:lnTo>
                    <a:lnTo>
                      <a:pt x="637248" y="58881"/>
                    </a:lnTo>
                    <a:lnTo>
                      <a:pt x="637248" y="78406"/>
                    </a:lnTo>
                    <a:lnTo>
                      <a:pt x="656759" y="97930"/>
                    </a:lnTo>
                    <a:lnTo>
                      <a:pt x="676270" y="97930"/>
                    </a:lnTo>
                    <a:lnTo>
                      <a:pt x="695780" y="97930"/>
                    </a:lnTo>
                    <a:lnTo>
                      <a:pt x="715291" y="117455"/>
                    </a:lnTo>
                    <a:lnTo>
                      <a:pt x="734802" y="136981"/>
                    </a:lnTo>
                    <a:lnTo>
                      <a:pt x="754312" y="156504"/>
                    </a:lnTo>
                    <a:lnTo>
                      <a:pt x="773823" y="156504"/>
                    </a:lnTo>
                    <a:lnTo>
                      <a:pt x="793334" y="176029"/>
                    </a:lnTo>
                    <a:lnTo>
                      <a:pt x="812845" y="176029"/>
                    </a:lnTo>
                    <a:lnTo>
                      <a:pt x="832354" y="195555"/>
                    </a:lnTo>
                    <a:lnTo>
                      <a:pt x="851866" y="215078"/>
                    </a:lnTo>
                    <a:lnTo>
                      <a:pt x="851866" y="234604"/>
                    </a:lnTo>
                    <a:lnTo>
                      <a:pt x="871377" y="254129"/>
                    </a:lnTo>
                    <a:lnTo>
                      <a:pt x="871377" y="273652"/>
                    </a:lnTo>
                    <a:lnTo>
                      <a:pt x="879311" y="281561"/>
                    </a:lnTo>
                    <a:lnTo>
                      <a:pt x="890886" y="293178"/>
                    </a:lnTo>
                  </a:path>
                </a:pathLst>
              </a:custGeom>
              <a:noFill/>
              <a:ln w="3701" cap="sq">
                <a:solidFill>
                  <a:srgbClr val="1F78B4"/>
                </a:solidFill>
                <a:prstDash val="solid"/>
                <a:bevel/>
              </a:ln>
            </xdr:spPr>
            <xdr:txBody>
              <a:bodyPr rtlCol="0" anchor="ctr"/>
              <a:lstStyle/>
              <a:p>
                <a:endParaRPr lang="es-CO"/>
              </a:p>
            </xdr:txBody>
          </xdr:sp>
        </xdr:grpSp>
        <xdr:sp macro="" textlink="">
          <xdr:nvSpPr>
            <xdr:cNvPr id="116" name="Forma libre: forma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/>
          </xdr:nvSpPr>
          <xdr:spPr>
            <a:xfrm>
              <a:off x="9056080" y="1652025"/>
              <a:ext cx="54938" cy="28869"/>
            </a:xfrm>
            <a:custGeom>
              <a:avLst/>
              <a:gdLst>
                <a:gd name="connsiteX0" fmla="*/ 442 w 214617"/>
                <a:gd name="connsiteY0" fmla="*/ 117453 h 117146"/>
                <a:gd name="connsiteX1" fmla="*/ 19952 w 214617"/>
                <a:gd name="connsiteY1" fmla="*/ 97930 h 117146"/>
                <a:gd name="connsiteX2" fmla="*/ 19952 w 214617"/>
                <a:gd name="connsiteY2" fmla="*/ 78404 h 117146"/>
                <a:gd name="connsiteX3" fmla="*/ 19952 w 214617"/>
                <a:gd name="connsiteY3" fmla="*/ 58879 h 117146"/>
                <a:gd name="connsiteX4" fmla="*/ 39463 w 214617"/>
                <a:gd name="connsiteY4" fmla="*/ 39356 h 117146"/>
                <a:gd name="connsiteX5" fmla="*/ 39463 w 214617"/>
                <a:gd name="connsiteY5" fmla="*/ 19830 h 117146"/>
                <a:gd name="connsiteX6" fmla="*/ 58974 w 214617"/>
                <a:gd name="connsiteY6" fmla="*/ 307 h 117146"/>
                <a:gd name="connsiteX7" fmla="*/ 78484 w 214617"/>
                <a:gd name="connsiteY7" fmla="*/ 307 h 117146"/>
                <a:gd name="connsiteX8" fmla="*/ 97995 w 214617"/>
                <a:gd name="connsiteY8" fmla="*/ 19830 h 117146"/>
                <a:gd name="connsiteX9" fmla="*/ 117504 w 214617"/>
                <a:gd name="connsiteY9" fmla="*/ 39356 h 117146"/>
                <a:gd name="connsiteX10" fmla="*/ 137016 w 214617"/>
                <a:gd name="connsiteY10" fmla="*/ 58879 h 117146"/>
                <a:gd name="connsiteX11" fmla="*/ 156527 w 214617"/>
                <a:gd name="connsiteY11" fmla="*/ 58879 h 117146"/>
                <a:gd name="connsiteX12" fmla="*/ 176037 w 214617"/>
                <a:gd name="connsiteY12" fmla="*/ 58879 h 117146"/>
                <a:gd name="connsiteX13" fmla="*/ 195548 w 214617"/>
                <a:gd name="connsiteY13" fmla="*/ 58879 h 117146"/>
                <a:gd name="connsiteX14" fmla="*/ 215060 w 214617"/>
                <a:gd name="connsiteY14" fmla="*/ 58879 h 1171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214617" h="117146">
                  <a:moveTo>
                    <a:pt x="442" y="117453"/>
                  </a:moveTo>
                  <a:lnTo>
                    <a:pt x="19952" y="97930"/>
                  </a:lnTo>
                  <a:lnTo>
                    <a:pt x="19952" y="78404"/>
                  </a:lnTo>
                  <a:lnTo>
                    <a:pt x="19952" y="58879"/>
                  </a:lnTo>
                  <a:lnTo>
                    <a:pt x="39463" y="39356"/>
                  </a:lnTo>
                  <a:lnTo>
                    <a:pt x="39463" y="19830"/>
                  </a:lnTo>
                  <a:lnTo>
                    <a:pt x="58974" y="307"/>
                  </a:lnTo>
                  <a:lnTo>
                    <a:pt x="78484" y="307"/>
                  </a:lnTo>
                  <a:lnTo>
                    <a:pt x="97995" y="19830"/>
                  </a:lnTo>
                  <a:lnTo>
                    <a:pt x="117504" y="39356"/>
                  </a:lnTo>
                  <a:lnTo>
                    <a:pt x="137016" y="58879"/>
                  </a:lnTo>
                  <a:lnTo>
                    <a:pt x="156527" y="58879"/>
                  </a:lnTo>
                  <a:lnTo>
                    <a:pt x="176037" y="58879"/>
                  </a:lnTo>
                  <a:lnTo>
                    <a:pt x="195548" y="58879"/>
                  </a:lnTo>
                  <a:lnTo>
                    <a:pt x="215060" y="58879"/>
                  </a:lnTo>
                </a:path>
              </a:pathLst>
            </a:custGeom>
            <a:noFill/>
            <a:ln w="641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7" name="Forma libre: forma 116">
              <a:extLst>
                <a:ext uri="{FF2B5EF4-FFF2-40B4-BE49-F238E27FC236}">
                  <a16:creationId xmlns:a16="http://schemas.microsoft.com/office/drawing/2014/main" id="{00000000-0008-0000-0400-000075000000}"/>
                </a:ext>
              </a:extLst>
            </xdr:cNvPr>
            <xdr:cNvSpPr/>
          </xdr:nvSpPr>
          <xdr:spPr>
            <a:xfrm>
              <a:off x="9007203" y="1661368"/>
              <a:ext cx="48877" cy="19526"/>
            </a:xfrm>
            <a:custGeom>
              <a:avLst/>
              <a:gdLst>
                <a:gd name="connsiteX0" fmla="*/ 442 w 195107"/>
                <a:gd name="connsiteY0" fmla="*/ 307 h 78097"/>
                <a:gd name="connsiteX1" fmla="*/ 19954 w 195107"/>
                <a:gd name="connsiteY1" fmla="*/ 307 h 78097"/>
                <a:gd name="connsiteX2" fmla="*/ 39465 w 195107"/>
                <a:gd name="connsiteY2" fmla="*/ 19830 h 78097"/>
                <a:gd name="connsiteX3" fmla="*/ 39465 w 195107"/>
                <a:gd name="connsiteY3" fmla="*/ 39356 h 78097"/>
                <a:gd name="connsiteX4" fmla="*/ 58974 w 195107"/>
                <a:gd name="connsiteY4" fmla="*/ 58881 h 78097"/>
                <a:gd name="connsiteX5" fmla="*/ 78486 w 195107"/>
                <a:gd name="connsiteY5" fmla="*/ 78404 h 78097"/>
                <a:gd name="connsiteX6" fmla="*/ 97995 w 195107"/>
                <a:gd name="connsiteY6" fmla="*/ 78404 h 78097"/>
                <a:gd name="connsiteX7" fmla="*/ 117507 w 195107"/>
                <a:gd name="connsiteY7" fmla="*/ 58881 h 78097"/>
                <a:gd name="connsiteX8" fmla="*/ 137018 w 195107"/>
                <a:gd name="connsiteY8" fmla="*/ 58881 h 78097"/>
                <a:gd name="connsiteX9" fmla="*/ 156527 w 195107"/>
                <a:gd name="connsiteY9" fmla="*/ 78404 h 78097"/>
                <a:gd name="connsiteX10" fmla="*/ 176039 w 195107"/>
                <a:gd name="connsiteY10" fmla="*/ 78404 h 78097"/>
                <a:gd name="connsiteX11" fmla="*/ 195550 w 195107"/>
                <a:gd name="connsiteY11" fmla="*/ 78404 h 780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195107" h="78097">
                  <a:moveTo>
                    <a:pt x="442" y="307"/>
                  </a:moveTo>
                  <a:lnTo>
                    <a:pt x="19954" y="307"/>
                  </a:lnTo>
                  <a:lnTo>
                    <a:pt x="39465" y="19830"/>
                  </a:lnTo>
                  <a:lnTo>
                    <a:pt x="39465" y="39356"/>
                  </a:lnTo>
                  <a:lnTo>
                    <a:pt x="58974" y="58881"/>
                  </a:lnTo>
                  <a:lnTo>
                    <a:pt x="78486" y="78404"/>
                  </a:lnTo>
                  <a:lnTo>
                    <a:pt x="97995" y="78404"/>
                  </a:lnTo>
                  <a:lnTo>
                    <a:pt x="117507" y="58881"/>
                  </a:lnTo>
                  <a:lnTo>
                    <a:pt x="137018" y="58881"/>
                  </a:lnTo>
                  <a:lnTo>
                    <a:pt x="156527" y="78404"/>
                  </a:lnTo>
                  <a:lnTo>
                    <a:pt x="176039" y="78404"/>
                  </a:lnTo>
                  <a:lnTo>
                    <a:pt x="195550" y="78404"/>
                  </a:lnTo>
                </a:path>
              </a:pathLst>
            </a:custGeom>
            <a:noFill/>
            <a:ln w="585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8" name="Forma libre: forma 117">
              <a:extLst>
                <a:ext uri="{FF2B5EF4-FFF2-40B4-BE49-F238E27FC236}">
                  <a16:creationId xmlns:a16="http://schemas.microsoft.com/office/drawing/2014/main" id="{00000000-0008-0000-0400-000076000000}"/>
                </a:ext>
              </a:extLst>
            </xdr:cNvPr>
            <xdr:cNvSpPr/>
          </xdr:nvSpPr>
          <xdr:spPr>
            <a:xfrm>
              <a:off x="9940650" y="1863932"/>
              <a:ext cx="19549" cy="66245"/>
            </a:xfrm>
            <a:custGeom>
              <a:avLst/>
              <a:gdLst>
                <a:gd name="connsiteX0" fmla="*/ 442 w 78036"/>
                <a:gd name="connsiteY0" fmla="*/ 273663 h 273356"/>
                <a:gd name="connsiteX1" fmla="*/ 442 w 78036"/>
                <a:gd name="connsiteY1" fmla="*/ 254129 h 273356"/>
                <a:gd name="connsiteX2" fmla="*/ 442 w 78036"/>
                <a:gd name="connsiteY2" fmla="*/ 234594 h 273356"/>
                <a:gd name="connsiteX3" fmla="*/ 442 w 78036"/>
                <a:gd name="connsiteY3" fmla="*/ 215082 h 273356"/>
                <a:gd name="connsiteX4" fmla="*/ 442 w 78036"/>
                <a:gd name="connsiteY4" fmla="*/ 195548 h 273356"/>
                <a:gd name="connsiteX5" fmla="*/ 442 w 78036"/>
                <a:gd name="connsiteY5" fmla="*/ 176036 h 273356"/>
                <a:gd name="connsiteX6" fmla="*/ 442 w 78036"/>
                <a:gd name="connsiteY6" fmla="*/ 156504 h 273356"/>
                <a:gd name="connsiteX7" fmla="*/ 19962 w 78036"/>
                <a:gd name="connsiteY7" fmla="*/ 136981 h 273356"/>
                <a:gd name="connsiteX8" fmla="*/ 19962 w 78036"/>
                <a:gd name="connsiteY8" fmla="*/ 117455 h 273356"/>
                <a:gd name="connsiteX9" fmla="*/ 39460 w 78036"/>
                <a:gd name="connsiteY9" fmla="*/ 117455 h 273356"/>
                <a:gd name="connsiteX10" fmla="*/ 58981 w 78036"/>
                <a:gd name="connsiteY10" fmla="*/ 117455 h 273356"/>
                <a:gd name="connsiteX11" fmla="*/ 78479 w 78036"/>
                <a:gd name="connsiteY11" fmla="*/ 97932 h 273356"/>
                <a:gd name="connsiteX12" fmla="*/ 78479 w 78036"/>
                <a:gd name="connsiteY12" fmla="*/ 78406 h 273356"/>
                <a:gd name="connsiteX13" fmla="*/ 78479 w 78036"/>
                <a:gd name="connsiteY13" fmla="*/ 58881 h 273356"/>
                <a:gd name="connsiteX14" fmla="*/ 78479 w 78036"/>
                <a:gd name="connsiteY14" fmla="*/ 39358 h 273356"/>
                <a:gd name="connsiteX15" fmla="*/ 78479 w 78036"/>
                <a:gd name="connsiteY15" fmla="*/ 19832 h 273356"/>
                <a:gd name="connsiteX16" fmla="*/ 78479 w 78036"/>
                <a:gd name="connsiteY16" fmla="*/ 307 h 2733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78036" h="273356">
                  <a:moveTo>
                    <a:pt x="442" y="273663"/>
                  </a:moveTo>
                  <a:lnTo>
                    <a:pt x="442" y="254129"/>
                  </a:lnTo>
                  <a:lnTo>
                    <a:pt x="442" y="234594"/>
                  </a:lnTo>
                  <a:lnTo>
                    <a:pt x="442" y="215082"/>
                  </a:lnTo>
                  <a:lnTo>
                    <a:pt x="442" y="195548"/>
                  </a:lnTo>
                  <a:lnTo>
                    <a:pt x="442" y="176036"/>
                  </a:lnTo>
                  <a:lnTo>
                    <a:pt x="442" y="156504"/>
                  </a:lnTo>
                  <a:lnTo>
                    <a:pt x="19962" y="136981"/>
                  </a:lnTo>
                  <a:lnTo>
                    <a:pt x="19962" y="117455"/>
                  </a:lnTo>
                  <a:lnTo>
                    <a:pt x="39460" y="117455"/>
                  </a:lnTo>
                  <a:lnTo>
                    <a:pt x="58981" y="117455"/>
                  </a:lnTo>
                  <a:lnTo>
                    <a:pt x="78479" y="97932"/>
                  </a:lnTo>
                  <a:lnTo>
                    <a:pt x="78479" y="78406"/>
                  </a:lnTo>
                  <a:lnTo>
                    <a:pt x="78479" y="58881"/>
                  </a:lnTo>
                  <a:lnTo>
                    <a:pt x="78479" y="39358"/>
                  </a:lnTo>
                  <a:lnTo>
                    <a:pt x="78479" y="19832"/>
                  </a:lnTo>
                  <a:lnTo>
                    <a:pt x="78479" y="307"/>
                  </a:lnTo>
                </a:path>
              </a:pathLst>
            </a:custGeom>
            <a:noFill/>
            <a:ln w="585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19" name="Forma libre: forma 118">
              <a:extLst>
                <a:ext uri="{FF2B5EF4-FFF2-40B4-BE49-F238E27FC236}">
                  <a16:creationId xmlns:a16="http://schemas.microsoft.com/office/drawing/2014/main" id="{00000000-0008-0000-0400-000077000000}"/>
                </a:ext>
              </a:extLst>
            </xdr:cNvPr>
            <xdr:cNvSpPr/>
          </xdr:nvSpPr>
          <xdr:spPr>
            <a:xfrm>
              <a:off x="9911326" y="1930176"/>
              <a:ext cx="43989" cy="257305"/>
            </a:xfrm>
            <a:custGeom>
              <a:avLst/>
              <a:gdLst>
                <a:gd name="connsiteX0" fmla="*/ 39460 w 175594"/>
                <a:gd name="connsiteY0" fmla="*/ 1054629 h 1054322"/>
                <a:gd name="connsiteX1" fmla="*/ 39460 w 175594"/>
                <a:gd name="connsiteY1" fmla="*/ 1035095 h 1054322"/>
                <a:gd name="connsiteX2" fmla="*/ 39460 w 175594"/>
                <a:gd name="connsiteY2" fmla="*/ 1015582 h 1054322"/>
                <a:gd name="connsiteX3" fmla="*/ 19940 w 175594"/>
                <a:gd name="connsiteY3" fmla="*/ 996048 h 1054322"/>
                <a:gd name="connsiteX4" fmla="*/ 19940 w 175594"/>
                <a:gd name="connsiteY4" fmla="*/ 976536 h 1054322"/>
                <a:gd name="connsiteX5" fmla="*/ 442 w 175594"/>
                <a:gd name="connsiteY5" fmla="*/ 957002 h 1054322"/>
                <a:gd name="connsiteX6" fmla="*/ 19940 w 175594"/>
                <a:gd name="connsiteY6" fmla="*/ 937490 h 1054322"/>
                <a:gd name="connsiteX7" fmla="*/ 442 w 175594"/>
                <a:gd name="connsiteY7" fmla="*/ 917955 h 1054322"/>
                <a:gd name="connsiteX8" fmla="*/ 19940 w 175594"/>
                <a:gd name="connsiteY8" fmla="*/ 898421 h 1054322"/>
                <a:gd name="connsiteX9" fmla="*/ 19940 w 175594"/>
                <a:gd name="connsiteY9" fmla="*/ 878909 h 1054322"/>
                <a:gd name="connsiteX10" fmla="*/ 19940 w 175594"/>
                <a:gd name="connsiteY10" fmla="*/ 859374 h 1054322"/>
                <a:gd name="connsiteX11" fmla="*/ 19940 w 175594"/>
                <a:gd name="connsiteY11" fmla="*/ 839862 h 1054322"/>
                <a:gd name="connsiteX12" fmla="*/ 19940 w 175594"/>
                <a:gd name="connsiteY12" fmla="*/ 820328 h 1054322"/>
                <a:gd name="connsiteX13" fmla="*/ 39460 w 175594"/>
                <a:gd name="connsiteY13" fmla="*/ 800816 h 1054322"/>
                <a:gd name="connsiteX14" fmla="*/ 39460 w 175594"/>
                <a:gd name="connsiteY14" fmla="*/ 781281 h 1054322"/>
                <a:gd name="connsiteX15" fmla="*/ 58959 w 175594"/>
                <a:gd name="connsiteY15" fmla="*/ 761769 h 1054322"/>
                <a:gd name="connsiteX16" fmla="*/ 78479 w 175594"/>
                <a:gd name="connsiteY16" fmla="*/ 742235 h 1054322"/>
                <a:gd name="connsiteX17" fmla="*/ 97977 w 175594"/>
                <a:gd name="connsiteY17" fmla="*/ 722700 h 1054322"/>
                <a:gd name="connsiteX18" fmla="*/ 97977 w 175594"/>
                <a:gd name="connsiteY18" fmla="*/ 703188 h 1054322"/>
                <a:gd name="connsiteX19" fmla="*/ 97977 w 175594"/>
                <a:gd name="connsiteY19" fmla="*/ 683654 h 1054322"/>
                <a:gd name="connsiteX20" fmla="*/ 97977 w 175594"/>
                <a:gd name="connsiteY20" fmla="*/ 664142 h 1054322"/>
                <a:gd name="connsiteX21" fmla="*/ 97977 w 175594"/>
                <a:gd name="connsiteY21" fmla="*/ 644607 h 1054322"/>
                <a:gd name="connsiteX22" fmla="*/ 117498 w 175594"/>
                <a:gd name="connsiteY22" fmla="*/ 625095 h 1054322"/>
                <a:gd name="connsiteX23" fmla="*/ 137018 w 175594"/>
                <a:gd name="connsiteY23" fmla="*/ 605561 h 1054322"/>
                <a:gd name="connsiteX24" fmla="*/ 156516 w 175594"/>
                <a:gd name="connsiteY24" fmla="*/ 586027 h 1054322"/>
                <a:gd name="connsiteX25" fmla="*/ 176036 w 175594"/>
                <a:gd name="connsiteY25" fmla="*/ 566515 h 1054322"/>
                <a:gd name="connsiteX26" fmla="*/ 176036 w 175594"/>
                <a:gd name="connsiteY26" fmla="*/ 546980 h 1054322"/>
                <a:gd name="connsiteX27" fmla="*/ 156516 w 175594"/>
                <a:gd name="connsiteY27" fmla="*/ 527468 h 1054322"/>
                <a:gd name="connsiteX28" fmla="*/ 137018 w 175594"/>
                <a:gd name="connsiteY28" fmla="*/ 507934 h 1054322"/>
                <a:gd name="connsiteX29" fmla="*/ 137018 w 175594"/>
                <a:gd name="connsiteY29" fmla="*/ 488421 h 1054322"/>
                <a:gd name="connsiteX30" fmla="*/ 137018 w 175594"/>
                <a:gd name="connsiteY30" fmla="*/ 468887 h 1054322"/>
                <a:gd name="connsiteX31" fmla="*/ 137018 w 175594"/>
                <a:gd name="connsiteY31" fmla="*/ 449353 h 1054322"/>
                <a:gd name="connsiteX32" fmla="*/ 117498 w 175594"/>
                <a:gd name="connsiteY32" fmla="*/ 429841 h 1054322"/>
                <a:gd name="connsiteX33" fmla="*/ 137018 w 175594"/>
                <a:gd name="connsiteY33" fmla="*/ 410306 h 1054322"/>
                <a:gd name="connsiteX34" fmla="*/ 137018 w 175594"/>
                <a:gd name="connsiteY34" fmla="*/ 390794 h 1054322"/>
                <a:gd name="connsiteX35" fmla="*/ 137018 w 175594"/>
                <a:gd name="connsiteY35" fmla="*/ 371260 h 1054322"/>
                <a:gd name="connsiteX36" fmla="*/ 137018 w 175594"/>
                <a:gd name="connsiteY36" fmla="*/ 351747 h 1054322"/>
                <a:gd name="connsiteX37" fmla="*/ 137018 w 175594"/>
                <a:gd name="connsiteY37" fmla="*/ 332213 h 1054322"/>
                <a:gd name="connsiteX38" fmla="*/ 156516 w 175594"/>
                <a:gd name="connsiteY38" fmla="*/ 312701 h 1054322"/>
                <a:gd name="connsiteX39" fmla="*/ 156516 w 175594"/>
                <a:gd name="connsiteY39" fmla="*/ 293167 h 1054322"/>
                <a:gd name="connsiteX40" fmla="*/ 156516 w 175594"/>
                <a:gd name="connsiteY40" fmla="*/ 273632 h 1054322"/>
                <a:gd name="connsiteX41" fmla="*/ 176036 w 175594"/>
                <a:gd name="connsiteY41" fmla="*/ 254120 h 1054322"/>
                <a:gd name="connsiteX42" fmla="*/ 156516 w 175594"/>
                <a:gd name="connsiteY42" fmla="*/ 234586 h 1054322"/>
                <a:gd name="connsiteX43" fmla="*/ 156516 w 175594"/>
                <a:gd name="connsiteY43" fmla="*/ 215074 h 1054322"/>
                <a:gd name="connsiteX44" fmla="*/ 156516 w 175594"/>
                <a:gd name="connsiteY44" fmla="*/ 195539 h 1054322"/>
                <a:gd name="connsiteX45" fmla="*/ 156516 w 175594"/>
                <a:gd name="connsiteY45" fmla="*/ 176027 h 1054322"/>
                <a:gd name="connsiteX46" fmla="*/ 156516 w 175594"/>
                <a:gd name="connsiteY46" fmla="*/ 156493 h 1054322"/>
                <a:gd name="connsiteX47" fmla="*/ 176036 w 175594"/>
                <a:gd name="connsiteY47" fmla="*/ 136958 h 1054322"/>
                <a:gd name="connsiteX48" fmla="*/ 156516 w 175594"/>
                <a:gd name="connsiteY48" fmla="*/ 117446 h 1054322"/>
                <a:gd name="connsiteX49" fmla="*/ 137018 w 175594"/>
                <a:gd name="connsiteY49" fmla="*/ 97912 h 1054322"/>
                <a:gd name="connsiteX50" fmla="*/ 117498 w 175594"/>
                <a:gd name="connsiteY50" fmla="*/ 78400 h 1054322"/>
                <a:gd name="connsiteX51" fmla="*/ 97977 w 175594"/>
                <a:gd name="connsiteY51" fmla="*/ 58865 h 1054322"/>
                <a:gd name="connsiteX52" fmla="*/ 97977 w 175594"/>
                <a:gd name="connsiteY52" fmla="*/ 39353 h 1054322"/>
                <a:gd name="connsiteX53" fmla="*/ 97977 w 175594"/>
                <a:gd name="connsiteY53" fmla="*/ 19819 h 1054322"/>
                <a:gd name="connsiteX54" fmla="*/ 102564 w 175594"/>
                <a:gd name="connsiteY54" fmla="*/ 14098 h 1054322"/>
                <a:gd name="connsiteX55" fmla="*/ 117498 w 175594"/>
                <a:gd name="connsiteY55" fmla="*/ 307 h 10543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</a:cxnLst>
              <a:rect l="l" t="t" r="r" b="b"/>
              <a:pathLst>
                <a:path w="175594" h="1054322">
                  <a:moveTo>
                    <a:pt x="39460" y="1054629"/>
                  </a:moveTo>
                  <a:lnTo>
                    <a:pt x="39460" y="1035095"/>
                  </a:lnTo>
                  <a:lnTo>
                    <a:pt x="39460" y="1015582"/>
                  </a:lnTo>
                  <a:lnTo>
                    <a:pt x="19940" y="996048"/>
                  </a:lnTo>
                  <a:lnTo>
                    <a:pt x="19940" y="976536"/>
                  </a:lnTo>
                  <a:lnTo>
                    <a:pt x="442" y="957002"/>
                  </a:lnTo>
                  <a:lnTo>
                    <a:pt x="19940" y="937490"/>
                  </a:lnTo>
                  <a:lnTo>
                    <a:pt x="442" y="917955"/>
                  </a:lnTo>
                  <a:lnTo>
                    <a:pt x="19940" y="898421"/>
                  </a:lnTo>
                  <a:lnTo>
                    <a:pt x="19940" y="878909"/>
                  </a:lnTo>
                  <a:lnTo>
                    <a:pt x="19940" y="859374"/>
                  </a:lnTo>
                  <a:lnTo>
                    <a:pt x="19940" y="839862"/>
                  </a:lnTo>
                  <a:lnTo>
                    <a:pt x="19940" y="820328"/>
                  </a:lnTo>
                  <a:lnTo>
                    <a:pt x="39460" y="800816"/>
                  </a:lnTo>
                  <a:lnTo>
                    <a:pt x="39460" y="781281"/>
                  </a:lnTo>
                  <a:lnTo>
                    <a:pt x="58959" y="761769"/>
                  </a:lnTo>
                  <a:lnTo>
                    <a:pt x="78479" y="742235"/>
                  </a:lnTo>
                  <a:lnTo>
                    <a:pt x="97977" y="722700"/>
                  </a:lnTo>
                  <a:lnTo>
                    <a:pt x="97977" y="703188"/>
                  </a:lnTo>
                  <a:lnTo>
                    <a:pt x="97977" y="683654"/>
                  </a:lnTo>
                  <a:lnTo>
                    <a:pt x="97977" y="664142"/>
                  </a:lnTo>
                  <a:lnTo>
                    <a:pt x="97977" y="644607"/>
                  </a:lnTo>
                  <a:lnTo>
                    <a:pt x="117498" y="625095"/>
                  </a:lnTo>
                  <a:lnTo>
                    <a:pt x="137018" y="605561"/>
                  </a:lnTo>
                  <a:lnTo>
                    <a:pt x="156516" y="586027"/>
                  </a:lnTo>
                  <a:lnTo>
                    <a:pt x="176036" y="566515"/>
                  </a:lnTo>
                  <a:lnTo>
                    <a:pt x="176036" y="546980"/>
                  </a:lnTo>
                  <a:lnTo>
                    <a:pt x="156516" y="527468"/>
                  </a:lnTo>
                  <a:lnTo>
                    <a:pt x="137018" y="507934"/>
                  </a:lnTo>
                  <a:lnTo>
                    <a:pt x="137018" y="488421"/>
                  </a:lnTo>
                  <a:lnTo>
                    <a:pt x="137018" y="468887"/>
                  </a:lnTo>
                  <a:lnTo>
                    <a:pt x="137018" y="449353"/>
                  </a:lnTo>
                  <a:lnTo>
                    <a:pt x="117498" y="429841"/>
                  </a:lnTo>
                  <a:lnTo>
                    <a:pt x="137018" y="410306"/>
                  </a:lnTo>
                  <a:lnTo>
                    <a:pt x="137018" y="390794"/>
                  </a:lnTo>
                  <a:lnTo>
                    <a:pt x="137018" y="371260"/>
                  </a:lnTo>
                  <a:lnTo>
                    <a:pt x="137018" y="351747"/>
                  </a:lnTo>
                  <a:lnTo>
                    <a:pt x="137018" y="332213"/>
                  </a:lnTo>
                  <a:lnTo>
                    <a:pt x="156516" y="312701"/>
                  </a:lnTo>
                  <a:lnTo>
                    <a:pt x="156516" y="293167"/>
                  </a:lnTo>
                  <a:lnTo>
                    <a:pt x="156516" y="273632"/>
                  </a:lnTo>
                  <a:lnTo>
                    <a:pt x="176036" y="254120"/>
                  </a:lnTo>
                  <a:lnTo>
                    <a:pt x="156516" y="234586"/>
                  </a:lnTo>
                  <a:lnTo>
                    <a:pt x="156516" y="215074"/>
                  </a:lnTo>
                  <a:lnTo>
                    <a:pt x="156516" y="195539"/>
                  </a:lnTo>
                  <a:lnTo>
                    <a:pt x="156516" y="176027"/>
                  </a:lnTo>
                  <a:lnTo>
                    <a:pt x="156516" y="156493"/>
                  </a:lnTo>
                  <a:lnTo>
                    <a:pt x="176036" y="136958"/>
                  </a:lnTo>
                  <a:lnTo>
                    <a:pt x="156516" y="117446"/>
                  </a:lnTo>
                  <a:lnTo>
                    <a:pt x="137018" y="97912"/>
                  </a:lnTo>
                  <a:lnTo>
                    <a:pt x="117498" y="78400"/>
                  </a:lnTo>
                  <a:lnTo>
                    <a:pt x="97977" y="58865"/>
                  </a:lnTo>
                  <a:lnTo>
                    <a:pt x="97977" y="39353"/>
                  </a:lnTo>
                  <a:lnTo>
                    <a:pt x="97977" y="19819"/>
                  </a:lnTo>
                  <a:lnTo>
                    <a:pt x="102564" y="14098"/>
                  </a:lnTo>
                  <a:lnTo>
                    <a:pt x="117498" y="307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0" name="Forma libre: forma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/>
          </xdr:nvSpPr>
          <xdr:spPr>
            <a:xfrm>
              <a:off x="9960199" y="1778163"/>
              <a:ext cx="34214" cy="85768"/>
            </a:xfrm>
            <a:custGeom>
              <a:avLst/>
              <a:gdLst>
                <a:gd name="connsiteX0" fmla="*/ 442 w 136575"/>
                <a:gd name="connsiteY0" fmla="*/ 351750 h 351442"/>
                <a:gd name="connsiteX1" fmla="*/ 19962 w 136575"/>
                <a:gd name="connsiteY1" fmla="*/ 332226 h 351442"/>
                <a:gd name="connsiteX2" fmla="*/ 39460 w 136575"/>
                <a:gd name="connsiteY2" fmla="*/ 312701 h 351442"/>
                <a:gd name="connsiteX3" fmla="*/ 39460 w 136575"/>
                <a:gd name="connsiteY3" fmla="*/ 293178 h 351442"/>
                <a:gd name="connsiteX4" fmla="*/ 58981 w 136575"/>
                <a:gd name="connsiteY4" fmla="*/ 273652 h 351442"/>
                <a:gd name="connsiteX5" fmla="*/ 78479 w 136575"/>
                <a:gd name="connsiteY5" fmla="*/ 254127 h 351442"/>
                <a:gd name="connsiteX6" fmla="*/ 97999 w 136575"/>
                <a:gd name="connsiteY6" fmla="*/ 234603 h 351442"/>
                <a:gd name="connsiteX7" fmla="*/ 117519 w 136575"/>
                <a:gd name="connsiteY7" fmla="*/ 215078 h 351442"/>
                <a:gd name="connsiteX8" fmla="*/ 117519 w 136575"/>
                <a:gd name="connsiteY8" fmla="*/ 195552 h 351442"/>
                <a:gd name="connsiteX9" fmla="*/ 117519 w 136575"/>
                <a:gd name="connsiteY9" fmla="*/ 176029 h 351442"/>
                <a:gd name="connsiteX10" fmla="*/ 97999 w 136575"/>
                <a:gd name="connsiteY10" fmla="*/ 156504 h 351442"/>
                <a:gd name="connsiteX11" fmla="*/ 97999 w 136575"/>
                <a:gd name="connsiteY11" fmla="*/ 136978 h 351442"/>
                <a:gd name="connsiteX12" fmla="*/ 97999 w 136575"/>
                <a:gd name="connsiteY12" fmla="*/ 117455 h 351442"/>
                <a:gd name="connsiteX13" fmla="*/ 78479 w 136575"/>
                <a:gd name="connsiteY13" fmla="*/ 97929 h 351442"/>
                <a:gd name="connsiteX14" fmla="*/ 97999 w 136575"/>
                <a:gd name="connsiteY14" fmla="*/ 78406 h 351442"/>
                <a:gd name="connsiteX15" fmla="*/ 97999 w 136575"/>
                <a:gd name="connsiteY15" fmla="*/ 58881 h 351442"/>
                <a:gd name="connsiteX16" fmla="*/ 97999 w 136575"/>
                <a:gd name="connsiteY16" fmla="*/ 39355 h 351442"/>
                <a:gd name="connsiteX17" fmla="*/ 117519 w 136575"/>
                <a:gd name="connsiteY17" fmla="*/ 19832 h 351442"/>
                <a:gd name="connsiteX18" fmla="*/ 137018 w 136575"/>
                <a:gd name="connsiteY18" fmla="*/ 307 h 35144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136575" h="351442">
                  <a:moveTo>
                    <a:pt x="442" y="351750"/>
                  </a:moveTo>
                  <a:lnTo>
                    <a:pt x="19962" y="332226"/>
                  </a:lnTo>
                  <a:lnTo>
                    <a:pt x="39460" y="312701"/>
                  </a:lnTo>
                  <a:lnTo>
                    <a:pt x="39460" y="293178"/>
                  </a:lnTo>
                  <a:lnTo>
                    <a:pt x="58981" y="273652"/>
                  </a:lnTo>
                  <a:lnTo>
                    <a:pt x="78479" y="254127"/>
                  </a:lnTo>
                  <a:lnTo>
                    <a:pt x="97999" y="234603"/>
                  </a:lnTo>
                  <a:lnTo>
                    <a:pt x="117519" y="215078"/>
                  </a:lnTo>
                  <a:lnTo>
                    <a:pt x="117519" y="195552"/>
                  </a:lnTo>
                  <a:lnTo>
                    <a:pt x="117519" y="176029"/>
                  </a:lnTo>
                  <a:lnTo>
                    <a:pt x="97999" y="156504"/>
                  </a:lnTo>
                  <a:lnTo>
                    <a:pt x="97999" y="136978"/>
                  </a:lnTo>
                  <a:lnTo>
                    <a:pt x="97999" y="117455"/>
                  </a:lnTo>
                  <a:lnTo>
                    <a:pt x="78479" y="97929"/>
                  </a:lnTo>
                  <a:lnTo>
                    <a:pt x="97999" y="78406"/>
                  </a:lnTo>
                  <a:lnTo>
                    <a:pt x="97999" y="58881"/>
                  </a:lnTo>
                  <a:lnTo>
                    <a:pt x="97999" y="39355"/>
                  </a:lnTo>
                  <a:lnTo>
                    <a:pt x="117519" y="19832"/>
                  </a:lnTo>
                  <a:lnTo>
                    <a:pt x="137018" y="307"/>
                  </a:lnTo>
                </a:path>
              </a:pathLst>
            </a:custGeom>
            <a:noFill/>
            <a:ln w="641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grpSp>
          <xdr:nvGrpSpPr>
            <xdr:cNvPr id="4" name="Grup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pSpPr/>
          </xdr:nvGrpSpPr>
          <xdr:grpSpPr>
            <a:xfrm>
              <a:off x="8917750" y="1842913"/>
              <a:ext cx="1135948" cy="243292"/>
              <a:chOff x="8909450" y="1844405"/>
              <a:chExt cx="1135016" cy="243292"/>
            </a:xfrm>
          </xdr:grpSpPr>
          <xdr:sp macro="" textlink="">
            <xdr:nvSpPr>
              <xdr:cNvPr id="191" name="Forma libre: forma 190">
                <a:extLst>
                  <a:ext uri="{FF2B5EF4-FFF2-40B4-BE49-F238E27FC236}">
                    <a16:creationId xmlns:a16="http://schemas.microsoft.com/office/drawing/2014/main" id="{00000000-0008-0000-0400-0000BF000000}"/>
                  </a:ext>
                </a:extLst>
              </xdr:cNvPr>
              <xdr:cNvSpPr/>
            </xdr:nvSpPr>
            <xdr:spPr>
              <a:xfrm>
                <a:off x="9941197" y="1930276"/>
                <a:ext cx="103269" cy="157421"/>
              </a:xfrm>
              <a:custGeom>
                <a:avLst/>
                <a:gdLst>
                  <a:gd name="connsiteX0" fmla="*/ 410169 w 409727"/>
                  <a:gd name="connsiteY0" fmla="*/ 644608 h 644300"/>
                  <a:gd name="connsiteX1" fmla="*/ 390649 w 409727"/>
                  <a:gd name="connsiteY1" fmla="*/ 644608 h 644300"/>
                  <a:gd name="connsiteX2" fmla="*/ 371151 w 409727"/>
                  <a:gd name="connsiteY2" fmla="*/ 644608 h 644300"/>
                  <a:gd name="connsiteX3" fmla="*/ 351631 w 409727"/>
                  <a:gd name="connsiteY3" fmla="*/ 625095 h 644300"/>
                  <a:gd name="connsiteX4" fmla="*/ 351631 w 409727"/>
                  <a:gd name="connsiteY4" fmla="*/ 605561 h 644300"/>
                  <a:gd name="connsiteX5" fmla="*/ 351631 w 409727"/>
                  <a:gd name="connsiteY5" fmla="*/ 586027 h 644300"/>
                  <a:gd name="connsiteX6" fmla="*/ 351631 w 409727"/>
                  <a:gd name="connsiteY6" fmla="*/ 566515 h 644300"/>
                  <a:gd name="connsiteX7" fmla="*/ 332132 w 409727"/>
                  <a:gd name="connsiteY7" fmla="*/ 546980 h 644300"/>
                  <a:gd name="connsiteX8" fmla="*/ 312612 w 409727"/>
                  <a:gd name="connsiteY8" fmla="*/ 527468 h 644300"/>
                  <a:gd name="connsiteX9" fmla="*/ 312612 w 409727"/>
                  <a:gd name="connsiteY9" fmla="*/ 507934 h 644300"/>
                  <a:gd name="connsiteX10" fmla="*/ 312612 w 409727"/>
                  <a:gd name="connsiteY10" fmla="*/ 488421 h 644300"/>
                  <a:gd name="connsiteX11" fmla="*/ 312612 w 409727"/>
                  <a:gd name="connsiteY11" fmla="*/ 468887 h 644300"/>
                  <a:gd name="connsiteX12" fmla="*/ 312612 w 409727"/>
                  <a:gd name="connsiteY12" fmla="*/ 449353 h 644300"/>
                  <a:gd name="connsiteX13" fmla="*/ 312612 w 409727"/>
                  <a:gd name="connsiteY13" fmla="*/ 429841 h 644300"/>
                  <a:gd name="connsiteX14" fmla="*/ 312612 w 409727"/>
                  <a:gd name="connsiteY14" fmla="*/ 410306 h 644300"/>
                  <a:gd name="connsiteX15" fmla="*/ 293092 w 409727"/>
                  <a:gd name="connsiteY15" fmla="*/ 390794 h 644300"/>
                  <a:gd name="connsiteX16" fmla="*/ 273593 w 409727"/>
                  <a:gd name="connsiteY16" fmla="*/ 371260 h 644300"/>
                  <a:gd name="connsiteX17" fmla="*/ 254073 w 409727"/>
                  <a:gd name="connsiteY17" fmla="*/ 351747 h 644300"/>
                  <a:gd name="connsiteX18" fmla="*/ 234575 w 409727"/>
                  <a:gd name="connsiteY18" fmla="*/ 332213 h 644300"/>
                  <a:gd name="connsiteX19" fmla="*/ 215055 w 409727"/>
                  <a:gd name="connsiteY19" fmla="*/ 312701 h 644300"/>
                  <a:gd name="connsiteX20" fmla="*/ 215055 w 409727"/>
                  <a:gd name="connsiteY20" fmla="*/ 293167 h 644300"/>
                  <a:gd name="connsiteX21" fmla="*/ 195556 w 409727"/>
                  <a:gd name="connsiteY21" fmla="*/ 273632 h 644300"/>
                  <a:gd name="connsiteX22" fmla="*/ 195556 w 409727"/>
                  <a:gd name="connsiteY22" fmla="*/ 254120 h 644300"/>
                  <a:gd name="connsiteX23" fmla="*/ 195556 w 409727"/>
                  <a:gd name="connsiteY23" fmla="*/ 234586 h 644300"/>
                  <a:gd name="connsiteX24" fmla="*/ 176036 w 409727"/>
                  <a:gd name="connsiteY24" fmla="*/ 215074 h 644300"/>
                  <a:gd name="connsiteX25" fmla="*/ 176036 w 409727"/>
                  <a:gd name="connsiteY25" fmla="*/ 195539 h 644300"/>
                  <a:gd name="connsiteX26" fmla="*/ 156516 w 409727"/>
                  <a:gd name="connsiteY26" fmla="*/ 176027 h 644300"/>
                  <a:gd name="connsiteX27" fmla="*/ 137017 w 409727"/>
                  <a:gd name="connsiteY27" fmla="*/ 156493 h 644300"/>
                  <a:gd name="connsiteX28" fmla="*/ 117497 w 409727"/>
                  <a:gd name="connsiteY28" fmla="*/ 136958 h 644300"/>
                  <a:gd name="connsiteX29" fmla="*/ 97999 w 409727"/>
                  <a:gd name="connsiteY29" fmla="*/ 117446 h 644300"/>
                  <a:gd name="connsiteX30" fmla="*/ 78479 w 409727"/>
                  <a:gd name="connsiteY30" fmla="*/ 97912 h 644300"/>
                  <a:gd name="connsiteX31" fmla="*/ 58981 w 409727"/>
                  <a:gd name="connsiteY31" fmla="*/ 78400 h 644300"/>
                  <a:gd name="connsiteX32" fmla="*/ 39460 w 409727"/>
                  <a:gd name="connsiteY32" fmla="*/ 58865 h 644300"/>
                  <a:gd name="connsiteX33" fmla="*/ 19962 w 409727"/>
                  <a:gd name="connsiteY33" fmla="*/ 39353 h 644300"/>
                  <a:gd name="connsiteX34" fmla="*/ 442 w 409727"/>
                  <a:gd name="connsiteY34" fmla="*/ 19819 h 644300"/>
                  <a:gd name="connsiteX35" fmla="*/ 442 w 409727"/>
                  <a:gd name="connsiteY35" fmla="*/ 307 h 64430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</a:cxnLst>
                <a:rect l="l" t="t" r="r" b="b"/>
                <a:pathLst>
                  <a:path w="409727" h="644300">
                    <a:moveTo>
                      <a:pt x="410169" y="644608"/>
                    </a:moveTo>
                    <a:lnTo>
                      <a:pt x="390649" y="644608"/>
                    </a:lnTo>
                    <a:lnTo>
                      <a:pt x="371151" y="644608"/>
                    </a:lnTo>
                    <a:lnTo>
                      <a:pt x="351631" y="625095"/>
                    </a:lnTo>
                    <a:lnTo>
                      <a:pt x="351631" y="605561"/>
                    </a:lnTo>
                    <a:lnTo>
                      <a:pt x="351631" y="586027"/>
                    </a:lnTo>
                    <a:lnTo>
                      <a:pt x="351631" y="566515"/>
                    </a:lnTo>
                    <a:lnTo>
                      <a:pt x="332132" y="546980"/>
                    </a:lnTo>
                    <a:lnTo>
                      <a:pt x="312612" y="527468"/>
                    </a:lnTo>
                    <a:lnTo>
                      <a:pt x="312612" y="507934"/>
                    </a:lnTo>
                    <a:lnTo>
                      <a:pt x="312612" y="488421"/>
                    </a:lnTo>
                    <a:lnTo>
                      <a:pt x="312612" y="468887"/>
                    </a:lnTo>
                    <a:lnTo>
                      <a:pt x="312612" y="449353"/>
                    </a:lnTo>
                    <a:lnTo>
                      <a:pt x="312612" y="429841"/>
                    </a:lnTo>
                    <a:lnTo>
                      <a:pt x="312612" y="410306"/>
                    </a:lnTo>
                    <a:lnTo>
                      <a:pt x="293092" y="390794"/>
                    </a:lnTo>
                    <a:lnTo>
                      <a:pt x="273593" y="371260"/>
                    </a:lnTo>
                    <a:lnTo>
                      <a:pt x="254073" y="351747"/>
                    </a:lnTo>
                    <a:lnTo>
                      <a:pt x="234575" y="332213"/>
                    </a:lnTo>
                    <a:lnTo>
                      <a:pt x="215055" y="312701"/>
                    </a:lnTo>
                    <a:lnTo>
                      <a:pt x="215055" y="293167"/>
                    </a:lnTo>
                    <a:lnTo>
                      <a:pt x="195556" y="273632"/>
                    </a:lnTo>
                    <a:lnTo>
                      <a:pt x="195556" y="254120"/>
                    </a:lnTo>
                    <a:lnTo>
                      <a:pt x="195556" y="234586"/>
                    </a:lnTo>
                    <a:lnTo>
                      <a:pt x="176036" y="215074"/>
                    </a:lnTo>
                    <a:lnTo>
                      <a:pt x="176036" y="195539"/>
                    </a:lnTo>
                    <a:lnTo>
                      <a:pt x="156516" y="176027"/>
                    </a:lnTo>
                    <a:lnTo>
                      <a:pt x="137017" y="156493"/>
                    </a:lnTo>
                    <a:lnTo>
                      <a:pt x="117497" y="136958"/>
                    </a:lnTo>
                    <a:lnTo>
                      <a:pt x="97999" y="117446"/>
                    </a:lnTo>
                    <a:lnTo>
                      <a:pt x="78479" y="97912"/>
                    </a:lnTo>
                    <a:lnTo>
                      <a:pt x="58981" y="78400"/>
                    </a:lnTo>
                    <a:lnTo>
                      <a:pt x="39460" y="58865"/>
                    </a:lnTo>
                    <a:lnTo>
                      <a:pt x="19962" y="39353"/>
                    </a:lnTo>
                    <a:lnTo>
                      <a:pt x="442" y="19819"/>
                    </a:lnTo>
                    <a:lnTo>
                      <a:pt x="442" y="307"/>
                    </a:lnTo>
                  </a:path>
                </a:pathLst>
              </a:custGeom>
              <a:noFill/>
              <a:ln w="3701" cap="sq">
                <a:solidFill>
                  <a:srgbClr val="0070C0"/>
                </a:solidFill>
                <a:prstDash val="solid"/>
                <a:bevel/>
              </a:ln>
            </xdr:spPr>
            <xdr:txBody>
              <a:bodyPr rtlCol="0" anchor="ctr"/>
              <a:lstStyle/>
              <a:p>
                <a:endParaRPr lang="es-CO"/>
              </a:p>
            </xdr:txBody>
          </xdr:sp>
          <xdr:sp macro="" textlink="">
            <xdr:nvSpPr>
              <xdr:cNvPr id="192" name="Forma libre: forma 191">
                <a:extLst>
                  <a:ext uri="{FF2B5EF4-FFF2-40B4-BE49-F238E27FC236}">
                    <a16:creationId xmlns:a16="http://schemas.microsoft.com/office/drawing/2014/main" id="{00000000-0008-0000-0400-0000C0000000}"/>
                  </a:ext>
                </a:extLst>
              </xdr:cNvPr>
              <xdr:cNvSpPr/>
            </xdr:nvSpPr>
            <xdr:spPr>
              <a:xfrm>
                <a:off x="8909450" y="1844405"/>
                <a:ext cx="152443" cy="152652"/>
              </a:xfrm>
              <a:custGeom>
                <a:avLst/>
                <a:gdLst>
                  <a:gd name="connsiteX0" fmla="*/ 442 w 604829"/>
                  <a:gd name="connsiteY0" fmla="*/ 625086 h 624779"/>
                  <a:gd name="connsiteX1" fmla="*/ 19953 w 604829"/>
                  <a:gd name="connsiteY1" fmla="*/ 605574 h 624779"/>
                  <a:gd name="connsiteX2" fmla="*/ 39463 w 604829"/>
                  <a:gd name="connsiteY2" fmla="*/ 586040 h 624779"/>
                  <a:gd name="connsiteX3" fmla="*/ 58974 w 604829"/>
                  <a:gd name="connsiteY3" fmla="*/ 566528 h 624779"/>
                  <a:gd name="connsiteX4" fmla="*/ 78485 w 604829"/>
                  <a:gd name="connsiteY4" fmla="*/ 566528 h 624779"/>
                  <a:gd name="connsiteX5" fmla="*/ 97996 w 604829"/>
                  <a:gd name="connsiteY5" fmla="*/ 546993 h 624779"/>
                  <a:gd name="connsiteX6" fmla="*/ 117506 w 604829"/>
                  <a:gd name="connsiteY6" fmla="*/ 527481 h 624779"/>
                  <a:gd name="connsiteX7" fmla="*/ 137017 w 604829"/>
                  <a:gd name="connsiteY7" fmla="*/ 507947 h 624779"/>
                  <a:gd name="connsiteX8" fmla="*/ 156528 w 604829"/>
                  <a:gd name="connsiteY8" fmla="*/ 507947 h 624779"/>
                  <a:gd name="connsiteX9" fmla="*/ 176038 w 604829"/>
                  <a:gd name="connsiteY9" fmla="*/ 488412 h 624779"/>
                  <a:gd name="connsiteX10" fmla="*/ 195549 w 604829"/>
                  <a:gd name="connsiteY10" fmla="*/ 468900 h 624779"/>
                  <a:gd name="connsiteX11" fmla="*/ 215060 w 604829"/>
                  <a:gd name="connsiteY11" fmla="*/ 449366 h 624779"/>
                  <a:gd name="connsiteX12" fmla="*/ 215060 w 604829"/>
                  <a:gd name="connsiteY12" fmla="*/ 429854 h 624779"/>
                  <a:gd name="connsiteX13" fmla="*/ 234570 w 604829"/>
                  <a:gd name="connsiteY13" fmla="*/ 410319 h 624779"/>
                  <a:gd name="connsiteX14" fmla="*/ 234570 w 604829"/>
                  <a:gd name="connsiteY14" fmla="*/ 390807 h 624779"/>
                  <a:gd name="connsiteX15" fmla="*/ 254081 w 604829"/>
                  <a:gd name="connsiteY15" fmla="*/ 371273 h 624779"/>
                  <a:gd name="connsiteX16" fmla="*/ 273592 w 604829"/>
                  <a:gd name="connsiteY16" fmla="*/ 351761 h 624779"/>
                  <a:gd name="connsiteX17" fmla="*/ 293102 w 604829"/>
                  <a:gd name="connsiteY17" fmla="*/ 332226 h 624779"/>
                  <a:gd name="connsiteX18" fmla="*/ 312613 w 604829"/>
                  <a:gd name="connsiteY18" fmla="*/ 312692 h 624779"/>
                  <a:gd name="connsiteX19" fmla="*/ 332123 w 604829"/>
                  <a:gd name="connsiteY19" fmla="*/ 293180 h 624779"/>
                  <a:gd name="connsiteX20" fmla="*/ 351634 w 604829"/>
                  <a:gd name="connsiteY20" fmla="*/ 273646 h 624779"/>
                  <a:gd name="connsiteX21" fmla="*/ 371146 w 604829"/>
                  <a:gd name="connsiteY21" fmla="*/ 273646 h 624779"/>
                  <a:gd name="connsiteX22" fmla="*/ 390655 w 604829"/>
                  <a:gd name="connsiteY22" fmla="*/ 254133 h 624779"/>
                  <a:gd name="connsiteX23" fmla="*/ 410166 w 604829"/>
                  <a:gd name="connsiteY23" fmla="*/ 254133 h 624779"/>
                  <a:gd name="connsiteX24" fmla="*/ 429678 w 604829"/>
                  <a:gd name="connsiteY24" fmla="*/ 234601 h 624779"/>
                  <a:gd name="connsiteX25" fmla="*/ 449187 w 604829"/>
                  <a:gd name="connsiteY25" fmla="*/ 215078 h 624779"/>
                  <a:gd name="connsiteX26" fmla="*/ 468698 w 604829"/>
                  <a:gd name="connsiteY26" fmla="*/ 195552 h 624779"/>
                  <a:gd name="connsiteX27" fmla="*/ 468698 w 604829"/>
                  <a:gd name="connsiteY27" fmla="*/ 176029 h 624779"/>
                  <a:gd name="connsiteX28" fmla="*/ 468698 w 604829"/>
                  <a:gd name="connsiteY28" fmla="*/ 156504 h 624779"/>
                  <a:gd name="connsiteX29" fmla="*/ 488208 w 604829"/>
                  <a:gd name="connsiteY29" fmla="*/ 136978 h 624779"/>
                  <a:gd name="connsiteX30" fmla="*/ 488208 w 604829"/>
                  <a:gd name="connsiteY30" fmla="*/ 117455 h 624779"/>
                  <a:gd name="connsiteX31" fmla="*/ 507719 w 604829"/>
                  <a:gd name="connsiteY31" fmla="*/ 97929 h 624779"/>
                  <a:gd name="connsiteX32" fmla="*/ 507719 w 604829"/>
                  <a:gd name="connsiteY32" fmla="*/ 78404 h 624779"/>
                  <a:gd name="connsiteX33" fmla="*/ 527231 w 604829"/>
                  <a:gd name="connsiteY33" fmla="*/ 58881 h 624779"/>
                  <a:gd name="connsiteX34" fmla="*/ 546740 w 604829"/>
                  <a:gd name="connsiteY34" fmla="*/ 58881 h 624779"/>
                  <a:gd name="connsiteX35" fmla="*/ 566251 w 604829"/>
                  <a:gd name="connsiteY35" fmla="*/ 58881 h 624779"/>
                  <a:gd name="connsiteX36" fmla="*/ 585763 w 604829"/>
                  <a:gd name="connsiteY36" fmla="*/ 39355 h 624779"/>
                  <a:gd name="connsiteX37" fmla="*/ 585763 w 604829"/>
                  <a:gd name="connsiteY37" fmla="*/ 19832 h 624779"/>
                  <a:gd name="connsiteX38" fmla="*/ 605272 w 604829"/>
                  <a:gd name="connsiteY38" fmla="*/ 307 h 62477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  <a:cxn ang="0">
                    <a:pos x="connsiteX36" y="connsiteY36"/>
                  </a:cxn>
                  <a:cxn ang="0">
                    <a:pos x="connsiteX37" y="connsiteY37"/>
                  </a:cxn>
                  <a:cxn ang="0">
                    <a:pos x="connsiteX38" y="connsiteY38"/>
                  </a:cxn>
                </a:cxnLst>
                <a:rect l="l" t="t" r="r" b="b"/>
                <a:pathLst>
                  <a:path w="604829" h="624779">
                    <a:moveTo>
                      <a:pt x="442" y="625086"/>
                    </a:moveTo>
                    <a:lnTo>
                      <a:pt x="19953" y="605574"/>
                    </a:lnTo>
                    <a:lnTo>
                      <a:pt x="39463" y="586040"/>
                    </a:lnTo>
                    <a:lnTo>
                      <a:pt x="58974" y="566528"/>
                    </a:lnTo>
                    <a:lnTo>
                      <a:pt x="78485" y="566528"/>
                    </a:lnTo>
                    <a:lnTo>
                      <a:pt x="97996" y="546993"/>
                    </a:lnTo>
                    <a:lnTo>
                      <a:pt x="117506" y="527481"/>
                    </a:lnTo>
                    <a:lnTo>
                      <a:pt x="137017" y="507947"/>
                    </a:lnTo>
                    <a:lnTo>
                      <a:pt x="156528" y="507947"/>
                    </a:lnTo>
                    <a:lnTo>
                      <a:pt x="176038" y="488412"/>
                    </a:lnTo>
                    <a:lnTo>
                      <a:pt x="195549" y="468900"/>
                    </a:lnTo>
                    <a:lnTo>
                      <a:pt x="215060" y="449366"/>
                    </a:lnTo>
                    <a:lnTo>
                      <a:pt x="215060" y="429854"/>
                    </a:lnTo>
                    <a:lnTo>
                      <a:pt x="234570" y="410319"/>
                    </a:lnTo>
                    <a:lnTo>
                      <a:pt x="234570" y="390807"/>
                    </a:lnTo>
                    <a:lnTo>
                      <a:pt x="254081" y="371273"/>
                    </a:lnTo>
                    <a:lnTo>
                      <a:pt x="273592" y="351761"/>
                    </a:lnTo>
                    <a:lnTo>
                      <a:pt x="293102" y="332226"/>
                    </a:lnTo>
                    <a:lnTo>
                      <a:pt x="312613" y="312692"/>
                    </a:lnTo>
                    <a:lnTo>
                      <a:pt x="332123" y="293180"/>
                    </a:lnTo>
                    <a:lnTo>
                      <a:pt x="351634" y="273646"/>
                    </a:lnTo>
                    <a:lnTo>
                      <a:pt x="371146" y="273646"/>
                    </a:lnTo>
                    <a:lnTo>
                      <a:pt x="390655" y="254133"/>
                    </a:lnTo>
                    <a:lnTo>
                      <a:pt x="410166" y="254133"/>
                    </a:lnTo>
                    <a:lnTo>
                      <a:pt x="429678" y="234601"/>
                    </a:lnTo>
                    <a:lnTo>
                      <a:pt x="449187" y="215078"/>
                    </a:lnTo>
                    <a:lnTo>
                      <a:pt x="468698" y="195552"/>
                    </a:lnTo>
                    <a:lnTo>
                      <a:pt x="468698" y="176029"/>
                    </a:lnTo>
                    <a:lnTo>
                      <a:pt x="468698" y="156504"/>
                    </a:lnTo>
                    <a:lnTo>
                      <a:pt x="488208" y="136978"/>
                    </a:lnTo>
                    <a:lnTo>
                      <a:pt x="488208" y="117455"/>
                    </a:lnTo>
                    <a:lnTo>
                      <a:pt x="507719" y="97929"/>
                    </a:lnTo>
                    <a:lnTo>
                      <a:pt x="507719" y="78404"/>
                    </a:lnTo>
                    <a:lnTo>
                      <a:pt x="527231" y="58881"/>
                    </a:lnTo>
                    <a:lnTo>
                      <a:pt x="546740" y="58881"/>
                    </a:lnTo>
                    <a:lnTo>
                      <a:pt x="566251" y="58881"/>
                    </a:lnTo>
                    <a:lnTo>
                      <a:pt x="585763" y="39355"/>
                    </a:lnTo>
                    <a:lnTo>
                      <a:pt x="585763" y="19832"/>
                    </a:lnTo>
                    <a:lnTo>
                      <a:pt x="605272" y="307"/>
                    </a:lnTo>
                  </a:path>
                </a:pathLst>
              </a:custGeom>
              <a:noFill/>
              <a:ln w="3701" cap="sq">
                <a:solidFill>
                  <a:srgbClr val="FF0000"/>
                </a:solidFill>
                <a:prstDash val="solid"/>
                <a:bevel/>
              </a:ln>
            </xdr:spPr>
            <xdr:txBody>
              <a:bodyPr rtlCol="0" anchor="ctr"/>
              <a:lstStyle/>
              <a:p>
                <a:endParaRPr lang="es-CO"/>
              </a:p>
            </xdr:txBody>
          </xdr:sp>
        </xdr:grpSp>
        <xdr:sp macro="" textlink="">
          <xdr:nvSpPr>
            <xdr:cNvPr id="122" name="Forma libre: forma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/>
          </xdr:nvSpPr>
          <xdr:spPr>
            <a:xfrm>
              <a:off x="9690204" y="1920829"/>
              <a:ext cx="4890" cy="4674"/>
            </a:xfrm>
            <a:custGeom>
              <a:avLst/>
              <a:gdLst>
                <a:gd name="connsiteX0" fmla="*/ 442 w 19520"/>
                <a:gd name="connsiteY0" fmla="*/ 19841 h 19534"/>
                <a:gd name="connsiteX1" fmla="*/ 19962 w 19520"/>
                <a:gd name="connsiteY1" fmla="*/ 307 h 19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20" h="19534">
                  <a:moveTo>
                    <a:pt x="442" y="19841"/>
                  </a:moveTo>
                  <a:lnTo>
                    <a:pt x="19962" y="307"/>
                  </a:lnTo>
                </a:path>
              </a:pathLst>
            </a:custGeom>
            <a:noFill/>
            <a:ln w="979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3" name="Forma libre: forma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/>
          </xdr:nvSpPr>
          <xdr:spPr>
            <a:xfrm>
              <a:off x="9060967" y="1816376"/>
              <a:ext cx="629236" cy="109127"/>
            </a:xfrm>
            <a:custGeom>
              <a:avLst/>
              <a:gdLst>
                <a:gd name="connsiteX0" fmla="*/ 442 w 2497359"/>
                <a:gd name="connsiteY0" fmla="*/ 117455 h 449068"/>
                <a:gd name="connsiteX1" fmla="*/ 19954 w 2497359"/>
                <a:gd name="connsiteY1" fmla="*/ 117455 h 449068"/>
                <a:gd name="connsiteX2" fmla="*/ 39465 w 2497359"/>
                <a:gd name="connsiteY2" fmla="*/ 117455 h 449068"/>
                <a:gd name="connsiteX3" fmla="*/ 58974 w 2497359"/>
                <a:gd name="connsiteY3" fmla="*/ 117455 h 449068"/>
                <a:gd name="connsiteX4" fmla="*/ 78486 w 2497359"/>
                <a:gd name="connsiteY4" fmla="*/ 117455 h 449068"/>
                <a:gd name="connsiteX5" fmla="*/ 97995 w 2497359"/>
                <a:gd name="connsiteY5" fmla="*/ 117455 h 449068"/>
                <a:gd name="connsiteX6" fmla="*/ 117506 w 2497359"/>
                <a:gd name="connsiteY6" fmla="*/ 136981 h 449068"/>
                <a:gd name="connsiteX7" fmla="*/ 117506 w 2497359"/>
                <a:gd name="connsiteY7" fmla="*/ 156504 h 449068"/>
                <a:gd name="connsiteX8" fmla="*/ 137018 w 2497359"/>
                <a:gd name="connsiteY8" fmla="*/ 176029 h 449068"/>
                <a:gd name="connsiteX9" fmla="*/ 156527 w 2497359"/>
                <a:gd name="connsiteY9" fmla="*/ 176029 h 449068"/>
                <a:gd name="connsiteX10" fmla="*/ 176039 w 2497359"/>
                <a:gd name="connsiteY10" fmla="*/ 156504 h 449068"/>
                <a:gd name="connsiteX11" fmla="*/ 195550 w 2497359"/>
                <a:gd name="connsiteY11" fmla="*/ 136981 h 449068"/>
                <a:gd name="connsiteX12" fmla="*/ 215059 w 2497359"/>
                <a:gd name="connsiteY12" fmla="*/ 136981 h 449068"/>
                <a:gd name="connsiteX13" fmla="*/ 234571 w 2497359"/>
                <a:gd name="connsiteY13" fmla="*/ 136981 h 449068"/>
                <a:gd name="connsiteX14" fmla="*/ 254080 w 2497359"/>
                <a:gd name="connsiteY14" fmla="*/ 117455 h 449068"/>
                <a:gd name="connsiteX15" fmla="*/ 254080 w 2497359"/>
                <a:gd name="connsiteY15" fmla="*/ 97930 h 449068"/>
                <a:gd name="connsiteX16" fmla="*/ 273592 w 2497359"/>
                <a:gd name="connsiteY16" fmla="*/ 78406 h 449068"/>
                <a:gd name="connsiteX17" fmla="*/ 273592 w 2497359"/>
                <a:gd name="connsiteY17" fmla="*/ 58881 h 449068"/>
                <a:gd name="connsiteX18" fmla="*/ 293103 w 2497359"/>
                <a:gd name="connsiteY18" fmla="*/ 58881 h 449068"/>
                <a:gd name="connsiteX19" fmla="*/ 312612 w 2497359"/>
                <a:gd name="connsiteY19" fmla="*/ 58881 h 449068"/>
                <a:gd name="connsiteX20" fmla="*/ 332124 w 2497359"/>
                <a:gd name="connsiteY20" fmla="*/ 39355 h 449068"/>
                <a:gd name="connsiteX21" fmla="*/ 351635 w 2497359"/>
                <a:gd name="connsiteY21" fmla="*/ 19832 h 449068"/>
                <a:gd name="connsiteX22" fmla="*/ 371145 w 2497359"/>
                <a:gd name="connsiteY22" fmla="*/ 39355 h 449068"/>
                <a:gd name="connsiteX23" fmla="*/ 390656 w 2497359"/>
                <a:gd name="connsiteY23" fmla="*/ 58881 h 449068"/>
                <a:gd name="connsiteX24" fmla="*/ 390656 w 2497359"/>
                <a:gd name="connsiteY24" fmla="*/ 78406 h 449068"/>
                <a:gd name="connsiteX25" fmla="*/ 410167 w 2497359"/>
                <a:gd name="connsiteY25" fmla="*/ 97930 h 449068"/>
                <a:gd name="connsiteX26" fmla="*/ 429677 w 2497359"/>
                <a:gd name="connsiteY26" fmla="*/ 78406 h 449068"/>
                <a:gd name="connsiteX27" fmla="*/ 449188 w 2497359"/>
                <a:gd name="connsiteY27" fmla="*/ 58881 h 449068"/>
                <a:gd name="connsiteX28" fmla="*/ 468697 w 2497359"/>
                <a:gd name="connsiteY28" fmla="*/ 39355 h 449068"/>
                <a:gd name="connsiteX29" fmla="*/ 488209 w 2497359"/>
                <a:gd name="connsiteY29" fmla="*/ 39355 h 449068"/>
                <a:gd name="connsiteX30" fmla="*/ 507720 w 2497359"/>
                <a:gd name="connsiteY30" fmla="*/ 19832 h 449068"/>
                <a:gd name="connsiteX31" fmla="*/ 527230 w 2497359"/>
                <a:gd name="connsiteY31" fmla="*/ 307 h 449068"/>
                <a:gd name="connsiteX32" fmla="*/ 546741 w 2497359"/>
                <a:gd name="connsiteY32" fmla="*/ 19832 h 449068"/>
                <a:gd name="connsiteX33" fmla="*/ 546741 w 2497359"/>
                <a:gd name="connsiteY33" fmla="*/ 39355 h 449068"/>
                <a:gd name="connsiteX34" fmla="*/ 546741 w 2497359"/>
                <a:gd name="connsiteY34" fmla="*/ 58881 h 449068"/>
                <a:gd name="connsiteX35" fmla="*/ 566253 w 2497359"/>
                <a:gd name="connsiteY35" fmla="*/ 78406 h 449068"/>
                <a:gd name="connsiteX36" fmla="*/ 566253 w 2497359"/>
                <a:gd name="connsiteY36" fmla="*/ 97930 h 449068"/>
                <a:gd name="connsiteX37" fmla="*/ 566253 w 2497359"/>
                <a:gd name="connsiteY37" fmla="*/ 117455 h 449068"/>
                <a:gd name="connsiteX38" fmla="*/ 585762 w 2497359"/>
                <a:gd name="connsiteY38" fmla="*/ 136981 h 449068"/>
                <a:gd name="connsiteX39" fmla="*/ 605273 w 2497359"/>
                <a:gd name="connsiteY39" fmla="*/ 156504 h 449068"/>
                <a:gd name="connsiteX40" fmla="*/ 624785 w 2497359"/>
                <a:gd name="connsiteY40" fmla="*/ 156504 h 449068"/>
                <a:gd name="connsiteX41" fmla="*/ 644294 w 2497359"/>
                <a:gd name="connsiteY41" fmla="*/ 156504 h 449068"/>
                <a:gd name="connsiteX42" fmla="*/ 663805 w 2497359"/>
                <a:gd name="connsiteY42" fmla="*/ 176029 h 449068"/>
                <a:gd name="connsiteX43" fmla="*/ 663805 w 2497359"/>
                <a:gd name="connsiteY43" fmla="*/ 195553 h 449068"/>
                <a:gd name="connsiteX44" fmla="*/ 683315 w 2497359"/>
                <a:gd name="connsiteY44" fmla="*/ 215078 h 449068"/>
                <a:gd name="connsiteX45" fmla="*/ 702826 w 2497359"/>
                <a:gd name="connsiteY45" fmla="*/ 215078 h 449068"/>
                <a:gd name="connsiteX46" fmla="*/ 722338 w 2497359"/>
                <a:gd name="connsiteY46" fmla="*/ 215078 h 449068"/>
                <a:gd name="connsiteX47" fmla="*/ 741847 w 2497359"/>
                <a:gd name="connsiteY47" fmla="*/ 215078 h 449068"/>
                <a:gd name="connsiteX48" fmla="*/ 761358 w 2497359"/>
                <a:gd name="connsiteY48" fmla="*/ 215078 h 449068"/>
                <a:gd name="connsiteX49" fmla="*/ 780870 w 2497359"/>
                <a:gd name="connsiteY49" fmla="*/ 195553 h 449068"/>
                <a:gd name="connsiteX50" fmla="*/ 780870 w 2497359"/>
                <a:gd name="connsiteY50" fmla="*/ 176029 h 449068"/>
                <a:gd name="connsiteX51" fmla="*/ 800379 w 2497359"/>
                <a:gd name="connsiteY51" fmla="*/ 176029 h 449068"/>
                <a:gd name="connsiteX52" fmla="*/ 819890 w 2497359"/>
                <a:gd name="connsiteY52" fmla="*/ 176029 h 449068"/>
                <a:gd name="connsiteX53" fmla="*/ 839402 w 2497359"/>
                <a:gd name="connsiteY53" fmla="*/ 176029 h 449068"/>
                <a:gd name="connsiteX54" fmla="*/ 858911 w 2497359"/>
                <a:gd name="connsiteY54" fmla="*/ 156504 h 449068"/>
                <a:gd name="connsiteX55" fmla="*/ 878423 w 2497359"/>
                <a:gd name="connsiteY55" fmla="*/ 136981 h 449068"/>
                <a:gd name="connsiteX56" fmla="*/ 897932 w 2497359"/>
                <a:gd name="connsiteY56" fmla="*/ 117455 h 449068"/>
                <a:gd name="connsiteX57" fmla="*/ 917443 w 2497359"/>
                <a:gd name="connsiteY57" fmla="*/ 117455 h 449068"/>
                <a:gd name="connsiteX58" fmla="*/ 936955 w 2497359"/>
                <a:gd name="connsiteY58" fmla="*/ 117455 h 449068"/>
                <a:gd name="connsiteX59" fmla="*/ 956464 w 2497359"/>
                <a:gd name="connsiteY59" fmla="*/ 136981 h 449068"/>
                <a:gd name="connsiteX60" fmla="*/ 975976 w 2497359"/>
                <a:gd name="connsiteY60" fmla="*/ 136981 h 449068"/>
                <a:gd name="connsiteX61" fmla="*/ 995487 w 2497359"/>
                <a:gd name="connsiteY61" fmla="*/ 136981 h 449068"/>
                <a:gd name="connsiteX62" fmla="*/ 1014996 w 2497359"/>
                <a:gd name="connsiteY62" fmla="*/ 136981 h 449068"/>
                <a:gd name="connsiteX63" fmla="*/ 1034508 w 2497359"/>
                <a:gd name="connsiteY63" fmla="*/ 136981 h 449068"/>
                <a:gd name="connsiteX64" fmla="*/ 1054017 w 2497359"/>
                <a:gd name="connsiteY64" fmla="*/ 117455 h 449068"/>
                <a:gd name="connsiteX65" fmla="*/ 1073529 w 2497359"/>
                <a:gd name="connsiteY65" fmla="*/ 117455 h 449068"/>
                <a:gd name="connsiteX66" fmla="*/ 1093040 w 2497359"/>
                <a:gd name="connsiteY66" fmla="*/ 97930 h 449068"/>
                <a:gd name="connsiteX67" fmla="*/ 1112549 w 2497359"/>
                <a:gd name="connsiteY67" fmla="*/ 97930 h 449068"/>
                <a:gd name="connsiteX68" fmla="*/ 1132061 w 2497359"/>
                <a:gd name="connsiteY68" fmla="*/ 97930 h 449068"/>
                <a:gd name="connsiteX69" fmla="*/ 1151572 w 2497359"/>
                <a:gd name="connsiteY69" fmla="*/ 78406 h 449068"/>
                <a:gd name="connsiteX70" fmla="*/ 1171081 w 2497359"/>
                <a:gd name="connsiteY70" fmla="*/ 58881 h 449068"/>
                <a:gd name="connsiteX71" fmla="*/ 1190593 w 2497359"/>
                <a:gd name="connsiteY71" fmla="*/ 58881 h 449068"/>
                <a:gd name="connsiteX72" fmla="*/ 1210104 w 2497359"/>
                <a:gd name="connsiteY72" fmla="*/ 78406 h 449068"/>
                <a:gd name="connsiteX73" fmla="*/ 1229614 w 2497359"/>
                <a:gd name="connsiteY73" fmla="*/ 78406 h 449068"/>
                <a:gd name="connsiteX74" fmla="*/ 1249125 w 2497359"/>
                <a:gd name="connsiteY74" fmla="*/ 58881 h 449068"/>
                <a:gd name="connsiteX75" fmla="*/ 1268634 w 2497359"/>
                <a:gd name="connsiteY75" fmla="*/ 58881 h 449068"/>
                <a:gd name="connsiteX76" fmla="*/ 1288146 w 2497359"/>
                <a:gd name="connsiteY76" fmla="*/ 58881 h 449068"/>
                <a:gd name="connsiteX77" fmla="*/ 1307657 w 2497359"/>
                <a:gd name="connsiteY77" fmla="*/ 78406 h 449068"/>
                <a:gd name="connsiteX78" fmla="*/ 1327167 w 2497359"/>
                <a:gd name="connsiteY78" fmla="*/ 78406 h 449068"/>
                <a:gd name="connsiteX79" fmla="*/ 1346678 w 2497359"/>
                <a:gd name="connsiteY79" fmla="*/ 78406 h 449068"/>
                <a:gd name="connsiteX80" fmla="*/ 1366190 w 2497359"/>
                <a:gd name="connsiteY80" fmla="*/ 97930 h 449068"/>
                <a:gd name="connsiteX81" fmla="*/ 1366190 w 2497359"/>
                <a:gd name="connsiteY81" fmla="*/ 117455 h 449068"/>
                <a:gd name="connsiteX82" fmla="*/ 1366190 w 2497359"/>
                <a:gd name="connsiteY82" fmla="*/ 136981 h 449068"/>
                <a:gd name="connsiteX83" fmla="*/ 1346678 w 2497359"/>
                <a:gd name="connsiteY83" fmla="*/ 156504 h 449068"/>
                <a:gd name="connsiteX84" fmla="*/ 1366190 w 2497359"/>
                <a:gd name="connsiteY84" fmla="*/ 176029 h 449068"/>
                <a:gd name="connsiteX85" fmla="*/ 1385699 w 2497359"/>
                <a:gd name="connsiteY85" fmla="*/ 176029 h 449068"/>
                <a:gd name="connsiteX86" fmla="*/ 1405210 w 2497359"/>
                <a:gd name="connsiteY86" fmla="*/ 176029 h 449068"/>
                <a:gd name="connsiteX87" fmla="*/ 1424722 w 2497359"/>
                <a:gd name="connsiteY87" fmla="*/ 176029 h 449068"/>
                <a:gd name="connsiteX88" fmla="*/ 1444231 w 2497359"/>
                <a:gd name="connsiteY88" fmla="*/ 176029 h 449068"/>
                <a:gd name="connsiteX89" fmla="*/ 1463742 w 2497359"/>
                <a:gd name="connsiteY89" fmla="*/ 195553 h 449068"/>
                <a:gd name="connsiteX90" fmla="*/ 1483252 w 2497359"/>
                <a:gd name="connsiteY90" fmla="*/ 215078 h 449068"/>
                <a:gd name="connsiteX91" fmla="*/ 1502763 w 2497359"/>
                <a:gd name="connsiteY91" fmla="*/ 215078 h 449068"/>
                <a:gd name="connsiteX92" fmla="*/ 1522275 w 2497359"/>
                <a:gd name="connsiteY92" fmla="*/ 215078 h 449068"/>
                <a:gd name="connsiteX93" fmla="*/ 1541784 w 2497359"/>
                <a:gd name="connsiteY93" fmla="*/ 215078 h 449068"/>
                <a:gd name="connsiteX94" fmla="*/ 1561295 w 2497359"/>
                <a:gd name="connsiteY94" fmla="*/ 234604 h 449068"/>
                <a:gd name="connsiteX95" fmla="*/ 1580807 w 2497359"/>
                <a:gd name="connsiteY95" fmla="*/ 234604 h 449068"/>
                <a:gd name="connsiteX96" fmla="*/ 1600316 w 2497359"/>
                <a:gd name="connsiteY96" fmla="*/ 254127 h 449068"/>
                <a:gd name="connsiteX97" fmla="*/ 1619827 w 2497359"/>
                <a:gd name="connsiteY97" fmla="*/ 254127 h 449068"/>
                <a:gd name="connsiteX98" fmla="*/ 1639339 w 2497359"/>
                <a:gd name="connsiteY98" fmla="*/ 254127 h 449068"/>
                <a:gd name="connsiteX99" fmla="*/ 1658848 w 2497359"/>
                <a:gd name="connsiteY99" fmla="*/ 254127 h 449068"/>
                <a:gd name="connsiteX100" fmla="*/ 1678360 w 2497359"/>
                <a:gd name="connsiteY100" fmla="*/ 273652 h 449068"/>
                <a:gd name="connsiteX101" fmla="*/ 1697867 w 2497359"/>
                <a:gd name="connsiteY101" fmla="*/ 273652 h 449068"/>
                <a:gd name="connsiteX102" fmla="*/ 1717387 w 2497359"/>
                <a:gd name="connsiteY102" fmla="*/ 293178 h 449068"/>
                <a:gd name="connsiteX103" fmla="*/ 1736885 w 2497359"/>
                <a:gd name="connsiteY103" fmla="*/ 293178 h 449068"/>
                <a:gd name="connsiteX104" fmla="*/ 1756405 w 2497359"/>
                <a:gd name="connsiteY104" fmla="*/ 312701 h 449068"/>
                <a:gd name="connsiteX105" fmla="*/ 1775904 w 2497359"/>
                <a:gd name="connsiteY105" fmla="*/ 332227 h 449068"/>
                <a:gd name="connsiteX106" fmla="*/ 1795424 w 2497359"/>
                <a:gd name="connsiteY106" fmla="*/ 332227 h 449068"/>
                <a:gd name="connsiteX107" fmla="*/ 1814944 w 2497359"/>
                <a:gd name="connsiteY107" fmla="*/ 332227 h 449068"/>
                <a:gd name="connsiteX108" fmla="*/ 1834442 w 2497359"/>
                <a:gd name="connsiteY108" fmla="*/ 332227 h 449068"/>
                <a:gd name="connsiteX109" fmla="*/ 1853963 w 2497359"/>
                <a:gd name="connsiteY109" fmla="*/ 332227 h 449068"/>
                <a:gd name="connsiteX110" fmla="*/ 1873461 w 2497359"/>
                <a:gd name="connsiteY110" fmla="*/ 332227 h 449068"/>
                <a:gd name="connsiteX111" fmla="*/ 1892981 w 2497359"/>
                <a:gd name="connsiteY111" fmla="*/ 332227 h 449068"/>
                <a:gd name="connsiteX112" fmla="*/ 1912480 w 2497359"/>
                <a:gd name="connsiteY112" fmla="*/ 312701 h 449068"/>
                <a:gd name="connsiteX113" fmla="*/ 1932000 w 2497359"/>
                <a:gd name="connsiteY113" fmla="*/ 312701 h 449068"/>
                <a:gd name="connsiteX114" fmla="*/ 1951498 w 2497359"/>
                <a:gd name="connsiteY114" fmla="*/ 312701 h 449068"/>
                <a:gd name="connsiteX115" fmla="*/ 1971018 w 2497359"/>
                <a:gd name="connsiteY115" fmla="*/ 293178 h 449068"/>
                <a:gd name="connsiteX116" fmla="*/ 1990539 w 2497359"/>
                <a:gd name="connsiteY116" fmla="*/ 293178 h 449068"/>
                <a:gd name="connsiteX117" fmla="*/ 2010037 w 2497359"/>
                <a:gd name="connsiteY117" fmla="*/ 273652 h 449068"/>
                <a:gd name="connsiteX118" fmla="*/ 2029557 w 2497359"/>
                <a:gd name="connsiteY118" fmla="*/ 254127 h 449068"/>
                <a:gd name="connsiteX119" fmla="*/ 2049055 w 2497359"/>
                <a:gd name="connsiteY119" fmla="*/ 234604 h 449068"/>
                <a:gd name="connsiteX120" fmla="*/ 2068576 w 2497359"/>
                <a:gd name="connsiteY120" fmla="*/ 234604 h 449068"/>
                <a:gd name="connsiteX121" fmla="*/ 2088074 w 2497359"/>
                <a:gd name="connsiteY121" fmla="*/ 234604 h 449068"/>
                <a:gd name="connsiteX122" fmla="*/ 2107594 w 2497359"/>
                <a:gd name="connsiteY122" fmla="*/ 234604 h 449068"/>
                <a:gd name="connsiteX123" fmla="*/ 2127115 w 2497359"/>
                <a:gd name="connsiteY123" fmla="*/ 234604 h 449068"/>
                <a:gd name="connsiteX124" fmla="*/ 2146613 w 2497359"/>
                <a:gd name="connsiteY124" fmla="*/ 234604 h 449068"/>
                <a:gd name="connsiteX125" fmla="*/ 2166133 w 2497359"/>
                <a:gd name="connsiteY125" fmla="*/ 234604 h 449068"/>
                <a:gd name="connsiteX126" fmla="*/ 2185631 w 2497359"/>
                <a:gd name="connsiteY126" fmla="*/ 215078 h 449068"/>
                <a:gd name="connsiteX127" fmla="*/ 2205152 w 2497359"/>
                <a:gd name="connsiteY127" fmla="*/ 234604 h 449068"/>
                <a:gd name="connsiteX128" fmla="*/ 2224650 w 2497359"/>
                <a:gd name="connsiteY128" fmla="*/ 254127 h 449068"/>
                <a:gd name="connsiteX129" fmla="*/ 2244170 w 2497359"/>
                <a:gd name="connsiteY129" fmla="*/ 254127 h 449068"/>
                <a:gd name="connsiteX130" fmla="*/ 2263668 w 2497359"/>
                <a:gd name="connsiteY130" fmla="*/ 273652 h 449068"/>
                <a:gd name="connsiteX131" fmla="*/ 2263668 w 2497359"/>
                <a:gd name="connsiteY131" fmla="*/ 293178 h 449068"/>
                <a:gd name="connsiteX132" fmla="*/ 2283188 w 2497359"/>
                <a:gd name="connsiteY132" fmla="*/ 312701 h 449068"/>
                <a:gd name="connsiteX133" fmla="*/ 2302709 w 2497359"/>
                <a:gd name="connsiteY133" fmla="*/ 332227 h 449068"/>
                <a:gd name="connsiteX134" fmla="*/ 2322207 w 2497359"/>
                <a:gd name="connsiteY134" fmla="*/ 351750 h 449068"/>
                <a:gd name="connsiteX135" fmla="*/ 2322207 w 2497359"/>
                <a:gd name="connsiteY135" fmla="*/ 371282 h 449068"/>
                <a:gd name="connsiteX136" fmla="*/ 2341727 w 2497359"/>
                <a:gd name="connsiteY136" fmla="*/ 390794 h 449068"/>
                <a:gd name="connsiteX137" fmla="*/ 2341727 w 2497359"/>
                <a:gd name="connsiteY137" fmla="*/ 410328 h 449068"/>
                <a:gd name="connsiteX138" fmla="*/ 2361225 w 2497359"/>
                <a:gd name="connsiteY138" fmla="*/ 429840 h 449068"/>
                <a:gd name="connsiteX139" fmla="*/ 2380746 w 2497359"/>
                <a:gd name="connsiteY139" fmla="*/ 449375 h 449068"/>
                <a:gd name="connsiteX140" fmla="*/ 2400244 w 2497359"/>
                <a:gd name="connsiteY140" fmla="*/ 449375 h 449068"/>
                <a:gd name="connsiteX141" fmla="*/ 2419764 w 2497359"/>
                <a:gd name="connsiteY141" fmla="*/ 449375 h 449068"/>
                <a:gd name="connsiteX142" fmla="*/ 2439285 w 2497359"/>
                <a:gd name="connsiteY142" fmla="*/ 449375 h 449068"/>
                <a:gd name="connsiteX143" fmla="*/ 2458783 w 2497359"/>
                <a:gd name="connsiteY143" fmla="*/ 449375 h 449068"/>
                <a:gd name="connsiteX144" fmla="*/ 2478303 w 2497359"/>
                <a:gd name="connsiteY144" fmla="*/ 449375 h 449068"/>
                <a:gd name="connsiteX145" fmla="*/ 2497801 w 2497359"/>
                <a:gd name="connsiteY145" fmla="*/ 449375 h 44906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  <a:cxn ang="0">
                  <a:pos x="connsiteX71" y="connsiteY71"/>
                </a:cxn>
                <a:cxn ang="0">
                  <a:pos x="connsiteX72" y="connsiteY72"/>
                </a:cxn>
                <a:cxn ang="0">
                  <a:pos x="connsiteX73" y="connsiteY73"/>
                </a:cxn>
                <a:cxn ang="0">
                  <a:pos x="connsiteX74" y="connsiteY74"/>
                </a:cxn>
                <a:cxn ang="0">
                  <a:pos x="connsiteX75" y="connsiteY75"/>
                </a:cxn>
                <a:cxn ang="0">
                  <a:pos x="connsiteX76" y="connsiteY76"/>
                </a:cxn>
                <a:cxn ang="0">
                  <a:pos x="connsiteX77" y="connsiteY77"/>
                </a:cxn>
                <a:cxn ang="0">
                  <a:pos x="connsiteX78" y="connsiteY78"/>
                </a:cxn>
                <a:cxn ang="0">
                  <a:pos x="connsiteX79" y="connsiteY79"/>
                </a:cxn>
                <a:cxn ang="0">
                  <a:pos x="connsiteX80" y="connsiteY80"/>
                </a:cxn>
                <a:cxn ang="0">
                  <a:pos x="connsiteX81" y="connsiteY81"/>
                </a:cxn>
                <a:cxn ang="0">
                  <a:pos x="connsiteX82" y="connsiteY82"/>
                </a:cxn>
                <a:cxn ang="0">
                  <a:pos x="connsiteX83" y="connsiteY83"/>
                </a:cxn>
                <a:cxn ang="0">
                  <a:pos x="connsiteX84" y="connsiteY84"/>
                </a:cxn>
                <a:cxn ang="0">
                  <a:pos x="connsiteX85" y="connsiteY85"/>
                </a:cxn>
                <a:cxn ang="0">
                  <a:pos x="connsiteX86" y="connsiteY86"/>
                </a:cxn>
                <a:cxn ang="0">
                  <a:pos x="connsiteX87" y="connsiteY87"/>
                </a:cxn>
                <a:cxn ang="0">
                  <a:pos x="connsiteX88" y="connsiteY88"/>
                </a:cxn>
                <a:cxn ang="0">
                  <a:pos x="connsiteX89" y="connsiteY89"/>
                </a:cxn>
                <a:cxn ang="0">
                  <a:pos x="connsiteX90" y="connsiteY90"/>
                </a:cxn>
                <a:cxn ang="0">
                  <a:pos x="connsiteX91" y="connsiteY91"/>
                </a:cxn>
                <a:cxn ang="0">
                  <a:pos x="connsiteX92" y="connsiteY92"/>
                </a:cxn>
                <a:cxn ang="0">
                  <a:pos x="connsiteX93" y="connsiteY93"/>
                </a:cxn>
                <a:cxn ang="0">
                  <a:pos x="connsiteX94" y="connsiteY94"/>
                </a:cxn>
                <a:cxn ang="0">
                  <a:pos x="connsiteX95" y="connsiteY95"/>
                </a:cxn>
                <a:cxn ang="0">
                  <a:pos x="connsiteX96" y="connsiteY96"/>
                </a:cxn>
                <a:cxn ang="0">
                  <a:pos x="connsiteX97" y="connsiteY97"/>
                </a:cxn>
                <a:cxn ang="0">
                  <a:pos x="connsiteX98" y="connsiteY98"/>
                </a:cxn>
                <a:cxn ang="0">
                  <a:pos x="connsiteX99" y="connsiteY99"/>
                </a:cxn>
                <a:cxn ang="0">
                  <a:pos x="connsiteX100" y="connsiteY100"/>
                </a:cxn>
                <a:cxn ang="0">
                  <a:pos x="connsiteX101" y="connsiteY101"/>
                </a:cxn>
                <a:cxn ang="0">
                  <a:pos x="connsiteX102" y="connsiteY102"/>
                </a:cxn>
                <a:cxn ang="0">
                  <a:pos x="connsiteX103" y="connsiteY103"/>
                </a:cxn>
                <a:cxn ang="0">
                  <a:pos x="connsiteX104" y="connsiteY104"/>
                </a:cxn>
                <a:cxn ang="0">
                  <a:pos x="connsiteX105" y="connsiteY105"/>
                </a:cxn>
                <a:cxn ang="0">
                  <a:pos x="connsiteX106" y="connsiteY106"/>
                </a:cxn>
                <a:cxn ang="0">
                  <a:pos x="connsiteX107" y="connsiteY107"/>
                </a:cxn>
                <a:cxn ang="0">
                  <a:pos x="connsiteX108" y="connsiteY108"/>
                </a:cxn>
                <a:cxn ang="0">
                  <a:pos x="connsiteX109" y="connsiteY109"/>
                </a:cxn>
                <a:cxn ang="0">
                  <a:pos x="connsiteX110" y="connsiteY110"/>
                </a:cxn>
                <a:cxn ang="0">
                  <a:pos x="connsiteX111" y="connsiteY111"/>
                </a:cxn>
                <a:cxn ang="0">
                  <a:pos x="connsiteX112" y="connsiteY112"/>
                </a:cxn>
                <a:cxn ang="0">
                  <a:pos x="connsiteX113" y="connsiteY113"/>
                </a:cxn>
                <a:cxn ang="0">
                  <a:pos x="connsiteX114" y="connsiteY114"/>
                </a:cxn>
                <a:cxn ang="0">
                  <a:pos x="connsiteX115" y="connsiteY115"/>
                </a:cxn>
                <a:cxn ang="0">
                  <a:pos x="connsiteX116" y="connsiteY116"/>
                </a:cxn>
                <a:cxn ang="0">
                  <a:pos x="connsiteX117" y="connsiteY117"/>
                </a:cxn>
                <a:cxn ang="0">
                  <a:pos x="connsiteX118" y="connsiteY118"/>
                </a:cxn>
                <a:cxn ang="0">
                  <a:pos x="connsiteX119" y="connsiteY119"/>
                </a:cxn>
                <a:cxn ang="0">
                  <a:pos x="connsiteX120" y="connsiteY120"/>
                </a:cxn>
                <a:cxn ang="0">
                  <a:pos x="connsiteX121" y="connsiteY121"/>
                </a:cxn>
                <a:cxn ang="0">
                  <a:pos x="connsiteX122" y="connsiteY122"/>
                </a:cxn>
                <a:cxn ang="0">
                  <a:pos x="connsiteX123" y="connsiteY123"/>
                </a:cxn>
                <a:cxn ang="0">
                  <a:pos x="connsiteX124" y="connsiteY124"/>
                </a:cxn>
                <a:cxn ang="0">
                  <a:pos x="connsiteX125" y="connsiteY125"/>
                </a:cxn>
                <a:cxn ang="0">
                  <a:pos x="connsiteX126" y="connsiteY126"/>
                </a:cxn>
                <a:cxn ang="0">
                  <a:pos x="connsiteX127" y="connsiteY127"/>
                </a:cxn>
                <a:cxn ang="0">
                  <a:pos x="connsiteX128" y="connsiteY128"/>
                </a:cxn>
                <a:cxn ang="0">
                  <a:pos x="connsiteX129" y="connsiteY129"/>
                </a:cxn>
                <a:cxn ang="0">
                  <a:pos x="connsiteX130" y="connsiteY130"/>
                </a:cxn>
                <a:cxn ang="0">
                  <a:pos x="connsiteX131" y="connsiteY131"/>
                </a:cxn>
                <a:cxn ang="0">
                  <a:pos x="connsiteX132" y="connsiteY132"/>
                </a:cxn>
                <a:cxn ang="0">
                  <a:pos x="connsiteX133" y="connsiteY133"/>
                </a:cxn>
                <a:cxn ang="0">
                  <a:pos x="connsiteX134" y="connsiteY134"/>
                </a:cxn>
                <a:cxn ang="0">
                  <a:pos x="connsiteX135" y="connsiteY135"/>
                </a:cxn>
                <a:cxn ang="0">
                  <a:pos x="connsiteX136" y="connsiteY136"/>
                </a:cxn>
                <a:cxn ang="0">
                  <a:pos x="connsiteX137" y="connsiteY137"/>
                </a:cxn>
                <a:cxn ang="0">
                  <a:pos x="connsiteX138" y="connsiteY138"/>
                </a:cxn>
                <a:cxn ang="0">
                  <a:pos x="connsiteX139" y="connsiteY139"/>
                </a:cxn>
                <a:cxn ang="0">
                  <a:pos x="connsiteX140" y="connsiteY140"/>
                </a:cxn>
                <a:cxn ang="0">
                  <a:pos x="connsiteX141" y="connsiteY141"/>
                </a:cxn>
                <a:cxn ang="0">
                  <a:pos x="connsiteX142" y="connsiteY142"/>
                </a:cxn>
                <a:cxn ang="0">
                  <a:pos x="connsiteX143" y="connsiteY143"/>
                </a:cxn>
                <a:cxn ang="0">
                  <a:pos x="connsiteX144" y="connsiteY144"/>
                </a:cxn>
                <a:cxn ang="0">
                  <a:pos x="connsiteX145" y="connsiteY145"/>
                </a:cxn>
              </a:cxnLst>
              <a:rect l="l" t="t" r="r" b="b"/>
              <a:pathLst>
                <a:path w="2497359" h="449068">
                  <a:moveTo>
                    <a:pt x="442" y="117455"/>
                  </a:moveTo>
                  <a:lnTo>
                    <a:pt x="19954" y="117455"/>
                  </a:lnTo>
                  <a:lnTo>
                    <a:pt x="39465" y="117455"/>
                  </a:lnTo>
                  <a:lnTo>
                    <a:pt x="58974" y="117455"/>
                  </a:lnTo>
                  <a:lnTo>
                    <a:pt x="78486" y="117455"/>
                  </a:lnTo>
                  <a:lnTo>
                    <a:pt x="97995" y="117455"/>
                  </a:lnTo>
                  <a:lnTo>
                    <a:pt x="117506" y="136981"/>
                  </a:lnTo>
                  <a:lnTo>
                    <a:pt x="117506" y="156504"/>
                  </a:lnTo>
                  <a:lnTo>
                    <a:pt x="137018" y="176029"/>
                  </a:lnTo>
                  <a:lnTo>
                    <a:pt x="156527" y="176029"/>
                  </a:lnTo>
                  <a:lnTo>
                    <a:pt x="176039" y="156504"/>
                  </a:lnTo>
                  <a:lnTo>
                    <a:pt x="195550" y="136981"/>
                  </a:lnTo>
                  <a:lnTo>
                    <a:pt x="215059" y="136981"/>
                  </a:lnTo>
                  <a:lnTo>
                    <a:pt x="234571" y="136981"/>
                  </a:lnTo>
                  <a:lnTo>
                    <a:pt x="254080" y="117455"/>
                  </a:lnTo>
                  <a:lnTo>
                    <a:pt x="254080" y="97930"/>
                  </a:lnTo>
                  <a:lnTo>
                    <a:pt x="273592" y="78406"/>
                  </a:lnTo>
                  <a:lnTo>
                    <a:pt x="273592" y="58881"/>
                  </a:lnTo>
                  <a:lnTo>
                    <a:pt x="293103" y="58881"/>
                  </a:lnTo>
                  <a:lnTo>
                    <a:pt x="312612" y="58881"/>
                  </a:lnTo>
                  <a:lnTo>
                    <a:pt x="332124" y="39355"/>
                  </a:lnTo>
                  <a:lnTo>
                    <a:pt x="351635" y="19832"/>
                  </a:lnTo>
                  <a:lnTo>
                    <a:pt x="371145" y="39355"/>
                  </a:lnTo>
                  <a:lnTo>
                    <a:pt x="390656" y="58881"/>
                  </a:lnTo>
                  <a:lnTo>
                    <a:pt x="390656" y="78406"/>
                  </a:lnTo>
                  <a:lnTo>
                    <a:pt x="410167" y="97930"/>
                  </a:lnTo>
                  <a:lnTo>
                    <a:pt x="429677" y="78406"/>
                  </a:lnTo>
                  <a:lnTo>
                    <a:pt x="449188" y="58881"/>
                  </a:lnTo>
                  <a:lnTo>
                    <a:pt x="468697" y="39355"/>
                  </a:lnTo>
                  <a:lnTo>
                    <a:pt x="488209" y="39355"/>
                  </a:lnTo>
                  <a:lnTo>
                    <a:pt x="507720" y="19832"/>
                  </a:lnTo>
                  <a:lnTo>
                    <a:pt x="527230" y="307"/>
                  </a:lnTo>
                  <a:lnTo>
                    <a:pt x="546741" y="19832"/>
                  </a:lnTo>
                  <a:lnTo>
                    <a:pt x="546741" y="39355"/>
                  </a:lnTo>
                  <a:lnTo>
                    <a:pt x="546741" y="58881"/>
                  </a:lnTo>
                  <a:lnTo>
                    <a:pt x="566253" y="78406"/>
                  </a:lnTo>
                  <a:lnTo>
                    <a:pt x="566253" y="97930"/>
                  </a:lnTo>
                  <a:lnTo>
                    <a:pt x="566253" y="117455"/>
                  </a:lnTo>
                  <a:lnTo>
                    <a:pt x="585762" y="136981"/>
                  </a:lnTo>
                  <a:lnTo>
                    <a:pt x="605273" y="156504"/>
                  </a:lnTo>
                  <a:lnTo>
                    <a:pt x="624785" y="156504"/>
                  </a:lnTo>
                  <a:lnTo>
                    <a:pt x="644294" y="156504"/>
                  </a:lnTo>
                  <a:lnTo>
                    <a:pt x="663805" y="176029"/>
                  </a:lnTo>
                  <a:lnTo>
                    <a:pt x="663805" y="195553"/>
                  </a:lnTo>
                  <a:lnTo>
                    <a:pt x="683315" y="215078"/>
                  </a:lnTo>
                  <a:lnTo>
                    <a:pt x="702826" y="215078"/>
                  </a:lnTo>
                  <a:lnTo>
                    <a:pt x="722338" y="215078"/>
                  </a:lnTo>
                  <a:lnTo>
                    <a:pt x="741847" y="215078"/>
                  </a:lnTo>
                  <a:lnTo>
                    <a:pt x="761358" y="215078"/>
                  </a:lnTo>
                  <a:lnTo>
                    <a:pt x="780870" y="195553"/>
                  </a:lnTo>
                  <a:lnTo>
                    <a:pt x="780870" y="176029"/>
                  </a:lnTo>
                  <a:lnTo>
                    <a:pt x="800379" y="176029"/>
                  </a:lnTo>
                  <a:lnTo>
                    <a:pt x="819890" y="176029"/>
                  </a:lnTo>
                  <a:lnTo>
                    <a:pt x="839402" y="176029"/>
                  </a:lnTo>
                  <a:lnTo>
                    <a:pt x="858911" y="156504"/>
                  </a:lnTo>
                  <a:lnTo>
                    <a:pt x="878423" y="136981"/>
                  </a:lnTo>
                  <a:lnTo>
                    <a:pt x="897932" y="117455"/>
                  </a:lnTo>
                  <a:lnTo>
                    <a:pt x="917443" y="117455"/>
                  </a:lnTo>
                  <a:lnTo>
                    <a:pt x="936955" y="117455"/>
                  </a:lnTo>
                  <a:lnTo>
                    <a:pt x="956464" y="136981"/>
                  </a:lnTo>
                  <a:lnTo>
                    <a:pt x="975976" y="136981"/>
                  </a:lnTo>
                  <a:lnTo>
                    <a:pt x="995487" y="136981"/>
                  </a:lnTo>
                  <a:lnTo>
                    <a:pt x="1014996" y="136981"/>
                  </a:lnTo>
                  <a:lnTo>
                    <a:pt x="1034508" y="136981"/>
                  </a:lnTo>
                  <a:lnTo>
                    <a:pt x="1054017" y="117455"/>
                  </a:lnTo>
                  <a:lnTo>
                    <a:pt x="1073529" y="117455"/>
                  </a:lnTo>
                  <a:lnTo>
                    <a:pt x="1093040" y="97930"/>
                  </a:lnTo>
                  <a:lnTo>
                    <a:pt x="1112549" y="97930"/>
                  </a:lnTo>
                  <a:lnTo>
                    <a:pt x="1132061" y="97930"/>
                  </a:lnTo>
                  <a:lnTo>
                    <a:pt x="1151572" y="78406"/>
                  </a:lnTo>
                  <a:lnTo>
                    <a:pt x="1171081" y="58881"/>
                  </a:lnTo>
                  <a:lnTo>
                    <a:pt x="1190593" y="58881"/>
                  </a:lnTo>
                  <a:lnTo>
                    <a:pt x="1210104" y="78406"/>
                  </a:lnTo>
                  <a:lnTo>
                    <a:pt x="1229614" y="78406"/>
                  </a:lnTo>
                  <a:lnTo>
                    <a:pt x="1249125" y="58881"/>
                  </a:lnTo>
                  <a:lnTo>
                    <a:pt x="1268634" y="58881"/>
                  </a:lnTo>
                  <a:lnTo>
                    <a:pt x="1288146" y="58881"/>
                  </a:lnTo>
                  <a:lnTo>
                    <a:pt x="1307657" y="78406"/>
                  </a:lnTo>
                  <a:lnTo>
                    <a:pt x="1327167" y="78406"/>
                  </a:lnTo>
                  <a:lnTo>
                    <a:pt x="1346678" y="78406"/>
                  </a:lnTo>
                  <a:lnTo>
                    <a:pt x="1366190" y="97930"/>
                  </a:lnTo>
                  <a:lnTo>
                    <a:pt x="1366190" y="117455"/>
                  </a:lnTo>
                  <a:lnTo>
                    <a:pt x="1366190" y="136981"/>
                  </a:lnTo>
                  <a:lnTo>
                    <a:pt x="1346678" y="156504"/>
                  </a:lnTo>
                  <a:lnTo>
                    <a:pt x="1366190" y="176029"/>
                  </a:lnTo>
                  <a:lnTo>
                    <a:pt x="1385699" y="176029"/>
                  </a:lnTo>
                  <a:lnTo>
                    <a:pt x="1405210" y="176029"/>
                  </a:lnTo>
                  <a:lnTo>
                    <a:pt x="1424722" y="176029"/>
                  </a:lnTo>
                  <a:lnTo>
                    <a:pt x="1444231" y="176029"/>
                  </a:lnTo>
                  <a:lnTo>
                    <a:pt x="1463742" y="195553"/>
                  </a:lnTo>
                  <a:lnTo>
                    <a:pt x="1483252" y="215078"/>
                  </a:lnTo>
                  <a:lnTo>
                    <a:pt x="1502763" y="215078"/>
                  </a:lnTo>
                  <a:lnTo>
                    <a:pt x="1522275" y="215078"/>
                  </a:lnTo>
                  <a:lnTo>
                    <a:pt x="1541784" y="215078"/>
                  </a:lnTo>
                  <a:lnTo>
                    <a:pt x="1561295" y="234604"/>
                  </a:lnTo>
                  <a:lnTo>
                    <a:pt x="1580807" y="234604"/>
                  </a:lnTo>
                  <a:lnTo>
                    <a:pt x="1600316" y="254127"/>
                  </a:lnTo>
                  <a:lnTo>
                    <a:pt x="1619827" y="254127"/>
                  </a:lnTo>
                  <a:lnTo>
                    <a:pt x="1639339" y="254127"/>
                  </a:lnTo>
                  <a:lnTo>
                    <a:pt x="1658848" y="254127"/>
                  </a:lnTo>
                  <a:lnTo>
                    <a:pt x="1678360" y="273652"/>
                  </a:lnTo>
                  <a:lnTo>
                    <a:pt x="1697867" y="273652"/>
                  </a:lnTo>
                  <a:lnTo>
                    <a:pt x="1717387" y="293178"/>
                  </a:lnTo>
                  <a:lnTo>
                    <a:pt x="1736885" y="293178"/>
                  </a:lnTo>
                  <a:lnTo>
                    <a:pt x="1756405" y="312701"/>
                  </a:lnTo>
                  <a:lnTo>
                    <a:pt x="1775904" y="332227"/>
                  </a:lnTo>
                  <a:lnTo>
                    <a:pt x="1795424" y="332227"/>
                  </a:lnTo>
                  <a:lnTo>
                    <a:pt x="1814944" y="332227"/>
                  </a:lnTo>
                  <a:lnTo>
                    <a:pt x="1834442" y="332227"/>
                  </a:lnTo>
                  <a:lnTo>
                    <a:pt x="1853963" y="332227"/>
                  </a:lnTo>
                  <a:lnTo>
                    <a:pt x="1873461" y="332227"/>
                  </a:lnTo>
                  <a:lnTo>
                    <a:pt x="1892981" y="332227"/>
                  </a:lnTo>
                  <a:lnTo>
                    <a:pt x="1912480" y="312701"/>
                  </a:lnTo>
                  <a:lnTo>
                    <a:pt x="1932000" y="312701"/>
                  </a:lnTo>
                  <a:lnTo>
                    <a:pt x="1951498" y="312701"/>
                  </a:lnTo>
                  <a:lnTo>
                    <a:pt x="1971018" y="293178"/>
                  </a:lnTo>
                  <a:lnTo>
                    <a:pt x="1990539" y="293178"/>
                  </a:lnTo>
                  <a:lnTo>
                    <a:pt x="2010037" y="273652"/>
                  </a:lnTo>
                  <a:lnTo>
                    <a:pt x="2029557" y="254127"/>
                  </a:lnTo>
                  <a:lnTo>
                    <a:pt x="2049055" y="234604"/>
                  </a:lnTo>
                  <a:lnTo>
                    <a:pt x="2068576" y="234604"/>
                  </a:lnTo>
                  <a:lnTo>
                    <a:pt x="2088074" y="234604"/>
                  </a:lnTo>
                  <a:lnTo>
                    <a:pt x="2107594" y="234604"/>
                  </a:lnTo>
                  <a:lnTo>
                    <a:pt x="2127115" y="234604"/>
                  </a:lnTo>
                  <a:lnTo>
                    <a:pt x="2146613" y="234604"/>
                  </a:lnTo>
                  <a:lnTo>
                    <a:pt x="2166133" y="234604"/>
                  </a:lnTo>
                  <a:lnTo>
                    <a:pt x="2185631" y="215078"/>
                  </a:lnTo>
                  <a:lnTo>
                    <a:pt x="2205152" y="234604"/>
                  </a:lnTo>
                  <a:lnTo>
                    <a:pt x="2224650" y="254127"/>
                  </a:lnTo>
                  <a:lnTo>
                    <a:pt x="2244170" y="254127"/>
                  </a:lnTo>
                  <a:lnTo>
                    <a:pt x="2263668" y="273652"/>
                  </a:lnTo>
                  <a:lnTo>
                    <a:pt x="2263668" y="293178"/>
                  </a:lnTo>
                  <a:lnTo>
                    <a:pt x="2283188" y="312701"/>
                  </a:lnTo>
                  <a:lnTo>
                    <a:pt x="2302709" y="332227"/>
                  </a:lnTo>
                  <a:lnTo>
                    <a:pt x="2322207" y="351750"/>
                  </a:lnTo>
                  <a:lnTo>
                    <a:pt x="2322207" y="371282"/>
                  </a:lnTo>
                  <a:lnTo>
                    <a:pt x="2341727" y="390794"/>
                  </a:lnTo>
                  <a:lnTo>
                    <a:pt x="2341727" y="410328"/>
                  </a:lnTo>
                  <a:lnTo>
                    <a:pt x="2361225" y="429840"/>
                  </a:lnTo>
                  <a:lnTo>
                    <a:pt x="2380746" y="449375"/>
                  </a:lnTo>
                  <a:lnTo>
                    <a:pt x="2400244" y="449375"/>
                  </a:lnTo>
                  <a:lnTo>
                    <a:pt x="2419764" y="449375"/>
                  </a:lnTo>
                  <a:lnTo>
                    <a:pt x="2439285" y="449375"/>
                  </a:lnTo>
                  <a:lnTo>
                    <a:pt x="2458783" y="449375"/>
                  </a:lnTo>
                  <a:lnTo>
                    <a:pt x="2478303" y="449375"/>
                  </a:lnTo>
                  <a:lnTo>
                    <a:pt x="2497801" y="449375"/>
                  </a:lnTo>
                </a:path>
              </a:pathLst>
            </a:custGeom>
            <a:noFill/>
            <a:ln w="9436" cap="sq">
              <a:solidFill>
                <a:srgbClr val="FF0000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4" name="Forma libre: forma 123">
              <a:extLst>
                <a:ext uri="{FF2B5EF4-FFF2-40B4-BE49-F238E27FC236}">
                  <a16:creationId xmlns:a16="http://schemas.microsoft.com/office/drawing/2014/main" id="{00000000-0008-0000-0400-00007C000000}"/>
                </a:ext>
              </a:extLst>
            </xdr:cNvPr>
            <xdr:cNvSpPr/>
          </xdr:nvSpPr>
          <xdr:spPr>
            <a:xfrm>
              <a:off x="8820298" y="1796849"/>
              <a:ext cx="240669" cy="47556"/>
            </a:xfrm>
            <a:custGeom>
              <a:avLst/>
              <a:gdLst>
                <a:gd name="connsiteX0" fmla="*/ 442 w 956021"/>
                <a:gd name="connsiteY0" fmla="*/ 97930 h 195245"/>
                <a:gd name="connsiteX1" fmla="*/ 19954 w 956021"/>
                <a:gd name="connsiteY1" fmla="*/ 97930 h 195245"/>
                <a:gd name="connsiteX2" fmla="*/ 39463 w 956021"/>
                <a:gd name="connsiteY2" fmla="*/ 97930 h 195245"/>
                <a:gd name="connsiteX3" fmla="*/ 58975 w 956021"/>
                <a:gd name="connsiteY3" fmla="*/ 97930 h 195245"/>
                <a:gd name="connsiteX4" fmla="*/ 78486 w 956021"/>
                <a:gd name="connsiteY4" fmla="*/ 78404 h 195245"/>
                <a:gd name="connsiteX5" fmla="*/ 97995 w 956021"/>
                <a:gd name="connsiteY5" fmla="*/ 97930 h 195245"/>
                <a:gd name="connsiteX6" fmla="*/ 117507 w 956021"/>
                <a:gd name="connsiteY6" fmla="*/ 78404 h 195245"/>
                <a:gd name="connsiteX7" fmla="*/ 137018 w 956021"/>
                <a:gd name="connsiteY7" fmla="*/ 58879 h 195245"/>
                <a:gd name="connsiteX8" fmla="*/ 156527 w 956021"/>
                <a:gd name="connsiteY8" fmla="*/ 58879 h 195245"/>
                <a:gd name="connsiteX9" fmla="*/ 156527 w 956021"/>
                <a:gd name="connsiteY9" fmla="*/ 39355 h 195245"/>
                <a:gd name="connsiteX10" fmla="*/ 176039 w 956021"/>
                <a:gd name="connsiteY10" fmla="*/ 19830 h 195245"/>
                <a:gd name="connsiteX11" fmla="*/ 195550 w 956021"/>
                <a:gd name="connsiteY11" fmla="*/ 19830 h 195245"/>
                <a:gd name="connsiteX12" fmla="*/ 215060 w 956021"/>
                <a:gd name="connsiteY12" fmla="*/ 19830 h 195245"/>
                <a:gd name="connsiteX13" fmla="*/ 234571 w 956021"/>
                <a:gd name="connsiteY13" fmla="*/ 19830 h 195245"/>
                <a:gd name="connsiteX14" fmla="*/ 254081 w 956021"/>
                <a:gd name="connsiteY14" fmla="*/ 19830 h 195245"/>
                <a:gd name="connsiteX15" fmla="*/ 273592 w 956021"/>
                <a:gd name="connsiteY15" fmla="*/ 307 h 195245"/>
                <a:gd name="connsiteX16" fmla="*/ 293103 w 956021"/>
                <a:gd name="connsiteY16" fmla="*/ 307 h 195245"/>
                <a:gd name="connsiteX17" fmla="*/ 312613 w 956021"/>
                <a:gd name="connsiteY17" fmla="*/ 307 h 195245"/>
                <a:gd name="connsiteX18" fmla="*/ 332124 w 956021"/>
                <a:gd name="connsiteY18" fmla="*/ 19830 h 195245"/>
                <a:gd name="connsiteX19" fmla="*/ 351635 w 956021"/>
                <a:gd name="connsiteY19" fmla="*/ 39355 h 195245"/>
                <a:gd name="connsiteX20" fmla="*/ 371145 w 956021"/>
                <a:gd name="connsiteY20" fmla="*/ 39355 h 195245"/>
                <a:gd name="connsiteX21" fmla="*/ 390656 w 956021"/>
                <a:gd name="connsiteY21" fmla="*/ 58879 h 195245"/>
                <a:gd name="connsiteX22" fmla="*/ 410167 w 956021"/>
                <a:gd name="connsiteY22" fmla="*/ 58879 h 195245"/>
                <a:gd name="connsiteX23" fmla="*/ 429677 w 956021"/>
                <a:gd name="connsiteY23" fmla="*/ 78404 h 195245"/>
                <a:gd name="connsiteX24" fmla="*/ 449188 w 956021"/>
                <a:gd name="connsiteY24" fmla="*/ 97930 h 195245"/>
                <a:gd name="connsiteX25" fmla="*/ 468698 w 956021"/>
                <a:gd name="connsiteY25" fmla="*/ 78404 h 195245"/>
                <a:gd name="connsiteX26" fmla="*/ 488209 w 956021"/>
                <a:gd name="connsiteY26" fmla="*/ 58879 h 195245"/>
                <a:gd name="connsiteX27" fmla="*/ 507720 w 956021"/>
                <a:gd name="connsiteY27" fmla="*/ 58879 h 195245"/>
                <a:gd name="connsiteX28" fmla="*/ 527230 w 956021"/>
                <a:gd name="connsiteY28" fmla="*/ 78404 h 195245"/>
                <a:gd name="connsiteX29" fmla="*/ 546741 w 956021"/>
                <a:gd name="connsiteY29" fmla="*/ 97930 h 195245"/>
                <a:gd name="connsiteX30" fmla="*/ 566252 w 956021"/>
                <a:gd name="connsiteY30" fmla="*/ 97930 h 195245"/>
                <a:gd name="connsiteX31" fmla="*/ 585762 w 956021"/>
                <a:gd name="connsiteY31" fmla="*/ 117453 h 195245"/>
                <a:gd name="connsiteX32" fmla="*/ 605273 w 956021"/>
                <a:gd name="connsiteY32" fmla="*/ 117453 h 195245"/>
                <a:gd name="connsiteX33" fmla="*/ 624784 w 956021"/>
                <a:gd name="connsiteY33" fmla="*/ 97930 h 195245"/>
                <a:gd name="connsiteX34" fmla="*/ 644294 w 956021"/>
                <a:gd name="connsiteY34" fmla="*/ 97930 h 195245"/>
                <a:gd name="connsiteX35" fmla="*/ 663806 w 956021"/>
                <a:gd name="connsiteY35" fmla="*/ 97930 h 195245"/>
                <a:gd name="connsiteX36" fmla="*/ 683315 w 956021"/>
                <a:gd name="connsiteY36" fmla="*/ 78404 h 195245"/>
                <a:gd name="connsiteX37" fmla="*/ 702826 w 956021"/>
                <a:gd name="connsiteY37" fmla="*/ 78404 h 195245"/>
                <a:gd name="connsiteX38" fmla="*/ 722338 w 956021"/>
                <a:gd name="connsiteY38" fmla="*/ 78404 h 195245"/>
                <a:gd name="connsiteX39" fmla="*/ 741847 w 956021"/>
                <a:gd name="connsiteY39" fmla="*/ 78404 h 195245"/>
                <a:gd name="connsiteX40" fmla="*/ 761359 w 956021"/>
                <a:gd name="connsiteY40" fmla="*/ 78404 h 195245"/>
                <a:gd name="connsiteX41" fmla="*/ 780870 w 956021"/>
                <a:gd name="connsiteY41" fmla="*/ 97930 h 195245"/>
                <a:gd name="connsiteX42" fmla="*/ 800379 w 956021"/>
                <a:gd name="connsiteY42" fmla="*/ 117453 h 195245"/>
                <a:gd name="connsiteX43" fmla="*/ 800379 w 956021"/>
                <a:gd name="connsiteY43" fmla="*/ 136978 h 195245"/>
                <a:gd name="connsiteX44" fmla="*/ 800379 w 956021"/>
                <a:gd name="connsiteY44" fmla="*/ 156504 h 195245"/>
                <a:gd name="connsiteX45" fmla="*/ 819891 w 956021"/>
                <a:gd name="connsiteY45" fmla="*/ 176027 h 195245"/>
                <a:gd name="connsiteX46" fmla="*/ 839400 w 956021"/>
                <a:gd name="connsiteY46" fmla="*/ 176027 h 195245"/>
                <a:gd name="connsiteX47" fmla="*/ 858911 w 956021"/>
                <a:gd name="connsiteY47" fmla="*/ 195553 h 195245"/>
                <a:gd name="connsiteX48" fmla="*/ 878423 w 956021"/>
                <a:gd name="connsiteY48" fmla="*/ 195553 h 195245"/>
                <a:gd name="connsiteX49" fmla="*/ 897932 w 956021"/>
                <a:gd name="connsiteY49" fmla="*/ 195553 h 195245"/>
                <a:gd name="connsiteX50" fmla="*/ 917444 w 956021"/>
                <a:gd name="connsiteY50" fmla="*/ 176027 h 195245"/>
                <a:gd name="connsiteX51" fmla="*/ 936955 w 956021"/>
                <a:gd name="connsiteY51" fmla="*/ 195553 h 195245"/>
                <a:gd name="connsiteX52" fmla="*/ 944247 w 956021"/>
                <a:gd name="connsiteY52" fmla="*/ 195479 h 195245"/>
                <a:gd name="connsiteX53" fmla="*/ 956464 w 956021"/>
                <a:gd name="connsiteY53" fmla="*/ 195553 h 19524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</a:cxnLst>
              <a:rect l="l" t="t" r="r" b="b"/>
              <a:pathLst>
                <a:path w="956021" h="195245">
                  <a:moveTo>
                    <a:pt x="442" y="97930"/>
                  </a:moveTo>
                  <a:lnTo>
                    <a:pt x="19954" y="97930"/>
                  </a:lnTo>
                  <a:lnTo>
                    <a:pt x="39463" y="97930"/>
                  </a:lnTo>
                  <a:lnTo>
                    <a:pt x="58975" y="97930"/>
                  </a:lnTo>
                  <a:lnTo>
                    <a:pt x="78486" y="78404"/>
                  </a:lnTo>
                  <a:lnTo>
                    <a:pt x="97995" y="97930"/>
                  </a:lnTo>
                  <a:lnTo>
                    <a:pt x="117507" y="78404"/>
                  </a:lnTo>
                  <a:lnTo>
                    <a:pt x="137018" y="58879"/>
                  </a:lnTo>
                  <a:lnTo>
                    <a:pt x="156527" y="58879"/>
                  </a:lnTo>
                  <a:lnTo>
                    <a:pt x="156527" y="39355"/>
                  </a:lnTo>
                  <a:lnTo>
                    <a:pt x="176039" y="19830"/>
                  </a:lnTo>
                  <a:lnTo>
                    <a:pt x="195550" y="19830"/>
                  </a:lnTo>
                  <a:lnTo>
                    <a:pt x="215060" y="19830"/>
                  </a:lnTo>
                  <a:lnTo>
                    <a:pt x="234571" y="19830"/>
                  </a:lnTo>
                  <a:lnTo>
                    <a:pt x="254081" y="19830"/>
                  </a:lnTo>
                  <a:lnTo>
                    <a:pt x="273592" y="307"/>
                  </a:lnTo>
                  <a:lnTo>
                    <a:pt x="293103" y="307"/>
                  </a:lnTo>
                  <a:lnTo>
                    <a:pt x="312613" y="307"/>
                  </a:lnTo>
                  <a:lnTo>
                    <a:pt x="332124" y="19830"/>
                  </a:lnTo>
                  <a:lnTo>
                    <a:pt x="351635" y="39355"/>
                  </a:lnTo>
                  <a:lnTo>
                    <a:pt x="371145" y="39355"/>
                  </a:lnTo>
                  <a:lnTo>
                    <a:pt x="390656" y="58879"/>
                  </a:lnTo>
                  <a:lnTo>
                    <a:pt x="410167" y="58879"/>
                  </a:lnTo>
                  <a:lnTo>
                    <a:pt x="429677" y="78404"/>
                  </a:lnTo>
                  <a:lnTo>
                    <a:pt x="449188" y="97930"/>
                  </a:lnTo>
                  <a:lnTo>
                    <a:pt x="468698" y="78404"/>
                  </a:lnTo>
                  <a:lnTo>
                    <a:pt x="488209" y="58879"/>
                  </a:lnTo>
                  <a:lnTo>
                    <a:pt x="507720" y="58879"/>
                  </a:lnTo>
                  <a:lnTo>
                    <a:pt x="527230" y="78404"/>
                  </a:lnTo>
                  <a:lnTo>
                    <a:pt x="546741" y="97930"/>
                  </a:lnTo>
                  <a:lnTo>
                    <a:pt x="566252" y="97930"/>
                  </a:lnTo>
                  <a:lnTo>
                    <a:pt x="585762" y="117453"/>
                  </a:lnTo>
                  <a:lnTo>
                    <a:pt x="605273" y="117453"/>
                  </a:lnTo>
                  <a:lnTo>
                    <a:pt x="624784" y="97930"/>
                  </a:lnTo>
                  <a:lnTo>
                    <a:pt x="644294" y="97930"/>
                  </a:lnTo>
                  <a:lnTo>
                    <a:pt x="663806" y="97930"/>
                  </a:lnTo>
                  <a:lnTo>
                    <a:pt x="683315" y="78404"/>
                  </a:lnTo>
                  <a:lnTo>
                    <a:pt x="702826" y="78404"/>
                  </a:lnTo>
                  <a:lnTo>
                    <a:pt x="722338" y="78404"/>
                  </a:lnTo>
                  <a:lnTo>
                    <a:pt x="741847" y="78404"/>
                  </a:lnTo>
                  <a:lnTo>
                    <a:pt x="761359" y="78404"/>
                  </a:lnTo>
                  <a:lnTo>
                    <a:pt x="780870" y="97930"/>
                  </a:lnTo>
                  <a:lnTo>
                    <a:pt x="800379" y="117453"/>
                  </a:lnTo>
                  <a:lnTo>
                    <a:pt x="800379" y="136978"/>
                  </a:lnTo>
                  <a:lnTo>
                    <a:pt x="800379" y="156504"/>
                  </a:lnTo>
                  <a:lnTo>
                    <a:pt x="819891" y="176027"/>
                  </a:lnTo>
                  <a:lnTo>
                    <a:pt x="839400" y="176027"/>
                  </a:lnTo>
                  <a:lnTo>
                    <a:pt x="858911" y="195553"/>
                  </a:lnTo>
                  <a:lnTo>
                    <a:pt x="878423" y="195553"/>
                  </a:lnTo>
                  <a:lnTo>
                    <a:pt x="897932" y="195553"/>
                  </a:lnTo>
                  <a:lnTo>
                    <a:pt x="917444" y="176027"/>
                  </a:lnTo>
                  <a:lnTo>
                    <a:pt x="936955" y="195553"/>
                  </a:lnTo>
                  <a:lnTo>
                    <a:pt x="944247" y="195479"/>
                  </a:lnTo>
                  <a:lnTo>
                    <a:pt x="956464" y="195553"/>
                  </a:lnTo>
                </a:path>
              </a:pathLst>
            </a:custGeom>
            <a:noFill/>
            <a:ln w="8276" cap="sq">
              <a:solidFill>
                <a:srgbClr val="FF0000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5" name="Forma libre: forma 124">
              <a:extLst>
                <a:ext uri="{FF2B5EF4-FFF2-40B4-BE49-F238E27FC236}">
                  <a16:creationId xmlns:a16="http://schemas.microsoft.com/office/drawing/2014/main" id="{00000000-0008-0000-0400-00007D000000}"/>
                </a:ext>
              </a:extLst>
            </xdr:cNvPr>
            <xdr:cNvSpPr/>
          </xdr:nvSpPr>
          <xdr:spPr>
            <a:xfrm>
              <a:off x="9228322" y="2168797"/>
              <a:ext cx="172242" cy="61568"/>
            </a:xfrm>
            <a:custGeom>
              <a:avLst/>
              <a:gdLst>
                <a:gd name="connsiteX0" fmla="*/ 442 w 682872"/>
                <a:gd name="connsiteY0" fmla="*/ 215073 h 253813"/>
                <a:gd name="connsiteX1" fmla="*/ 19952 w 682872"/>
                <a:gd name="connsiteY1" fmla="*/ 215073 h 253813"/>
                <a:gd name="connsiteX2" fmla="*/ 39463 w 682872"/>
                <a:gd name="connsiteY2" fmla="*/ 215073 h 253813"/>
                <a:gd name="connsiteX3" fmla="*/ 58974 w 682872"/>
                <a:gd name="connsiteY3" fmla="*/ 215073 h 253813"/>
                <a:gd name="connsiteX4" fmla="*/ 78484 w 682872"/>
                <a:gd name="connsiteY4" fmla="*/ 215073 h 253813"/>
                <a:gd name="connsiteX5" fmla="*/ 97995 w 682872"/>
                <a:gd name="connsiteY5" fmla="*/ 215073 h 253813"/>
                <a:gd name="connsiteX6" fmla="*/ 117507 w 682872"/>
                <a:gd name="connsiteY6" fmla="*/ 234586 h 253813"/>
                <a:gd name="connsiteX7" fmla="*/ 137016 w 682872"/>
                <a:gd name="connsiteY7" fmla="*/ 254120 h 253813"/>
                <a:gd name="connsiteX8" fmla="*/ 156527 w 682872"/>
                <a:gd name="connsiteY8" fmla="*/ 234586 h 253813"/>
                <a:gd name="connsiteX9" fmla="*/ 176039 w 682872"/>
                <a:gd name="connsiteY9" fmla="*/ 234586 h 253813"/>
                <a:gd name="connsiteX10" fmla="*/ 195548 w 682872"/>
                <a:gd name="connsiteY10" fmla="*/ 215073 h 253813"/>
                <a:gd name="connsiteX11" fmla="*/ 215059 w 682872"/>
                <a:gd name="connsiteY11" fmla="*/ 215073 h 253813"/>
                <a:gd name="connsiteX12" fmla="*/ 234569 w 682872"/>
                <a:gd name="connsiteY12" fmla="*/ 195539 h 253813"/>
                <a:gd name="connsiteX13" fmla="*/ 254080 w 682872"/>
                <a:gd name="connsiteY13" fmla="*/ 195539 h 253813"/>
                <a:gd name="connsiteX14" fmla="*/ 273592 w 682872"/>
                <a:gd name="connsiteY14" fmla="*/ 176027 h 253813"/>
                <a:gd name="connsiteX15" fmla="*/ 293101 w 682872"/>
                <a:gd name="connsiteY15" fmla="*/ 156493 h 253813"/>
                <a:gd name="connsiteX16" fmla="*/ 312612 w 682872"/>
                <a:gd name="connsiteY16" fmla="*/ 156493 h 253813"/>
                <a:gd name="connsiteX17" fmla="*/ 332124 w 682872"/>
                <a:gd name="connsiteY17" fmla="*/ 136980 h 253813"/>
                <a:gd name="connsiteX18" fmla="*/ 351633 w 682872"/>
                <a:gd name="connsiteY18" fmla="*/ 136980 h 253813"/>
                <a:gd name="connsiteX19" fmla="*/ 371145 w 682872"/>
                <a:gd name="connsiteY19" fmla="*/ 136980 h 253813"/>
                <a:gd name="connsiteX20" fmla="*/ 390654 w 682872"/>
                <a:gd name="connsiteY20" fmla="*/ 117446 h 253813"/>
                <a:gd name="connsiteX21" fmla="*/ 410165 w 682872"/>
                <a:gd name="connsiteY21" fmla="*/ 136980 h 253813"/>
                <a:gd name="connsiteX22" fmla="*/ 429677 w 682872"/>
                <a:gd name="connsiteY22" fmla="*/ 136980 h 253813"/>
                <a:gd name="connsiteX23" fmla="*/ 449186 w 682872"/>
                <a:gd name="connsiteY23" fmla="*/ 136980 h 253813"/>
                <a:gd name="connsiteX24" fmla="*/ 468698 w 682872"/>
                <a:gd name="connsiteY24" fmla="*/ 117446 h 253813"/>
                <a:gd name="connsiteX25" fmla="*/ 488209 w 682872"/>
                <a:gd name="connsiteY25" fmla="*/ 97934 h 253813"/>
                <a:gd name="connsiteX26" fmla="*/ 507718 w 682872"/>
                <a:gd name="connsiteY26" fmla="*/ 97934 h 253813"/>
                <a:gd name="connsiteX27" fmla="*/ 527230 w 682872"/>
                <a:gd name="connsiteY27" fmla="*/ 97934 h 253813"/>
                <a:gd name="connsiteX28" fmla="*/ 546741 w 682872"/>
                <a:gd name="connsiteY28" fmla="*/ 97934 h 253813"/>
                <a:gd name="connsiteX29" fmla="*/ 566250 w 682872"/>
                <a:gd name="connsiteY29" fmla="*/ 97934 h 253813"/>
                <a:gd name="connsiteX30" fmla="*/ 585762 w 682872"/>
                <a:gd name="connsiteY30" fmla="*/ 78399 h 253813"/>
                <a:gd name="connsiteX31" fmla="*/ 605271 w 682872"/>
                <a:gd name="connsiteY31" fmla="*/ 58865 h 253813"/>
                <a:gd name="connsiteX32" fmla="*/ 624783 w 682872"/>
                <a:gd name="connsiteY32" fmla="*/ 58865 h 253813"/>
                <a:gd name="connsiteX33" fmla="*/ 644294 w 682872"/>
                <a:gd name="connsiteY33" fmla="*/ 58865 h 253813"/>
                <a:gd name="connsiteX34" fmla="*/ 663803 w 682872"/>
                <a:gd name="connsiteY34" fmla="*/ 39353 h 253813"/>
                <a:gd name="connsiteX35" fmla="*/ 683315 w 682872"/>
                <a:gd name="connsiteY35" fmla="*/ 19819 h 253813"/>
                <a:gd name="connsiteX36" fmla="*/ 683315 w 682872"/>
                <a:gd name="connsiteY36" fmla="*/ 306 h 25381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</a:cxnLst>
              <a:rect l="l" t="t" r="r" b="b"/>
              <a:pathLst>
                <a:path w="682872" h="253813">
                  <a:moveTo>
                    <a:pt x="442" y="215073"/>
                  </a:moveTo>
                  <a:lnTo>
                    <a:pt x="19952" y="215073"/>
                  </a:lnTo>
                  <a:lnTo>
                    <a:pt x="39463" y="215073"/>
                  </a:lnTo>
                  <a:lnTo>
                    <a:pt x="58974" y="215073"/>
                  </a:lnTo>
                  <a:lnTo>
                    <a:pt x="78484" y="215073"/>
                  </a:lnTo>
                  <a:lnTo>
                    <a:pt x="97995" y="215073"/>
                  </a:lnTo>
                  <a:lnTo>
                    <a:pt x="117507" y="234586"/>
                  </a:lnTo>
                  <a:lnTo>
                    <a:pt x="137016" y="254120"/>
                  </a:lnTo>
                  <a:lnTo>
                    <a:pt x="156527" y="234586"/>
                  </a:lnTo>
                  <a:lnTo>
                    <a:pt x="176039" y="234586"/>
                  </a:lnTo>
                  <a:lnTo>
                    <a:pt x="195548" y="215073"/>
                  </a:lnTo>
                  <a:lnTo>
                    <a:pt x="215059" y="215073"/>
                  </a:lnTo>
                  <a:lnTo>
                    <a:pt x="234569" y="195539"/>
                  </a:lnTo>
                  <a:lnTo>
                    <a:pt x="254080" y="195539"/>
                  </a:lnTo>
                  <a:lnTo>
                    <a:pt x="273592" y="176027"/>
                  </a:lnTo>
                  <a:lnTo>
                    <a:pt x="293101" y="156493"/>
                  </a:lnTo>
                  <a:lnTo>
                    <a:pt x="312612" y="156493"/>
                  </a:lnTo>
                  <a:lnTo>
                    <a:pt x="332124" y="136980"/>
                  </a:lnTo>
                  <a:lnTo>
                    <a:pt x="351633" y="136980"/>
                  </a:lnTo>
                  <a:lnTo>
                    <a:pt x="371145" y="136980"/>
                  </a:lnTo>
                  <a:lnTo>
                    <a:pt x="390654" y="117446"/>
                  </a:lnTo>
                  <a:lnTo>
                    <a:pt x="410165" y="136980"/>
                  </a:lnTo>
                  <a:lnTo>
                    <a:pt x="429677" y="136980"/>
                  </a:lnTo>
                  <a:lnTo>
                    <a:pt x="449186" y="136980"/>
                  </a:lnTo>
                  <a:lnTo>
                    <a:pt x="468698" y="117446"/>
                  </a:lnTo>
                  <a:lnTo>
                    <a:pt x="488209" y="97934"/>
                  </a:lnTo>
                  <a:lnTo>
                    <a:pt x="507718" y="97934"/>
                  </a:lnTo>
                  <a:lnTo>
                    <a:pt x="527230" y="97934"/>
                  </a:lnTo>
                  <a:lnTo>
                    <a:pt x="546741" y="97934"/>
                  </a:lnTo>
                  <a:lnTo>
                    <a:pt x="566250" y="97934"/>
                  </a:lnTo>
                  <a:lnTo>
                    <a:pt x="585762" y="78399"/>
                  </a:lnTo>
                  <a:lnTo>
                    <a:pt x="605271" y="58865"/>
                  </a:lnTo>
                  <a:lnTo>
                    <a:pt x="624783" y="58865"/>
                  </a:lnTo>
                  <a:lnTo>
                    <a:pt x="644294" y="58865"/>
                  </a:lnTo>
                  <a:lnTo>
                    <a:pt x="663803" y="39353"/>
                  </a:lnTo>
                  <a:lnTo>
                    <a:pt x="683315" y="19819"/>
                  </a:lnTo>
                  <a:lnTo>
                    <a:pt x="683315" y="306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6" name="Forma libre: forma 125">
              <a:extLst>
                <a:ext uri="{FF2B5EF4-FFF2-40B4-BE49-F238E27FC236}">
                  <a16:creationId xmlns:a16="http://schemas.microsoft.com/office/drawing/2014/main" id="{00000000-0008-0000-0400-00007E000000}"/>
                </a:ext>
              </a:extLst>
            </xdr:cNvPr>
            <xdr:cNvSpPr/>
          </xdr:nvSpPr>
          <xdr:spPr>
            <a:xfrm>
              <a:off x="9385901" y="2244381"/>
              <a:ext cx="19551" cy="28867"/>
            </a:xfrm>
            <a:custGeom>
              <a:avLst/>
              <a:gdLst>
                <a:gd name="connsiteX0" fmla="*/ 58974 w 78043"/>
                <a:gd name="connsiteY0" fmla="*/ 117446 h 117139"/>
                <a:gd name="connsiteX1" fmla="*/ 78486 w 78043"/>
                <a:gd name="connsiteY1" fmla="*/ 97934 h 117139"/>
                <a:gd name="connsiteX2" fmla="*/ 58974 w 78043"/>
                <a:gd name="connsiteY2" fmla="*/ 78399 h 117139"/>
                <a:gd name="connsiteX3" fmla="*/ 58974 w 78043"/>
                <a:gd name="connsiteY3" fmla="*/ 58865 h 117139"/>
                <a:gd name="connsiteX4" fmla="*/ 39463 w 78043"/>
                <a:gd name="connsiteY4" fmla="*/ 39353 h 117139"/>
                <a:gd name="connsiteX5" fmla="*/ 39463 w 78043"/>
                <a:gd name="connsiteY5" fmla="*/ 19819 h 117139"/>
                <a:gd name="connsiteX6" fmla="*/ 19954 w 78043"/>
                <a:gd name="connsiteY6" fmla="*/ 19819 h 117139"/>
                <a:gd name="connsiteX7" fmla="*/ 11062 w 78043"/>
                <a:gd name="connsiteY7" fmla="*/ 10994 h 117139"/>
                <a:gd name="connsiteX8" fmla="*/ 442 w 78043"/>
                <a:gd name="connsiteY8" fmla="*/ 306 h 1171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78043" h="117139">
                  <a:moveTo>
                    <a:pt x="58974" y="117446"/>
                  </a:moveTo>
                  <a:lnTo>
                    <a:pt x="78486" y="97934"/>
                  </a:lnTo>
                  <a:lnTo>
                    <a:pt x="58974" y="78399"/>
                  </a:lnTo>
                  <a:lnTo>
                    <a:pt x="58974" y="58865"/>
                  </a:lnTo>
                  <a:lnTo>
                    <a:pt x="39463" y="39353"/>
                  </a:lnTo>
                  <a:lnTo>
                    <a:pt x="39463" y="19819"/>
                  </a:lnTo>
                  <a:lnTo>
                    <a:pt x="19954" y="19819"/>
                  </a:lnTo>
                  <a:lnTo>
                    <a:pt x="11062" y="10994"/>
                  </a:lnTo>
                  <a:lnTo>
                    <a:pt x="442" y="306"/>
                  </a:lnTo>
                </a:path>
              </a:pathLst>
            </a:custGeom>
            <a:noFill/>
            <a:ln w="641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7" name="Forma libre: forma 126">
              <a:extLst>
                <a:ext uri="{FF2B5EF4-FFF2-40B4-BE49-F238E27FC236}">
                  <a16:creationId xmlns:a16="http://schemas.microsoft.com/office/drawing/2014/main" id="{00000000-0008-0000-0400-00007F000000}"/>
                </a:ext>
              </a:extLst>
            </xdr:cNvPr>
            <xdr:cNvSpPr/>
          </xdr:nvSpPr>
          <xdr:spPr>
            <a:xfrm>
              <a:off x="9444553" y="2006602"/>
              <a:ext cx="83188" cy="147338"/>
            </a:xfrm>
            <a:custGeom>
              <a:avLst/>
              <a:gdLst>
                <a:gd name="connsiteX0" fmla="*/ 442 w 331688"/>
                <a:gd name="connsiteY0" fmla="*/ 605561 h 605254"/>
                <a:gd name="connsiteX1" fmla="*/ 19951 w 331688"/>
                <a:gd name="connsiteY1" fmla="*/ 586027 h 605254"/>
                <a:gd name="connsiteX2" fmla="*/ 39463 w 331688"/>
                <a:gd name="connsiteY2" fmla="*/ 566514 h 605254"/>
                <a:gd name="connsiteX3" fmla="*/ 19951 w 331688"/>
                <a:gd name="connsiteY3" fmla="*/ 546980 h 605254"/>
                <a:gd name="connsiteX4" fmla="*/ 19951 w 331688"/>
                <a:gd name="connsiteY4" fmla="*/ 527468 h 605254"/>
                <a:gd name="connsiteX5" fmla="*/ 19951 w 331688"/>
                <a:gd name="connsiteY5" fmla="*/ 507934 h 605254"/>
                <a:gd name="connsiteX6" fmla="*/ 39463 w 331688"/>
                <a:gd name="connsiteY6" fmla="*/ 488421 h 605254"/>
                <a:gd name="connsiteX7" fmla="*/ 58974 w 331688"/>
                <a:gd name="connsiteY7" fmla="*/ 468887 h 605254"/>
                <a:gd name="connsiteX8" fmla="*/ 78484 w 331688"/>
                <a:gd name="connsiteY8" fmla="*/ 468887 h 605254"/>
                <a:gd name="connsiteX9" fmla="*/ 97995 w 331688"/>
                <a:gd name="connsiteY9" fmla="*/ 468887 h 605254"/>
                <a:gd name="connsiteX10" fmla="*/ 117506 w 331688"/>
                <a:gd name="connsiteY10" fmla="*/ 449375 h 605254"/>
                <a:gd name="connsiteX11" fmla="*/ 137016 w 331688"/>
                <a:gd name="connsiteY11" fmla="*/ 429841 h 605254"/>
                <a:gd name="connsiteX12" fmla="*/ 156527 w 331688"/>
                <a:gd name="connsiteY12" fmla="*/ 410306 h 605254"/>
                <a:gd name="connsiteX13" fmla="*/ 156527 w 331688"/>
                <a:gd name="connsiteY13" fmla="*/ 390794 h 605254"/>
                <a:gd name="connsiteX14" fmla="*/ 156527 w 331688"/>
                <a:gd name="connsiteY14" fmla="*/ 371260 h 605254"/>
                <a:gd name="connsiteX15" fmla="*/ 156527 w 331688"/>
                <a:gd name="connsiteY15" fmla="*/ 351747 h 605254"/>
                <a:gd name="connsiteX16" fmla="*/ 137016 w 331688"/>
                <a:gd name="connsiteY16" fmla="*/ 332213 h 605254"/>
                <a:gd name="connsiteX17" fmla="*/ 137016 w 331688"/>
                <a:gd name="connsiteY17" fmla="*/ 312701 h 605254"/>
                <a:gd name="connsiteX18" fmla="*/ 137016 w 331688"/>
                <a:gd name="connsiteY18" fmla="*/ 293167 h 605254"/>
                <a:gd name="connsiteX19" fmla="*/ 137016 w 331688"/>
                <a:gd name="connsiteY19" fmla="*/ 273632 h 605254"/>
                <a:gd name="connsiteX20" fmla="*/ 117506 w 331688"/>
                <a:gd name="connsiteY20" fmla="*/ 254120 h 605254"/>
                <a:gd name="connsiteX21" fmla="*/ 117506 w 331688"/>
                <a:gd name="connsiteY21" fmla="*/ 234586 h 605254"/>
                <a:gd name="connsiteX22" fmla="*/ 137016 w 331688"/>
                <a:gd name="connsiteY22" fmla="*/ 234586 h 605254"/>
                <a:gd name="connsiteX23" fmla="*/ 156527 w 331688"/>
                <a:gd name="connsiteY23" fmla="*/ 215073 h 605254"/>
                <a:gd name="connsiteX24" fmla="*/ 176034 w 331688"/>
                <a:gd name="connsiteY24" fmla="*/ 195539 h 605254"/>
                <a:gd name="connsiteX25" fmla="*/ 176034 w 331688"/>
                <a:gd name="connsiteY25" fmla="*/ 176027 h 605254"/>
                <a:gd name="connsiteX26" fmla="*/ 176034 w 331688"/>
                <a:gd name="connsiteY26" fmla="*/ 156493 h 605254"/>
                <a:gd name="connsiteX27" fmla="*/ 195554 w 331688"/>
                <a:gd name="connsiteY27" fmla="*/ 156493 h 605254"/>
                <a:gd name="connsiteX28" fmla="*/ 215053 w 331688"/>
                <a:gd name="connsiteY28" fmla="*/ 156493 h 605254"/>
                <a:gd name="connsiteX29" fmla="*/ 234573 w 331688"/>
                <a:gd name="connsiteY29" fmla="*/ 156493 h 605254"/>
                <a:gd name="connsiteX30" fmla="*/ 254071 w 331688"/>
                <a:gd name="connsiteY30" fmla="*/ 156493 h 605254"/>
                <a:gd name="connsiteX31" fmla="*/ 273591 w 331688"/>
                <a:gd name="connsiteY31" fmla="*/ 156493 h 605254"/>
                <a:gd name="connsiteX32" fmla="*/ 293112 w 331688"/>
                <a:gd name="connsiteY32" fmla="*/ 136958 h 605254"/>
                <a:gd name="connsiteX33" fmla="*/ 312610 w 331688"/>
                <a:gd name="connsiteY33" fmla="*/ 117446 h 605254"/>
                <a:gd name="connsiteX34" fmla="*/ 312610 w 331688"/>
                <a:gd name="connsiteY34" fmla="*/ 97912 h 605254"/>
                <a:gd name="connsiteX35" fmla="*/ 312610 w 331688"/>
                <a:gd name="connsiteY35" fmla="*/ 78400 h 605254"/>
                <a:gd name="connsiteX36" fmla="*/ 312610 w 331688"/>
                <a:gd name="connsiteY36" fmla="*/ 58865 h 605254"/>
                <a:gd name="connsiteX37" fmla="*/ 312610 w 331688"/>
                <a:gd name="connsiteY37" fmla="*/ 39353 h 605254"/>
                <a:gd name="connsiteX38" fmla="*/ 332130 w 331688"/>
                <a:gd name="connsiteY38" fmla="*/ 19819 h 605254"/>
                <a:gd name="connsiteX39" fmla="*/ 332130 w 331688"/>
                <a:gd name="connsiteY39" fmla="*/ 307 h 60525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</a:cxnLst>
              <a:rect l="l" t="t" r="r" b="b"/>
              <a:pathLst>
                <a:path w="331688" h="605254">
                  <a:moveTo>
                    <a:pt x="442" y="605561"/>
                  </a:moveTo>
                  <a:lnTo>
                    <a:pt x="19951" y="586027"/>
                  </a:lnTo>
                  <a:lnTo>
                    <a:pt x="39463" y="566514"/>
                  </a:lnTo>
                  <a:lnTo>
                    <a:pt x="19951" y="546980"/>
                  </a:lnTo>
                  <a:lnTo>
                    <a:pt x="19951" y="527468"/>
                  </a:lnTo>
                  <a:lnTo>
                    <a:pt x="19951" y="507934"/>
                  </a:lnTo>
                  <a:lnTo>
                    <a:pt x="39463" y="488421"/>
                  </a:lnTo>
                  <a:lnTo>
                    <a:pt x="58974" y="468887"/>
                  </a:lnTo>
                  <a:lnTo>
                    <a:pt x="78484" y="468887"/>
                  </a:lnTo>
                  <a:lnTo>
                    <a:pt x="97995" y="468887"/>
                  </a:lnTo>
                  <a:lnTo>
                    <a:pt x="117506" y="449375"/>
                  </a:lnTo>
                  <a:lnTo>
                    <a:pt x="137016" y="429841"/>
                  </a:lnTo>
                  <a:lnTo>
                    <a:pt x="156527" y="410306"/>
                  </a:lnTo>
                  <a:lnTo>
                    <a:pt x="156527" y="390794"/>
                  </a:lnTo>
                  <a:lnTo>
                    <a:pt x="156527" y="371260"/>
                  </a:lnTo>
                  <a:lnTo>
                    <a:pt x="156527" y="351747"/>
                  </a:lnTo>
                  <a:lnTo>
                    <a:pt x="137016" y="332213"/>
                  </a:lnTo>
                  <a:lnTo>
                    <a:pt x="137016" y="312701"/>
                  </a:lnTo>
                  <a:lnTo>
                    <a:pt x="137016" y="293167"/>
                  </a:lnTo>
                  <a:lnTo>
                    <a:pt x="137016" y="273632"/>
                  </a:lnTo>
                  <a:lnTo>
                    <a:pt x="117506" y="254120"/>
                  </a:lnTo>
                  <a:lnTo>
                    <a:pt x="117506" y="234586"/>
                  </a:lnTo>
                  <a:lnTo>
                    <a:pt x="137016" y="234586"/>
                  </a:lnTo>
                  <a:lnTo>
                    <a:pt x="156527" y="215073"/>
                  </a:lnTo>
                  <a:lnTo>
                    <a:pt x="176034" y="195539"/>
                  </a:lnTo>
                  <a:lnTo>
                    <a:pt x="176034" y="176027"/>
                  </a:lnTo>
                  <a:lnTo>
                    <a:pt x="176034" y="156493"/>
                  </a:lnTo>
                  <a:lnTo>
                    <a:pt x="195554" y="156493"/>
                  </a:lnTo>
                  <a:lnTo>
                    <a:pt x="215053" y="156493"/>
                  </a:lnTo>
                  <a:lnTo>
                    <a:pt x="234573" y="156493"/>
                  </a:lnTo>
                  <a:lnTo>
                    <a:pt x="254071" y="156493"/>
                  </a:lnTo>
                  <a:lnTo>
                    <a:pt x="273591" y="156493"/>
                  </a:lnTo>
                  <a:lnTo>
                    <a:pt x="293112" y="136958"/>
                  </a:lnTo>
                  <a:lnTo>
                    <a:pt x="312610" y="117446"/>
                  </a:lnTo>
                  <a:lnTo>
                    <a:pt x="312610" y="97912"/>
                  </a:lnTo>
                  <a:lnTo>
                    <a:pt x="312610" y="78400"/>
                  </a:lnTo>
                  <a:lnTo>
                    <a:pt x="312610" y="58865"/>
                  </a:lnTo>
                  <a:lnTo>
                    <a:pt x="312610" y="39353"/>
                  </a:lnTo>
                  <a:lnTo>
                    <a:pt x="332130" y="19819"/>
                  </a:lnTo>
                  <a:lnTo>
                    <a:pt x="332130" y="307"/>
                  </a:lnTo>
                </a:path>
              </a:pathLst>
            </a:custGeom>
            <a:noFill/>
            <a:ln w="11103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8" name="Forma libre: forma 127">
              <a:extLst>
                <a:ext uri="{FF2B5EF4-FFF2-40B4-BE49-F238E27FC236}">
                  <a16:creationId xmlns:a16="http://schemas.microsoft.com/office/drawing/2014/main" id="{00000000-0008-0000-0400-000080000000}"/>
                </a:ext>
              </a:extLst>
            </xdr:cNvPr>
            <xdr:cNvSpPr/>
          </xdr:nvSpPr>
          <xdr:spPr>
            <a:xfrm>
              <a:off x="9400564" y="2153940"/>
              <a:ext cx="43989" cy="14856"/>
            </a:xfrm>
            <a:custGeom>
              <a:avLst/>
              <a:gdLst>
                <a:gd name="connsiteX0" fmla="*/ 442 w 175596"/>
                <a:gd name="connsiteY0" fmla="*/ 58887 h 58580"/>
                <a:gd name="connsiteX1" fmla="*/ 19954 w 175596"/>
                <a:gd name="connsiteY1" fmla="*/ 39353 h 58580"/>
                <a:gd name="connsiteX2" fmla="*/ 39463 w 175596"/>
                <a:gd name="connsiteY2" fmla="*/ 19841 h 58580"/>
                <a:gd name="connsiteX3" fmla="*/ 58974 w 175596"/>
                <a:gd name="connsiteY3" fmla="*/ 19841 h 58580"/>
                <a:gd name="connsiteX4" fmla="*/ 78486 w 175596"/>
                <a:gd name="connsiteY4" fmla="*/ 39353 h 58580"/>
                <a:gd name="connsiteX5" fmla="*/ 97995 w 175596"/>
                <a:gd name="connsiteY5" fmla="*/ 19841 h 58580"/>
                <a:gd name="connsiteX6" fmla="*/ 117506 w 175596"/>
                <a:gd name="connsiteY6" fmla="*/ 19841 h 58580"/>
                <a:gd name="connsiteX7" fmla="*/ 137016 w 175596"/>
                <a:gd name="connsiteY7" fmla="*/ 39353 h 58580"/>
                <a:gd name="connsiteX8" fmla="*/ 156527 w 175596"/>
                <a:gd name="connsiteY8" fmla="*/ 19841 h 58580"/>
                <a:gd name="connsiteX9" fmla="*/ 176039 w 175596"/>
                <a:gd name="connsiteY9" fmla="*/ 306 h 5858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175596" h="58580">
                  <a:moveTo>
                    <a:pt x="442" y="58887"/>
                  </a:moveTo>
                  <a:lnTo>
                    <a:pt x="19954" y="39353"/>
                  </a:lnTo>
                  <a:lnTo>
                    <a:pt x="39463" y="19841"/>
                  </a:lnTo>
                  <a:lnTo>
                    <a:pt x="58974" y="19841"/>
                  </a:lnTo>
                  <a:lnTo>
                    <a:pt x="78486" y="39353"/>
                  </a:lnTo>
                  <a:lnTo>
                    <a:pt x="97995" y="19841"/>
                  </a:lnTo>
                  <a:lnTo>
                    <a:pt x="117506" y="19841"/>
                  </a:lnTo>
                  <a:lnTo>
                    <a:pt x="137016" y="39353"/>
                  </a:lnTo>
                  <a:lnTo>
                    <a:pt x="156527" y="19841"/>
                  </a:lnTo>
                  <a:lnTo>
                    <a:pt x="176039" y="306"/>
                  </a:lnTo>
                </a:path>
              </a:pathLst>
            </a:custGeom>
            <a:noFill/>
            <a:ln w="1079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29" name="Forma libre: forma 128">
              <a:extLst>
                <a:ext uri="{FF2B5EF4-FFF2-40B4-BE49-F238E27FC236}">
                  <a16:creationId xmlns:a16="http://schemas.microsoft.com/office/drawing/2014/main" id="{00000000-0008-0000-0400-000081000000}"/>
                </a:ext>
              </a:extLst>
            </xdr:cNvPr>
            <xdr:cNvSpPr/>
          </xdr:nvSpPr>
          <xdr:spPr>
            <a:xfrm>
              <a:off x="9385901" y="2168797"/>
              <a:ext cx="24438" cy="42884"/>
            </a:xfrm>
            <a:custGeom>
              <a:avLst/>
              <a:gdLst>
                <a:gd name="connsiteX0" fmla="*/ 442 w 97552"/>
                <a:gd name="connsiteY0" fmla="*/ 176027 h 175720"/>
                <a:gd name="connsiteX1" fmla="*/ 19954 w 97552"/>
                <a:gd name="connsiteY1" fmla="*/ 156493 h 175720"/>
                <a:gd name="connsiteX2" fmla="*/ 39463 w 97552"/>
                <a:gd name="connsiteY2" fmla="*/ 156493 h 175720"/>
                <a:gd name="connsiteX3" fmla="*/ 58974 w 97552"/>
                <a:gd name="connsiteY3" fmla="*/ 136980 h 175720"/>
                <a:gd name="connsiteX4" fmla="*/ 78486 w 97552"/>
                <a:gd name="connsiteY4" fmla="*/ 136980 h 175720"/>
                <a:gd name="connsiteX5" fmla="*/ 78486 w 97552"/>
                <a:gd name="connsiteY5" fmla="*/ 117446 h 175720"/>
                <a:gd name="connsiteX6" fmla="*/ 97995 w 97552"/>
                <a:gd name="connsiteY6" fmla="*/ 97934 h 175720"/>
                <a:gd name="connsiteX7" fmla="*/ 97995 w 97552"/>
                <a:gd name="connsiteY7" fmla="*/ 78399 h 175720"/>
                <a:gd name="connsiteX8" fmla="*/ 97995 w 97552"/>
                <a:gd name="connsiteY8" fmla="*/ 58865 h 175720"/>
                <a:gd name="connsiteX9" fmla="*/ 97995 w 97552"/>
                <a:gd name="connsiteY9" fmla="*/ 39353 h 175720"/>
                <a:gd name="connsiteX10" fmla="*/ 78486 w 97552"/>
                <a:gd name="connsiteY10" fmla="*/ 19819 h 175720"/>
                <a:gd name="connsiteX11" fmla="*/ 70948 w 97552"/>
                <a:gd name="connsiteY11" fmla="*/ 12369 h 175720"/>
                <a:gd name="connsiteX12" fmla="*/ 58974 w 97552"/>
                <a:gd name="connsiteY12" fmla="*/ 306 h 17572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97552" h="175720">
                  <a:moveTo>
                    <a:pt x="442" y="176027"/>
                  </a:moveTo>
                  <a:lnTo>
                    <a:pt x="19954" y="156493"/>
                  </a:lnTo>
                  <a:lnTo>
                    <a:pt x="39463" y="156493"/>
                  </a:lnTo>
                  <a:lnTo>
                    <a:pt x="58974" y="136980"/>
                  </a:lnTo>
                  <a:lnTo>
                    <a:pt x="78486" y="136980"/>
                  </a:lnTo>
                  <a:lnTo>
                    <a:pt x="78486" y="117446"/>
                  </a:lnTo>
                  <a:lnTo>
                    <a:pt x="97995" y="97934"/>
                  </a:lnTo>
                  <a:lnTo>
                    <a:pt x="97995" y="78399"/>
                  </a:lnTo>
                  <a:lnTo>
                    <a:pt x="97995" y="58865"/>
                  </a:lnTo>
                  <a:lnTo>
                    <a:pt x="97995" y="39353"/>
                  </a:lnTo>
                  <a:lnTo>
                    <a:pt x="78486" y="19819"/>
                  </a:lnTo>
                  <a:lnTo>
                    <a:pt x="70948" y="12369"/>
                  </a:lnTo>
                  <a:lnTo>
                    <a:pt x="58974" y="306"/>
                  </a:lnTo>
                </a:path>
              </a:pathLst>
            </a:custGeom>
            <a:noFill/>
            <a:ln w="979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0" name="Forma libre: forma 129">
              <a:extLst>
                <a:ext uri="{FF2B5EF4-FFF2-40B4-BE49-F238E27FC236}">
                  <a16:creationId xmlns:a16="http://schemas.microsoft.com/office/drawing/2014/main" id="{00000000-0008-0000-0400-000082000000}"/>
                </a:ext>
              </a:extLst>
            </xdr:cNvPr>
            <xdr:cNvSpPr/>
          </xdr:nvSpPr>
          <xdr:spPr>
            <a:xfrm>
              <a:off x="9381013" y="2211681"/>
              <a:ext cx="4888" cy="32700"/>
            </a:xfrm>
            <a:custGeom>
              <a:avLst/>
              <a:gdLst>
                <a:gd name="connsiteX0" fmla="*/ 19954 w 19511"/>
                <a:gd name="connsiteY0" fmla="*/ 136980 h 136673"/>
                <a:gd name="connsiteX1" fmla="*/ 19954 w 19511"/>
                <a:gd name="connsiteY1" fmla="*/ 117446 h 136673"/>
                <a:gd name="connsiteX2" fmla="*/ 19954 w 19511"/>
                <a:gd name="connsiteY2" fmla="*/ 97934 h 136673"/>
                <a:gd name="connsiteX3" fmla="*/ 442 w 19511"/>
                <a:gd name="connsiteY3" fmla="*/ 78399 h 136673"/>
                <a:gd name="connsiteX4" fmla="*/ 442 w 19511"/>
                <a:gd name="connsiteY4" fmla="*/ 58865 h 136673"/>
                <a:gd name="connsiteX5" fmla="*/ 442 w 19511"/>
                <a:gd name="connsiteY5" fmla="*/ 39353 h 136673"/>
                <a:gd name="connsiteX6" fmla="*/ 19954 w 19511"/>
                <a:gd name="connsiteY6" fmla="*/ 19819 h 136673"/>
                <a:gd name="connsiteX7" fmla="*/ 19954 w 19511"/>
                <a:gd name="connsiteY7" fmla="*/ 306 h 1366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9511" h="136673">
                  <a:moveTo>
                    <a:pt x="19954" y="136980"/>
                  </a:moveTo>
                  <a:lnTo>
                    <a:pt x="19954" y="117446"/>
                  </a:lnTo>
                  <a:lnTo>
                    <a:pt x="19954" y="97934"/>
                  </a:lnTo>
                  <a:lnTo>
                    <a:pt x="442" y="78399"/>
                  </a:lnTo>
                  <a:lnTo>
                    <a:pt x="442" y="58865"/>
                  </a:lnTo>
                  <a:lnTo>
                    <a:pt x="442" y="39353"/>
                  </a:lnTo>
                  <a:lnTo>
                    <a:pt x="19954" y="19819"/>
                  </a:lnTo>
                  <a:lnTo>
                    <a:pt x="19954" y="306"/>
                  </a:lnTo>
                </a:path>
              </a:pathLst>
            </a:custGeom>
            <a:noFill/>
            <a:ln w="9436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1" name="Forma libre: forma 130">
              <a:extLst>
                <a:ext uri="{FF2B5EF4-FFF2-40B4-BE49-F238E27FC236}">
                  <a16:creationId xmlns:a16="http://schemas.microsoft.com/office/drawing/2014/main" id="{00000000-0008-0000-0400-000083000000}"/>
                </a:ext>
              </a:extLst>
            </xdr:cNvPr>
            <xdr:cNvSpPr/>
          </xdr:nvSpPr>
          <xdr:spPr>
            <a:xfrm>
              <a:off x="9630377" y="1982403"/>
              <a:ext cx="15838" cy="62409"/>
            </a:xfrm>
            <a:custGeom>
              <a:avLst/>
              <a:gdLst>
                <a:gd name="connsiteX0" fmla="*/ 442 w 58538"/>
                <a:gd name="connsiteY0" fmla="*/ 254120 h 253813"/>
                <a:gd name="connsiteX1" fmla="*/ 442 w 58538"/>
                <a:gd name="connsiteY1" fmla="*/ 234585 h 253813"/>
                <a:gd name="connsiteX2" fmla="*/ 442 w 58538"/>
                <a:gd name="connsiteY2" fmla="*/ 215073 h 253813"/>
                <a:gd name="connsiteX3" fmla="*/ 442 w 58538"/>
                <a:gd name="connsiteY3" fmla="*/ 195539 h 253813"/>
                <a:gd name="connsiteX4" fmla="*/ 442 w 58538"/>
                <a:gd name="connsiteY4" fmla="*/ 176027 h 253813"/>
                <a:gd name="connsiteX5" fmla="*/ 19962 w 58538"/>
                <a:gd name="connsiteY5" fmla="*/ 156492 h 253813"/>
                <a:gd name="connsiteX6" fmla="*/ 19962 w 58538"/>
                <a:gd name="connsiteY6" fmla="*/ 136980 h 253813"/>
                <a:gd name="connsiteX7" fmla="*/ 442 w 58538"/>
                <a:gd name="connsiteY7" fmla="*/ 117446 h 253813"/>
                <a:gd name="connsiteX8" fmla="*/ 442 w 58538"/>
                <a:gd name="connsiteY8" fmla="*/ 97934 h 253813"/>
                <a:gd name="connsiteX9" fmla="*/ 442 w 58538"/>
                <a:gd name="connsiteY9" fmla="*/ 78400 h 253813"/>
                <a:gd name="connsiteX10" fmla="*/ 19962 w 58538"/>
                <a:gd name="connsiteY10" fmla="*/ 58865 h 253813"/>
                <a:gd name="connsiteX11" fmla="*/ 19962 w 58538"/>
                <a:gd name="connsiteY11" fmla="*/ 39353 h 253813"/>
                <a:gd name="connsiteX12" fmla="*/ 39483 w 58538"/>
                <a:gd name="connsiteY12" fmla="*/ 19819 h 253813"/>
                <a:gd name="connsiteX13" fmla="*/ 39483 w 58538"/>
                <a:gd name="connsiteY13" fmla="*/ 307 h 253813"/>
                <a:gd name="connsiteX14" fmla="*/ 58981 w 58538"/>
                <a:gd name="connsiteY14" fmla="*/ 307 h 25381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58538" h="253813">
                  <a:moveTo>
                    <a:pt x="442" y="254120"/>
                  </a:moveTo>
                  <a:lnTo>
                    <a:pt x="442" y="234585"/>
                  </a:lnTo>
                  <a:lnTo>
                    <a:pt x="442" y="215073"/>
                  </a:lnTo>
                  <a:lnTo>
                    <a:pt x="442" y="195539"/>
                  </a:lnTo>
                  <a:lnTo>
                    <a:pt x="442" y="176027"/>
                  </a:lnTo>
                  <a:lnTo>
                    <a:pt x="19962" y="156492"/>
                  </a:lnTo>
                  <a:lnTo>
                    <a:pt x="19962" y="136980"/>
                  </a:lnTo>
                  <a:lnTo>
                    <a:pt x="442" y="117446"/>
                  </a:lnTo>
                  <a:lnTo>
                    <a:pt x="442" y="97934"/>
                  </a:lnTo>
                  <a:lnTo>
                    <a:pt x="442" y="78400"/>
                  </a:lnTo>
                  <a:lnTo>
                    <a:pt x="19962" y="58865"/>
                  </a:lnTo>
                  <a:lnTo>
                    <a:pt x="19962" y="39353"/>
                  </a:lnTo>
                  <a:lnTo>
                    <a:pt x="39483" y="19819"/>
                  </a:lnTo>
                  <a:lnTo>
                    <a:pt x="39483" y="307"/>
                  </a:lnTo>
                  <a:lnTo>
                    <a:pt x="58981" y="307"/>
                  </a:lnTo>
                </a:path>
              </a:pathLst>
            </a:custGeom>
            <a:noFill/>
            <a:ln w="641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2" name="Forma libre: forma 131">
              <a:extLst>
                <a:ext uri="{FF2B5EF4-FFF2-40B4-BE49-F238E27FC236}">
                  <a16:creationId xmlns:a16="http://schemas.microsoft.com/office/drawing/2014/main" id="{00000000-0008-0000-0400-000084000000}"/>
                </a:ext>
              </a:extLst>
            </xdr:cNvPr>
            <xdr:cNvSpPr/>
          </xdr:nvSpPr>
          <xdr:spPr>
            <a:xfrm>
              <a:off x="9665764" y="1982403"/>
              <a:ext cx="117307" cy="100626"/>
            </a:xfrm>
            <a:custGeom>
              <a:avLst/>
              <a:gdLst>
                <a:gd name="connsiteX0" fmla="*/ 468708 w 468266"/>
                <a:gd name="connsiteY0" fmla="*/ 410328 h 410021"/>
                <a:gd name="connsiteX1" fmla="*/ 468708 w 468266"/>
                <a:gd name="connsiteY1" fmla="*/ 390794 h 410021"/>
                <a:gd name="connsiteX2" fmla="*/ 449188 w 468266"/>
                <a:gd name="connsiteY2" fmla="*/ 371259 h 410021"/>
                <a:gd name="connsiteX3" fmla="*/ 429690 w 468266"/>
                <a:gd name="connsiteY3" fmla="*/ 351747 h 410021"/>
                <a:gd name="connsiteX4" fmla="*/ 410169 w 468266"/>
                <a:gd name="connsiteY4" fmla="*/ 351747 h 410021"/>
                <a:gd name="connsiteX5" fmla="*/ 390671 w 468266"/>
                <a:gd name="connsiteY5" fmla="*/ 332213 h 410021"/>
                <a:gd name="connsiteX6" fmla="*/ 371151 w 468266"/>
                <a:gd name="connsiteY6" fmla="*/ 312701 h 410021"/>
                <a:gd name="connsiteX7" fmla="*/ 371151 w 468266"/>
                <a:gd name="connsiteY7" fmla="*/ 293166 h 410021"/>
                <a:gd name="connsiteX8" fmla="*/ 351653 w 468266"/>
                <a:gd name="connsiteY8" fmla="*/ 273654 h 410021"/>
                <a:gd name="connsiteX9" fmla="*/ 351653 w 468266"/>
                <a:gd name="connsiteY9" fmla="*/ 254120 h 410021"/>
                <a:gd name="connsiteX10" fmla="*/ 332132 w 468266"/>
                <a:gd name="connsiteY10" fmla="*/ 234585 h 410021"/>
                <a:gd name="connsiteX11" fmla="*/ 312612 w 468266"/>
                <a:gd name="connsiteY11" fmla="*/ 215073 h 410021"/>
                <a:gd name="connsiteX12" fmla="*/ 293114 w 468266"/>
                <a:gd name="connsiteY12" fmla="*/ 195539 h 410021"/>
                <a:gd name="connsiteX13" fmla="*/ 273593 w 468266"/>
                <a:gd name="connsiteY13" fmla="*/ 195539 h 410021"/>
                <a:gd name="connsiteX14" fmla="*/ 254095 w 468266"/>
                <a:gd name="connsiteY14" fmla="*/ 195539 h 410021"/>
                <a:gd name="connsiteX15" fmla="*/ 234575 w 468266"/>
                <a:gd name="connsiteY15" fmla="*/ 176027 h 410021"/>
                <a:gd name="connsiteX16" fmla="*/ 215077 w 468266"/>
                <a:gd name="connsiteY16" fmla="*/ 156492 h 410021"/>
                <a:gd name="connsiteX17" fmla="*/ 195557 w 468266"/>
                <a:gd name="connsiteY17" fmla="*/ 136980 h 410021"/>
                <a:gd name="connsiteX18" fmla="*/ 176036 w 468266"/>
                <a:gd name="connsiteY18" fmla="*/ 117446 h 410021"/>
                <a:gd name="connsiteX19" fmla="*/ 156538 w 468266"/>
                <a:gd name="connsiteY19" fmla="*/ 97934 h 410021"/>
                <a:gd name="connsiteX20" fmla="*/ 156538 w 468266"/>
                <a:gd name="connsiteY20" fmla="*/ 78400 h 410021"/>
                <a:gd name="connsiteX21" fmla="*/ 137018 w 468266"/>
                <a:gd name="connsiteY21" fmla="*/ 58865 h 410021"/>
                <a:gd name="connsiteX22" fmla="*/ 117520 w 468266"/>
                <a:gd name="connsiteY22" fmla="*/ 58865 h 410021"/>
                <a:gd name="connsiteX23" fmla="*/ 97999 w 468266"/>
                <a:gd name="connsiteY23" fmla="*/ 58865 h 410021"/>
                <a:gd name="connsiteX24" fmla="*/ 78501 w 468266"/>
                <a:gd name="connsiteY24" fmla="*/ 58865 h 410021"/>
                <a:gd name="connsiteX25" fmla="*/ 58981 w 468266"/>
                <a:gd name="connsiteY25" fmla="*/ 39353 h 410021"/>
                <a:gd name="connsiteX26" fmla="*/ 39483 w 468266"/>
                <a:gd name="connsiteY26" fmla="*/ 39353 h 410021"/>
                <a:gd name="connsiteX27" fmla="*/ 19962 w 468266"/>
                <a:gd name="connsiteY27" fmla="*/ 19819 h 410021"/>
                <a:gd name="connsiteX28" fmla="*/ 442 w 468266"/>
                <a:gd name="connsiteY28" fmla="*/ 307 h 41002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</a:cxnLst>
              <a:rect l="l" t="t" r="r" b="b"/>
              <a:pathLst>
                <a:path w="468266" h="410021">
                  <a:moveTo>
                    <a:pt x="468708" y="410328"/>
                  </a:moveTo>
                  <a:lnTo>
                    <a:pt x="468708" y="390794"/>
                  </a:lnTo>
                  <a:lnTo>
                    <a:pt x="449188" y="371259"/>
                  </a:lnTo>
                  <a:lnTo>
                    <a:pt x="429690" y="351747"/>
                  </a:lnTo>
                  <a:lnTo>
                    <a:pt x="410169" y="351747"/>
                  </a:lnTo>
                  <a:lnTo>
                    <a:pt x="390671" y="332213"/>
                  </a:lnTo>
                  <a:lnTo>
                    <a:pt x="371151" y="312701"/>
                  </a:lnTo>
                  <a:lnTo>
                    <a:pt x="371151" y="293166"/>
                  </a:lnTo>
                  <a:lnTo>
                    <a:pt x="351653" y="273654"/>
                  </a:lnTo>
                  <a:lnTo>
                    <a:pt x="351653" y="254120"/>
                  </a:lnTo>
                  <a:lnTo>
                    <a:pt x="332132" y="234585"/>
                  </a:lnTo>
                  <a:lnTo>
                    <a:pt x="312612" y="215073"/>
                  </a:lnTo>
                  <a:lnTo>
                    <a:pt x="293114" y="195539"/>
                  </a:lnTo>
                  <a:lnTo>
                    <a:pt x="273593" y="195539"/>
                  </a:lnTo>
                  <a:lnTo>
                    <a:pt x="254095" y="195539"/>
                  </a:lnTo>
                  <a:lnTo>
                    <a:pt x="234575" y="176027"/>
                  </a:lnTo>
                  <a:lnTo>
                    <a:pt x="215077" y="156492"/>
                  </a:lnTo>
                  <a:lnTo>
                    <a:pt x="195557" y="136980"/>
                  </a:lnTo>
                  <a:lnTo>
                    <a:pt x="176036" y="117446"/>
                  </a:lnTo>
                  <a:lnTo>
                    <a:pt x="156538" y="97934"/>
                  </a:lnTo>
                  <a:lnTo>
                    <a:pt x="156538" y="78400"/>
                  </a:lnTo>
                  <a:lnTo>
                    <a:pt x="137018" y="58865"/>
                  </a:lnTo>
                  <a:lnTo>
                    <a:pt x="117520" y="58865"/>
                  </a:lnTo>
                  <a:lnTo>
                    <a:pt x="97999" y="58865"/>
                  </a:lnTo>
                  <a:lnTo>
                    <a:pt x="78501" y="58865"/>
                  </a:lnTo>
                  <a:lnTo>
                    <a:pt x="58981" y="39353"/>
                  </a:lnTo>
                  <a:lnTo>
                    <a:pt x="39483" y="39353"/>
                  </a:lnTo>
                  <a:lnTo>
                    <a:pt x="19962" y="19819"/>
                  </a:lnTo>
                  <a:lnTo>
                    <a:pt x="442" y="307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3" name="Forma libre: forma 132">
              <a:extLst>
                <a:ext uri="{FF2B5EF4-FFF2-40B4-BE49-F238E27FC236}">
                  <a16:creationId xmlns:a16="http://schemas.microsoft.com/office/drawing/2014/main" id="{00000000-0008-0000-0400-000085000000}"/>
                </a:ext>
              </a:extLst>
            </xdr:cNvPr>
            <xdr:cNvSpPr/>
          </xdr:nvSpPr>
          <xdr:spPr>
            <a:xfrm>
              <a:off x="9071917" y="2020613"/>
              <a:ext cx="196680" cy="47558"/>
            </a:xfrm>
            <a:custGeom>
              <a:avLst/>
              <a:gdLst>
                <a:gd name="connsiteX0" fmla="*/ 442 w 780425"/>
                <a:gd name="connsiteY0" fmla="*/ 176027 h 195254"/>
                <a:gd name="connsiteX1" fmla="*/ 19951 w 780425"/>
                <a:gd name="connsiteY1" fmla="*/ 176027 h 195254"/>
                <a:gd name="connsiteX2" fmla="*/ 39463 w 780425"/>
                <a:gd name="connsiteY2" fmla="*/ 156515 h 195254"/>
                <a:gd name="connsiteX3" fmla="*/ 58972 w 780425"/>
                <a:gd name="connsiteY3" fmla="*/ 156515 h 195254"/>
                <a:gd name="connsiteX4" fmla="*/ 78484 w 780425"/>
                <a:gd name="connsiteY4" fmla="*/ 176027 h 195254"/>
                <a:gd name="connsiteX5" fmla="*/ 97995 w 780425"/>
                <a:gd name="connsiteY5" fmla="*/ 176027 h 195254"/>
                <a:gd name="connsiteX6" fmla="*/ 117504 w 780425"/>
                <a:gd name="connsiteY6" fmla="*/ 176027 h 195254"/>
                <a:gd name="connsiteX7" fmla="*/ 137016 w 780425"/>
                <a:gd name="connsiteY7" fmla="*/ 195561 h 195254"/>
                <a:gd name="connsiteX8" fmla="*/ 156527 w 780425"/>
                <a:gd name="connsiteY8" fmla="*/ 195561 h 195254"/>
                <a:gd name="connsiteX9" fmla="*/ 176037 w 780425"/>
                <a:gd name="connsiteY9" fmla="*/ 195561 h 195254"/>
                <a:gd name="connsiteX10" fmla="*/ 195548 w 780425"/>
                <a:gd name="connsiteY10" fmla="*/ 195561 h 195254"/>
                <a:gd name="connsiteX11" fmla="*/ 215057 w 780425"/>
                <a:gd name="connsiteY11" fmla="*/ 176027 h 195254"/>
                <a:gd name="connsiteX12" fmla="*/ 234569 w 780425"/>
                <a:gd name="connsiteY12" fmla="*/ 176027 h 195254"/>
                <a:gd name="connsiteX13" fmla="*/ 254080 w 780425"/>
                <a:gd name="connsiteY13" fmla="*/ 176027 h 195254"/>
                <a:gd name="connsiteX14" fmla="*/ 273589 w 780425"/>
                <a:gd name="connsiteY14" fmla="*/ 176027 h 195254"/>
                <a:gd name="connsiteX15" fmla="*/ 293101 w 780425"/>
                <a:gd name="connsiteY15" fmla="*/ 156515 h 195254"/>
                <a:gd name="connsiteX16" fmla="*/ 312612 w 780425"/>
                <a:gd name="connsiteY16" fmla="*/ 156515 h 195254"/>
                <a:gd name="connsiteX17" fmla="*/ 332122 w 780425"/>
                <a:gd name="connsiteY17" fmla="*/ 136980 h 195254"/>
                <a:gd name="connsiteX18" fmla="*/ 351633 w 780425"/>
                <a:gd name="connsiteY18" fmla="*/ 136980 h 195254"/>
                <a:gd name="connsiteX19" fmla="*/ 371145 w 780425"/>
                <a:gd name="connsiteY19" fmla="*/ 136980 h 195254"/>
                <a:gd name="connsiteX20" fmla="*/ 390654 w 780425"/>
                <a:gd name="connsiteY20" fmla="*/ 136980 h 195254"/>
                <a:gd name="connsiteX21" fmla="*/ 410165 w 780425"/>
                <a:gd name="connsiteY21" fmla="*/ 136980 h 195254"/>
                <a:gd name="connsiteX22" fmla="*/ 429675 w 780425"/>
                <a:gd name="connsiteY22" fmla="*/ 136980 h 195254"/>
                <a:gd name="connsiteX23" fmla="*/ 449186 w 780425"/>
                <a:gd name="connsiteY23" fmla="*/ 136980 h 195254"/>
                <a:gd name="connsiteX24" fmla="*/ 468697 w 780425"/>
                <a:gd name="connsiteY24" fmla="*/ 136980 h 195254"/>
                <a:gd name="connsiteX25" fmla="*/ 488207 w 780425"/>
                <a:gd name="connsiteY25" fmla="*/ 136980 h 195254"/>
                <a:gd name="connsiteX26" fmla="*/ 507718 w 780425"/>
                <a:gd name="connsiteY26" fmla="*/ 156515 h 195254"/>
                <a:gd name="connsiteX27" fmla="*/ 527230 w 780425"/>
                <a:gd name="connsiteY27" fmla="*/ 136980 h 195254"/>
                <a:gd name="connsiteX28" fmla="*/ 546739 w 780425"/>
                <a:gd name="connsiteY28" fmla="*/ 117468 h 195254"/>
                <a:gd name="connsiteX29" fmla="*/ 566250 w 780425"/>
                <a:gd name="connsiteY29" fmla="*/ 117468 h 195254"/>
                <a:gd name="connsiteX30" fmla="*/ 585762 w 780425"/>
                <a:gd name="connsiteY30" fmla="*/ 117468 h 195254"/>
                <a:gd name="connsiteX31" fmla="*/ 605271 w 780425"/>
                <a:gd name="connsiteY31" fmla="*/ 117468 h 195254"/>
                <a:gd name="connsiteX32" fmla="*/ 624783 w 780425"/>
                <a:gd name="connsiteY32" fmla="*/ 97934 h 195254"/>
                <a:gd name="connsiteX33" fmla="*/ 624783 w 780425"/>
                <a:gd name="connsiteY33" fmla="*/ 78400 h 195254"/>
                <a:gd name="connsiteX34" fmla="*/ 644292 w 780425"/>
                <a:gd name="connsiteY34" fmla="*/ 58888 h 195254"/>
                <a:gd name="connsiteX35" fmla="*/ 644292 w 780425"/>
                <a:gd name="connsiteY35" fmla="*/ 39353 h 195254"/>
                <a:gd name="connsiteX36" fmla="*/ 663803 w 780425"/>
                <a:gd name="connsiteY36" fmla="*/ 19841 h 195254"/>
                <a:gd name="connsiteX37" fmla="*/ 683315 w 780425"/>
                <a:gd name="connsiteY37" fmla="*/ 307 h 195254"/>
                <a:gd name="connsiteX38" fmla="*/ 702824 w 780425"/>
                <a:gd name="connsiteY38" fmla="*/ 307 h 195254"/>
                <a:gd name="connsiteX39" fmla="*/ 722335 w 780425"/>
                <a:gd name="connsiteY39" fmla="*/ 307 h 195254"/>
                <a:gd name="connsiteX40" fmla="*/ 741847 w 780425"/>
                <a:gd name="connsiteY40" fmla="*/ 19841 h 195254"/>
                <a:gd name="connsiteX41" fmla="*/ 761356 w 780425"/>
                <a:gd name="connsiteY41" fmla="*/ 19841 h 195254"/>
                <a:gd name="connsiteX42" fmla="*/ 780868 w 780425"/>
                <a:gd name="connsiteY42" fmla="*/ 39353 h 19525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</a:cxnLst>
              <a:rect l="l" t="t" r="r" b="b"/>
              <a:pathLst>
                <a:path w="780425" h="195254">
                  <a:moveTo>
                    <a:pt x="442" y="176027"/>
                  </a:moveTo>
                  <a:lnTo>
                    <a:pt x="19951" y="176027"/>
                  </a:lnTo>
                  <a:lnTo>
                    <a:pt x="39463" y="156515"/>
                  </a:lnTo>
                  <a:lnTo>
                    <a:pt x="58972" y="156515"/>
                  </a:lnTo>
                  <a:lnTo>
                    <a:pt x="78484" y="176027"/>
                  </a:lnTo>
                  <a:lnTo>
                    <a:pt x="97995" y="176027"/>
                  </a:lnTo>
                  <a:lnTo>
                    <a:pt x="117504" y="176027"/>
                  </a:lnTo>
                  <a:lnTo>
                    <a:pt x="137016" y="195561"/>
                  </a:lnTo>
                  <a:lnTo>
                    <a:pt x="156527" y="195561"/>
                  </a:lnTo>
                  <a:lnTo>
                    <a:pt x="176037" y="195561"/>
                  </a:lnTo>
                  <a:lnTo>
                    <a:pt x="195548" y="195561"/>
                  </a:lnTo>
                  <a:lnTo>
                    <a:pt x="215057" y="176027"/>
                  </a:lnTo>
                  <a:lnTo>
                    <a:pt x="234569" y="176027"/>
                  </a:lnTo>
                  <a:lnTo>
                    <a:pt x="254080" y="176027"/>
                  </a:lnTo>
                  <a:lnTo>
                    <a:pt x="273589" y="176027"/>
                  </a:lnTo>
                  <a:lnTo>
                    <a:pt x="293101" y="156515"/>
                  </a:lnTo>
                  <a:lnTo>
                    <a:pt x="312612" y="156515"/>
                  </a:lnTo>
                  <a:lnTo>
                    <a:pt x="332122" y="136980"/>
                  </a:lnTo>
                  <a:lnTo>
                    <a:pt x="351633" y="136980"/>
                  </a:lnTo>
                  <a:lnTo>
                    <a:pt x="371145" y="136980"/>
                  </a:lnTo>
                  <a:lnTo>
                    <a:pt x="390654" y="136980"/>
                  </a:lnTo>
                  <a:lnTo>
                    <a:pt x="410165" y="136980"/>
                  </a:lnTo>
                  <a:lnTo>
                    <a:pt x="429675" y="136980"/>
                  </a:lnTo>
                  <a:lnTo>
                    <a:pt x="449186" y="136980"/>
                  </a:lnTo>
                  <a:lnTo>
                    <a:pt x="468697" y="136980"/>
                  </a:lnTo>
                  <a:lnTo>
                    <a:pt x="488207" y="136980"/>
                  </a:lnTo>
                  <a:lnTo>
                    <a:pt x="507718" y="156515"/>
                  </a:lnTo>
                  <a:lnTo>
                    <a:pt x="527230" y="136980"/>
                  </a:lnTo>
                  <a:lnTo>
                    <a:pt x="546739" y="117468"/>
                  </a:lnTo>
                  <a:lnTo>
                    <a:pt x="566250" y="117468"/>
                  </a:lnTo>
                  <a:lnTo>
                    <a:pt x="585762" y="117468"/>
                  </a:lnTo>
                  <a:lnTo>
                    <a:pt x="605271" y="117468"/>
                  </a:lnTo>
                  <a:lnTo>
                    <a:pt x="624783" y="97934"/>
                  </a:lnTo>
                  <a:lnTo>
                    <a:pt x="624783" y="78400"/>
                  </a:lnTo>
                  <a:lnTo>
                    <a:pt x="644292" y="58888"/>
                  </a:lnTo>
                  <a:lnTo>
                    <a:pt x="644292" y="39353"/>
                  </a:lnTo>
                  <a:lnTo>
                    <a:pt x="663803" y="19841"/>
                  </a:lnTo>
                  <a:lnTo>
                    <a:pt x="683315" y="307"/>
                  </a:lnTo>
                  <a:lnTo>
                    <a:pt x="702824" y="307"/>
                  </a:lnTo>
                  <a:lnTo>
                    <a:pt x="722335" y="307"/>
                  </a:lnTo>
                  <a:lnTo>
                    <a:pt x="741847" y="19841"/>
                  </a:lnTo>
                  <a:lnTo>
                    <a:pt x="761356" y="19841"/>
                  </a:lnTo>
                  <a:lnTo>
                    <a:pt x="780868" y="39353"/>
                  </a:lnTo>
                </a:path>
              </a:pathLst>
            </a:custGeom>
            <a:noFill/>
            <a:ln w="1409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4" name="Forma libre: forma 133">
              <a:extLst>
                <a:ext uri="{FF2B5EF4-FFF2-40B4-BE49-F238E27FC236}">
                  <a16:creationId xmlns:a16="http://schemas.microsoft.com/office/drawing/2014/main" id="{00000000-0008-0000-0400-000086000000}"/>
                </a:ext>
              </a:extLst>
            </xdr:cNvPr>
            <xdr:cNvSpPr/>
          </xdr:nvSpPr>
          <xdr:spPr>
            <a:xfrm>
              <a:off x="8924113" y="2063498"/>
              <a:ext cx="147804" cy="128657"/>
            </a:xfrm>
            <a:custGeom>
              <a:avLst/>
              <a:gdLst>
                <a:gd name="connsiteX0" fmla="*/ 442 w 585320"/>
                <a:gd name="connsiteY0" fmla="*/ 507955 h 527183"/>
                <a:gd name="connsiteX1" fmla="*/ 19953 w 585320"/>
                <a:gd name="connsiteY1" fmla="*/ 527490 h 527183"/>
                <a:gd name="connsiteX2" fmla="*/ 39464 w 585320"/>
                <a:gd name="connsiteY2" fmla="*/ 507955 h 527183"/>
                <a:gd name="connsiteX3" fmla="*/ 58974 w 585320"/>
                <a:gd name="connsiteY3" fmla="*/ 507955 h 527183"/>
                <a:gd name="connsiteX4" fmla="*/ 78485 w 585320"/>
                <a:gd name="connsiteY4" fmla="*/ 488421 h 527183"/>
                <a:gd name="connsiteX5" fmla="*/ 97996 w 585320"/>
                <a:gd name="connsiteY5" fmla="*/ 488421 h 527183"/>
                <a:gd name="connsiteX6" fmla="*/ 117506 w 585320"/>
                <a:gd name="connsiteY6" fmla="*/ 468909 h 527183"/>
                <a:gd name="connsiteX7" fmla="*/ 137017 w 585320"/>
                <a:gd name="connsiteY7" fmla="*/ 449375 h 527183"/>
                <a:gd name="connsiteX8" fmla="*/ 156528 w 585320"/>
                <a:gd name="connsiteY8" fmla="*/ 429862 h 527183"/>
                <a:gd name="connsiteX9" fmla="*/ 176038 w 585320"/>
                <a:gd name="connsiteY9" fmla="*/ 429862 h 527183"/>
                <a:gd name="connsiteX10" fmla="*/ 195549 w 585320"/>
                <a:gd name="connsiteY10" fmla="*/ 449375 h 527183"/>
                <a:gd name="connsiteX11" fmla="*/ 215060 w 585320"/>
                <a:gd name="connsiteY11" fmla="*/ 468909 h 527183"/>
                <a:gd name="connsiteX12" fmla="*/ 234570 w 585320"/>
                <a:gd name="connsiteY12" fmla="*/ 449375 h 527183"/>
                <a:gd name="connsiteX13" fmla="*/ 254081 w 585320"/>
                <a:gd name="connsiteY13" fmla="*/ 429862 h 527183"/>
                <a:gd name="connsiteX14" fmla="*/ 273591 w 585320"/>
                <a:gd name="connsiteY14" fmla="*/ 429862 h 527183"/>
                <a:gd name="connsiteX15" fmla="*/ 293102 w 585320"/>
                <a:gd name="connsiteY15" fmla="*/ 410328 h 527183"/>
                <a:gd name="connsiteX16" fmla="*/ 312614 w 585320"/>
                <a:gd name="connsiteY16" fmla="*/ 390816 h 527183"/>
                <a:gd name="connsiteX17" fmla="*/ 332123 w 585320"/>
                <a:gd name="connsiteY17" fmla="*/ 390816 h 527183"/>
                <a:gd name="connsiteX18" fmla="*/ 351634 w 585320"/>
                <a:gd name="connsiteY18" fmla="*/ 390816 h 527183"/>
                <a:gd name="connsiteX19" fmla="*/ 371146 w 585320"/>
                <a:gd name="connsiteY19" fmla="*/ 410328 h 527183"/>
                <a:gd name="connsiteX20" fmla="*/ 390655 w 585320"/>
                <a:gd name="connsiteY20" fmla="*/ 410328 h 527183"/>
                <a:gd name="connsiteX21" fmla="*/ 410167 w 585320"/>
                <a:gd name="connsiteY21" fmla="*/ 390816 h 527183"/>
                <a:gd name="connsiteX22" fmla="*/ 410167 w 585320"/>
                <a:gd name="connsiteY22" fmla="*/ 371282 h 527183"/>
                <a:gd name="connsiteX23" fmla="*/ 410167 w 585320"/>
                <a:gd name="connsiteY23" fmla="*/ 351747 h 527183"/>
                <a:gd name="connsiteX24" fmla="*/ 429676 w 585320"/>
                <a:gd name="connsiteY24" fmla="*/ 332235 h 527183"/>
                <a:gd name="connsiteX25" fmla="*/ 429676 w 585320"/>
                <a:gd name="connsiteY25" fmla="*/ 312701 h 527183"/>
                <a:gd name="connsiteX26" fmla="*/ 449187 w 585320"/>
                <a:gd name="connsiteY26" fmla="*/ 293189 h 527183"/>
                <a:gd name="connsiteX27" fmla="*/ 449187 w 585320"/>
                <a:gd name="connsiteY27" fmla="*/ 273654 h 527183"/>
                <a:gd name="connsiteX28" fmla="*/ 449187 w 585320"/>
                <a:gd name="connsiteY28" fmla="*/ 254142 h 527183"/>
                <a:gd name="connsiteX29" fmla="*/ 468699 w 585320"/>
                <a:gd name="connsiteY29" fmla="*/ 234608 h 527183"/>
                <a:gd name="connsiteX30" fmla="*/ 488208 w 585320"/>
                <a:gd name="connsiteY30" fmla="*/ 215096 h 527183"/>
                <a:gd name="connsiteX31" fmla="*/ 507719 w 585320"/>
                <a:gd name="connsiteY31" fmla="*/ 195561 h 527183"/>
                <a:gd name="connsiteX32" fmla="*/ 507719 w 585320"/>
                <a:gd name="connsiteY32" fmla="*/ 176027 h 527183"/>
                <a:gd name="connsiteX33" fmla="*/ 527231 w 585320"/>
                <a:gd name="connsiteY33" fmla="*/ 156515 h 527183"/>
                <a:gd name="connsiteX34" fmla="*/ 527231 w 585320"/>
                <a:gd name="connsiteY34" fmla="*/ 136980 h 527183"/>
                <a:gd name="connsiteX35" fmla="*/ 546740 w 585320"/>
                <a:gd name="connsiteY35" fmla="*/ 117468 h 527183"/>
                <a:gd name="connsiteX36" fmla="*/ 566252 w 585320"/>
                <a:gd name="connsiteY36" fmla="*/ 97934 h 527183"/>
                <a:gd name="connsiteX37" fmla="*/ 566252 w 585320"/>
                <a:gd name="connsiteY37" fmla="*/ 78422 h 527183"/>
                <a:gd name="connsiteX38" fmla="*/ 566252 w 585320"/>
                <a:gd name="connsiteY38" fmla="*/ 58887 h 527183"/>
                <a:gd name="connsiteX39" fmla="*/ 566252 w 585320"/>
                <a:gd name="connsiteY39" fmla="*/ 39353 h 527183"/>
                <a:gd name="connsiteX40" fmla="*/ 566252 w 585320"/>
                <a:gd name="connsiteY40" fmla="*/ 19841 h 527183"/>
                <a:gd name="connsiteX41" fmla="*/ 574556 w 585320"/>
                <a:gd name="connsiteY41" fmla="*/ 11748 h 527183"/>
                <a:gd name="connsiteX42" fmla="*/ 585763 w 585320"/>
                <a:gd name="connsiteY42" fmla="*/ 307 h 52718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</a:cxnLst>
              <a:rect l="l" t="t" r="r" b="b"/>
              <a:pathLst>
                <a:path w="585320" h="527183">
                  <a:moveTo>
                    <a:pt x="442" y="507955"/>
                  </a:moveTo>
                  <a:lnTo>
                    <a:pt x="19953" y="527490"/>
                  </a:lnTo>
                  <a:lnTo>
                    <a:pt x="39464" y="507955"/>
                  </a:lnTo>
                  <a:lnTo>
                    <a:pt x="58974" y="507955"/>
                  </a:lnTo>
                  <a:lnTo>
                    <a:pt x="78485" y="488421"/>
                  </a:lnTo>
                  <a:lnTo>
                    <a:pt x="97996" y="488421"/>
                  </a:lnTo>
                  <a:lnTo>
                    <a:pt x="117506" y="468909"/>
                  </a:lnTo>
                  <a:lnTo>
                    <a:pt x="137017" y="449375"/>
                  </a:lnTo>
                  <a:lnTo>
                    <a:pt x="156528" y="429862"/>
                  </a:lnTo>
                  <a:lnTo>
                    <a:pt x="176038" y="429862"/>
                  </a:lnTo>
                  <a:lnTo>
                    <a:pt x="195549" y="449375"/>
                  </a:lnTo>
                  <a:lnTo>
                    <a:pt x="215060" y="468909"/>
                  </a:lnTo>
                  <a:lnTo>
                    <a:pt x="234570" y="449375"/>
                  </a:lnTo>
                  <a:lnTo>
                    <a:pt x="254081" y="429862"/>
                  </a:lnTo>
                  <a:lnTo>
                    <a:pt x="273591" y="429862"/>
                  </a:lnTo>
                  <a:lnTo>
                    <a:pt x="293102" y="410328"/>
                  </a:lnTo>
                  <a:lnTo>
                    <a:pt x="312614" y="390816"/>
                  </a:lnTo>
                  <a:lnTo>
                    <a:pt x="332123" y="390816"/>
                  </a:lnTo>
                  <a:lnTo>
                    <a:pt x="351634" y="390816"/>
                  </a:lnTo>
                  <a:lnTo>
                    <a:pt x="371146" y="410328"/>
                  </a:lnTo>
                  <a:lnTo>
                    <a:pt x="390655" y="410328"/>
                  </a:lnTo>
                  <a:lnTo>
                    <a:pt x="410167" y="390816"/>
                  </a:lnTo>
                  <a:lnTo>
                    <a:pt x="410167" y="371282"/>
                  </a:lnTo>
                  <a:lnTo>
                    <a:pt x="410167" y="351747"/>
                  </a:lnTo>
                  <a:lnTo>
                    <a:pt x="429676" y="332235"/>
                  </a:lnTo>
                  <a:lnTo>
                    <a:pt x="429676" y="312701"/>
                  </a:lnTo>
                  <a:lnTo>
                    <a:pt x="449187" y="293189"/>
                  </a:lnTo>
                  <a:lnTo>
                    <a:pt x="449187" y="273654"/>
                  </a:lnTo>
                  <a:lnTo>
                    <a:pt x="449187" y="254142"/>
                  </a:lnTo>
                  <a:lnTo>
                    <a:pt x="468699" y="234608"/>
                  </a:lnTo>
                  <a:lnTo>
                    <a:pt x="488208" y="215096"/>
                  </a:lnTo>
                  <a:lnTo>
                    <a:pt x="507719" y="195561"/>
                  </a:lnTo>
                  <a:lnTo>
                    <a:pt x="507719" y="176027"/>
                  </a:lnTo>
                  <a:lnTo>
                    <a:pt x="527231" y="156515"/>
                  </a:lnTo>
                  <a:lnTo>
                    <a:pt x="527231" y="136980"/>
                  </a:lnTo>
                  <a:lnTo>
                    <a:pt x="546740" y="117468"/>
                  </a:lnTo>
                  <a:lnTo>
                    <a:pt x="566252" y="97934"/>
                  </a:lnTo>
                  <a:lnTo>
                    <a:pt x="566252" y="78422"/>
                  </a:lnTo>
                  <a:lnTo>
                    <a:pt x="566252" y="58887"/>
                  </a:lnTo>
                  <a:lnTo>
                    <a:pt x="566252" y="39353"/>
                  </a:lnTo>
                  <a:lnTo>
                    <a:pt x="566252" y="19841"/>
                  </a:lnTo>
                  <a:lnTo>
                    <a:pt x="574556" y="11748"/>
                  </a:lnTo>
                  <a:lnTo>
                    <a:pt x="585763" y="307"/>
                  </a:lnTo>
                </a:path>
              </a:pathLst>
            </a:custGeom>
            <a:noFill/>
            <a:ln w="1334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5" name="Forma libre: forma 134">
              <a:extLst>
                <a:ext uri="{FF2B5EF4-FFF2-40B4-BE49-F238E27FC236}">
                  <a16:creationId xmlns:a16="http://schemas.microsoft.com/office/drawing/2014/main" id="{00000000-0008-0000-0400-000087000000}"/>
                </a:ext>
              </a:extLst>
            </xdr:cNvPr>
            <xdr:cNvSpPr/>
          </xdr:nvSpPr>
          <xdr:spPr>
            <a:xfrm>
              <a:off x="9268597" y="2001928"/>
              <a:ext cx="259144" cy="38209"/>
            </a:xfrm>
            <a:custGeom>
              <a:avLst/>
              <a:gdLst>
                <a:gd name="connsiteX0" fmla="*/ 442 w 1034072"/>
                <a:gd name="connsiteY0" fmla="*/ 117446 h 156185"/>
                <a:gd name="connsiteX1" fmla="*/ 19954 w 1034072"/>
                <a:gd name="connsiteY1" fmla="*/ 117446 h 156185"/>
                <a:gd name="connsiteX2" fmla="*/ 39463 w 1034072"/>
                <a:gd name="connsiteY2" fmla="*/ 97934 h 156185"/>
                <a:gd name="connsiteX3" fmla="*/ 58974 w 1034072"/>
                <a:gd name="connsiteY3" fmla="*/ 78400 h 156185"/>
                <a:gd name="connsiteX4" fmla="*/ 78484 w 1034072"/>
                <a:gd name="connsiteY4" fmla="*/ 58887 h 156185"/>
                <a:gd name="connsiteX5" fmla="*/ 97995 w 1034072"/>
                <a:gd name="connsiteY5" fmla="*/ 58887 h 156185"/>
                <a:gd name="connsiteX6" fmla="*/ 117507 w 1034072"/>
                <a:gd name="connsiteY6" fmla="*/ 78400 h 156185"/>
                <a:gd name="connsiteX7" fmla="*/ 137016 w 1034072"/>
                <a:gd name="connsiteY7" fmla="*/ 78400 h 156185"/>
                <a:gd name="connsiteX8" fmla="*/ 156527 w 1034072"/>
                <a:gd name="connsiteY8" fmla="*/ 97934 h 156185"/>
                <a:gd name="connsiteX9" fmla="*/ 176039 w 1034072"/>
                <a:gd name="connsiteY9" fmla="*/ 97934 h 156185"/>
                <a:gd name="connsiteX10" fmla="*/ 195548 w 1034072"/>
                <a:gd name="connsiteY10" fmla="*/ 78400 h 156185"/>
                <a:gd name="connsiteX11" fmla="*/ 215059 w 1034072"/>
                <a:gd name="connsiteY11" fmla="*/ 78400 h 156185"/>
                <a:gd name="connsiteX12" fmla="*/ 234569 w 1034072"/>
                <a:gd name="connsiteY12" fmla="*/ 78400 h 156185"/>
                <a:gd name="connsiteX13" fmla="*/ 254080 w 1034072"/>
                <a:gd name="connsiteY13" fmla="*/ 97934 h 156185"/>
                <a:gd name="connsiteX14" fmla="*/ 273592 w 1034072"/>
                <a:gd name="connsiteY14" fmla="*/ 78400 h 156185"/>
                <a:gd name="connsiteX15" fmla="*/ 293101 w 1034072"/>
                <a:gd name="connsiteY15" fmla="*/ 78400 h 156185"/>
                <a:gd name="connsiteX16" fmla="*/ 312612 w 1034072"/>
                <a:gd name="connsiteY16" fmla="*/ 78400 h 156185"/>
                <a:gd name="connsiteX17" fmla="*/ 332124 w 1034072"/>
                <a:gd name="connsiteY17" fmla="*/ 78400 h 156185"/>
                <a:gd name="connsiteX18" fmla="*/ 351633 w 1034072"/>
                <a:gd name="connsiteY18" fmla="*/ 78400 h 156185"/>
                <a:gd name="connsiteX19" fmla="*/ 371145 w 1034072"/>
                <a:gd name="connsiteY19" fmla="*/ 78400 h 156185"/>
                <a:gd name="connsiteX20" fmla="*/ 390656 w 1034072"/>
                <a:gd name="connsiteY20" fmla="*/ 78400 h 156185"/>
                <a:gd name="connsiteX21" fmla="*/ 410165 w 1034072"/>
                <a:gd name="connsiteY21" fmla="*/ 97934 h 156185"/>
                <a:gd name="connsiteX22" fmla="*/ 429677 w 1034072"/>
                <a:gd name="connsiteY22" fmla="*/ 97934 h 156185"/>
                <a:gd name="connsiteX23" fmla="*/ 449186 w 1034072"/>
                <a:gd name="connsiteY23" fmla="*/ 117446 h 156185"/>
                <a:gd name="connsiteX24" fmla="*/ 468697 w 1034072"/>
                <a:gd name="connsiteY24" fmla="*/ 117446 h 156185"/>
                <a:gd name="connsiteX25" fmla="*/ 488209 w 1034072"/>
                <a:gd name="connsiteY25" fmla="*/ 136980 h 156185"/>
                <a:gd name="connsiteX26" fmla="*/ 507718 w 1034072"/>
                <a:gd name="connsiteY26" fmla="*/ 136980 h 156185"/>
                <a:gd name="connsiteX27" fmla="*/ 527230 w 1034072"/>
                <a:gd name="connsiteY27" fmla="*/ 156492 h 156185"/>
                <a:gd name="connsiteX28" fmla="*/ 546741 w 1034072"/>
                <a:gd name="connsiteY28" fmla="*/ 156492 h 156185"/>
                <a:gd name="connsiteX29" fmla="*/ 566250 w 1034072"/>
                <a:gd name="connsiteY29" fmla="*/ 136980 h 156185"/>
                <a:gd name="connsiteX30" fmla="*/ 585762 w 1034072"/>
                <a:gd name="connsiteY30" fmla="*/ 117446 h 156185"/>
                <a:gd name="connsiteX31" fmla="*/ 605273 w 1034072"/>
                <a:gd name="connsiteY31" fmla="*/ 97934 h 156185"/>
                <a:gd name="connsiteX32" fmla="*/ 624783 w 1034072"/>
                <a:gd name="connsiteY32" fmla="*/ 97934 h 156185"/>
                <a:gd name="connsiteX33" fmla="*/ 644294 w 1034072"/>
                <a:gd name="connsiteY33" fmla="*/ 97934 h 156185"/>
                <a:gd name="connsiteX34" fmla="*/ 663803 w 1034072"/>
                <a:gd name="connsiteY34" fmla="*/ 78400 h 156185"/>
                <a:gd name="connsiteX35" fmla="*/ 683315 w 1034072"/>
                <a:gd name="connsiteY35" fmla="*/ 78400 h 156185"/>
                <a:gd name="connsiteX36" fmla="*/ 702826 w 1034072"/>
                <a:gd name="connsiteY36" fmla="*/ 97934 h 156185"/>
                <a:gd name="connsiteX37" fmla="*/ 722336 w 1034072"/>
                <a:gd name="connsiteY37" fmla="*/ 97934 h 156185"/>
                <a:gd name="connsiteX38" fmla="*/ 741847 w 1034072"/>
                <a:gd name="connsiteY38" fmla="*/ 97934 h 156185"/>
                <a:gd name="connsiteX39" fmla="*/ 761358 w 1034072"/>
                <a:gd name="connsiteY39" fmla="*/ 97934 h 156185"/>
                <a:gd name="connsiteX40" fmla="*/ 780868 w 1034072"/>
                <a:gd name="connsiteY40" fmla="*/ 78400 h 156185"/>
                <a:gd name="connsiteX41" fmla="*/ 800379 w 1034072"/>
                <a:gd name="connsiteY41" fmla="*/ 58887 h 156185"/>
                <a:gd name="connsiteX42" fmla="*/ 819891 w 1034072"/>
                <a:gd name="connsiteY42" fmla="*/ 39353 h 156185"/>
                <a:gd name="connsiteX43" fmla="*/ 839400 w 1034072"/>
                <a:gd name="connsiteY43" fmla="*/ 19841 h 156185"/>
                <a:gd name="connsiteX44" fmla="*/ 858911 w 1034072"/>
                <a:gd name="connsiteY44" fmla="*/ 307 h 156185"/>
                <a:gd name="connsiteX45" fmla="*/ 878418 w 1034072"/>
                <a:gd name="connsiteY45" fmla="*/ 307 h 156185"/>
                <a:gd name="connsiteX46" fmla="*/ 897939 w 1034072"/>
                <a:gd name="connsiteY46" fmla="*/ 307 h 156185"/>
                <a:gd name="connsiteX47" fmla="*/ 917437 w 1034072"/>
                <a:gd name="connsiteY47" fmla="*/ 307 h 156185"/>
                <a:gd name="connsiteX48" fmla="*/ 936957 w 1034072"/>
                <a:gd name="connsiteY48" fmla="*/ 19841 h 156185"/>
                <a:gd name="connsiteX49" fmla="*/ 956455 w 1034072"/>
                <a:gd name="connsiteY49" fmla="*/ 19841 h 156185"/>
                <a:gd name="connsiteX50" fmla="*/ 975976 w 1034072"/>
                <a:gd name="connsiteY50" fmla="*/ 307 h 156185"/>
                <a:gd name="connsiteX51" fmla="*/ 995496 w 1034072"/>
                <a:gd name="connsiteY51" fmla="*/ 307 h 156185"/>
                <a:gd name="connsiteX52" fmla="*/ 1014994 w 1034072"/>
                <a:gd name="connsiteY52" fmla="*/ 307 h 156185"/>
                <a:gd name="connsiteX53" fmla="*/ 1025674 w 1034072"/>
                <a:gd name="connsiteY53" fmla="*/ 9974 h 156185"/>
                <a:gd name="connsiteX54" fmla="*/ 1034514 w 1034072"/>
                <a:gd name="connsiteY54" fmla="*/ 19841 h 15618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</a:cxnLst>
              <a:rect l="l" t="t" r="r" b="b"/>
              <a:pathLst>
                <a:path w="1034072" h="156185">
                  <a:moveTo>
                    <a:pt x="442" y="117446"/>
                  </a:moveTo>
                  <a:lnTo>
                    <a:pt x="19954" y="117446"/>
                  </a:lnTo>
                  <a:lnTo>
                    <a:pt x="39463" y="97934"/>
                  </a:lnTo>
                  <a:lnTo>
                    <a:pt x="58974" y="78400"/>
                  </a:lnTo>
                  <a:lnTo>
                    <a:pt x="78484" y="58887"/>
                  </a:lnTo>
                  <a:lnTo>
                    <a:pt x="97995" y="58887"/>
                  </a:lnTo>
                  <a:lnTo>
                    <a:pt x="117507" y="78400"/>
                  </a:lnTo>
                  <a:lnTo>
                    <a:pt x="137016" y="78400"/>
                  </a:lnTo>
                  <a:lnTo>
                    <a:pt x="156527" y="97934"/>
                  </a:lnTo>
                  <a:lnTo>
                    <a:pt x="176039" y="97934"/>
                  </a:lnTo>
                  <a:lnTo>
                    <a:pt x="195548" y="78400"/>
                  </a:lnTo>
                  <a:lnTo>
                    <a:pt x="215059" y="78400"/>
                  </a:lnTo>
                  <a:lnTo>
                    <a:pt x="234569" y="78400"/>
                  </a:lnTo>
                  <a:lnTo>
                    <a:pt x="254080" y="97934"/>
                  </a:lnTo>
                  <a:lnTo>
                    <a:pt x="273592" y="78400"/>
                  </a:lnTo>
                  <a:lnTo>
                    <a:pt x="293101" y="78400"/>
                  </a:lnTo>
                  <a:lnTo>
                    <a:pt x="312612" y="78400"/>
                  </a:lnTo>
                  <a:lnTo>
                    <a:pt x="332124" y="78400"/>
                  </a:lnTo>
                  <a:lnTo>
                    <a:pt x="351633" y="78400"/>
                  </a:lnTo>
                  <a:lnTo>
                    <a:pt x="371145" y="78400"/>
                  </a:lnTo>
                  <a:lnTo>
                    <a:pt x="390656" y="78400"/>
                  </a:lnTo>
                  <a:lnTo>
                    <a:pt x="410165" y="97934"/>
                  </a:lnTo>
                  <a:lnTo>
                    <a:pt x="429677" y="97934"/>
                  </a:lnTo>
                  <a:lnTo>
                    <a:pt x="449186" y="117446"/>
                  </a:lnTo>
                  <a:lnTo>
                    <a:pt x="468697" y="117446"/>
                  </a:lnTo>
                  <a:lnTo>
                    <a:pt x="488209" y="136980"/>
                  </a:lnTo>
                  <a:lnTo>
                    <a:pt x="507718" y="136980"/>
                  </a:lnTo>
                  <a:lnTo>
                    <a:pt x="527230" y="156492"/>
                  </a:lnTo>
                  <a:lnTo>
                    <a:pt x="546741" y="156492"/>
                  </a:lnTo>
                  <a:lnTo>
                    <a:pt x="566250" y="136980"/>
                  </a:lnTo>
                  <a:lnTo>
                    <a:pt x="585762" y="117446"/>
                  </a:lnTo>
                  <a:lnTo>
                    <a:pt x="605273" y="97934"/>
                  </a:lnTo>
                  <a:lnTo>
                    <a:pt x="624783" y="97934"/>
                  </a:lnTo>
                  <a:lnTo>
                    <a:pt x="644294" y="97934"/>
                  </a:lnTo>
                  <a:lnTo>
                    <a:pt x="663803" y="78400"/>
                  </a:lnTo>
                  <a:lnTo>
                    <a:pt x="683315" y="78400"/>
                  </a:lnTo>
                  <a:lnTo>
                    <a:pt x="702826" y="97934"/>
                  </a:lnTo>
                  <a:lnTo>
                    <a:pt x="722336" y="97934"/>
                  </a:lnTo>
                  <a:lnTo>
                    <a:pt x="741847" y="97934"/>
                  </a:lnTo>
                  <a:lnTo>
                    <a:pt x="761358" y="97934"/>
                  </a:lnTo>
                  <a:lnTo>
                    <a:pt x="780868" y="78400"/>
                  </a:lnTo>
                  <a:lnTo>
                    <a:pt x="800379" y="58887"/>
                  </a:lnTo>
                  <a:lnTo>
                    <a:pt x="819891" y="39353"/>
                  </a:lnTo>
                  <a:lnTo>
                    <a:pt x="839400" y="19841"/>
                  </a:lnTo>
                  <a:lnTo>
                    <a:pt x="858911" y="307"/>
                  </a:lnTo>
                  <a:lnTo>
                    <a:pt x="878418" y="307"/>
                  </a:lnTo>
                  <a:lnTo>
                    <a:pt x="897939" y="307"/>
                  </a:lnTo>
                  <a:lnTo>
                    <a:pt x="917437" y="307"/>
                  </a:lnTo>
                  <a:lnTo>
                    <a:pt x="936957" y="19841"/>
                  </a:lnTo>
                  <a:lnTo>
                    <a:pt x="956455" y="19841"/>
                  </a:lnTo>
                  <a:lnTo>
                    <a:pt x="975976" y="307"/>
                  </a:lnTo>
                  <a:lnTo>
                    <a:pt x="995496" y="307"/>
                  </a:lnTo>
                  <a:lnTo>
                    <a:pt x="1014994" y="307"/>
                  </a:lnTo>
                  <a:lnTo>
                    <a:pt x="1025674" y="9974"/>
                  </a:lnTo>
                  <a:lnTo>
                    <a:pt x="1034514" y="19841"/>
                  </a:lnTo>
                </a:path>
              </a:pathLst>
            </a:custGeom>
            <a:noFill/>
            <a:ln w="14333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7" name="Forma libre: forma 136">
              <a:extLst>
                <a:ext uri="{FF2B5EF4-FFF2-40B4-BE49-F238E27FC236}">
                  <a16:creationId xmlns:a16="http://schemas.microsoft.com/office/drawing/2014/main" id="{00000000-0008-0000-0400-000089000000}"/>
                </a:ext>
              </a:extLst>
            </xdr:cNvPr>
            <xdr:cNvSpPr/>
          </xdr:nvSpPr>
          <xdr:spPr>
            <a:xfrm>
              <a:off x="9695094" y="1916160"/>
              <a:ext cx="555" cy="4669"/>
            </a:xfrm>
            <a:custGeom>
              <a:avLst/>
              <a:gdLst>
                <a:gd name="connsiteX0" fmla="*/ 442 w 2216"/>
                <a:gd name="connsiteY0" fmla="*/ 19819 h 19512"/>
                <a:gd name="connsiteX1" fmla="*/ 442 w 2216"/>
                <a:gd name="connsiteY1" fmla="*/ 307 h 195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2216" h="19512">
                  <a:moveTo>
                    <a:pt x="442" y="19819"/>
                  </a:moveTo>
                  <a:lnTo>
                    <a:pt x="442" y="307"/>
                  </a:lnTo>
                </a:path>
              </a:pathLst>
            </a:custGeom>
            <a:noFill/>
            <a:ln w="2281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8" name="Forma libre: forma 137">
              <a:extLst>
                <a:ext uri="{FF2B5EF4-FFF2-40B4-BE49-F238E27FC236}">
                  <a16:creationId xmlns:a16="http://schemas.microsoft.com/office/drawing/2014/main" id="{00000000-0008-0000-0400-00008A000000}"/>
                </a:ext>
              </a:extLst>
            </xdr:cNvPr>
            <xdr:cNvSpPr/>
          </xdr:nvSpPr>
          <xdr:spPr>
            <a:xfrm>
              <a:off x="9675545" y="1920829"/>
              <a:ext cx="19549" cy="47557"/>
            </a:xfrm>
            <a:custGeom>
              <a:avLst/>
              <a:gdLst>
                <a:gd name="connsiteX0" fmla="*/ 442 w 78036"/>
                <a:gd name="connsiteY0" fmla="*/ 195561 h 195254"/>
                <a:gd name="connsiteX1" fmla="*/ 19940 w 78036"/>
                <a:gd name="connsiteY1" fmla="*/ 176027 h 195254"/>
                <a:gd name="connsiteX2" fmla="*/ 39460 w 78036"/>
                <a:gd name="connsiteY2" fmla="*/ 156515 h 195254"/>
                <a:gd name="connsiteX3" fmla="*/ 39460 w 78036"/>
                <a:gd name="connsiteY3" fmla="*/ 136981 h 195254"/>
                <a:gd name="connsiteX4" fmla="*/ 39460 w 78036"/>
                <a:gd name="connsiteY4" fmla="*/ 117469 h 195254"/>
                <a:gd name="connsiteX5" fmla="*/ 58959 w 78036"/>
                <a:gd name="connsiteY5" fmla="*/ 97934 h 195254"/>
                <a:gd name="connsiteX6" fmla="*/ 58959 w 78036"/>
                <a:gd name="connsiteY6" fmla="*/ 78422 h 195254"/>
                <a:gd name="connsiteX7" fmla="*/ 78479 w 78036"/>
                <a:gd name="connsiteY7" fmla="*/ 58888 h 195254"/>
                <a:gd name="connsiteX8" fmla="*/ 78479 w 78036"/>
                <a:gd name="connsiteY8" fmla="*/ 39375 h 195254"/>
                <a:gd name="connsiteX9" fmla="*/ 78479 w 78036"/>
                <a:gd name="connsiteY9" fmla="*/ 19841 h 195254"/>
                <a:gd name="connsiteX10" fmla="*/ 78412 w 78036"/>
                <a:gd name="connsiteY10" fmla="*/ 12081 h 195254"/>
                <a:gd name="connsiteX11" fmla="*/ 78479 w 78036"/>
                <a:gd name="connsiteY11" fmla="*/ 307 h 19525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78036" h="195254">
                  <a:moveTo>
                    <a:pt x="442" y="195561"/>
                  </a:moveTo>
                  <a:lnTo>
                    <a:pt x="19940" y="176027"/>
                  </a:lnTo>
                  <a:lnTo>
                    <a:pt x="39460" y="156515"/>
                  </a:lnTo>
                  <a:lnTo>
                    <a:pt x="39460" y="136981"/>
                  </a:lnTo>
                  <a:lnTo>
                    <a:pt x="39460" y="117469"/>
                  </a:lnTo>
                  <a:lnTo>
                    <a:pt x="58959" y="97934"/>
                  </a:lnTo>
                  <a:lnTo>
                    <a:pt x="58959" y="78422"/>
                  </a:lnTo>
                  <a:lnTo>
                    <a:pt x="78479" y="58888"/>
                  </a:lnTo>
                  <a:lnTo>
                    <a:pt x="78479" y="39375"/>
                  </a:lnTo>
                  <a:lnTo>
                    <a:pt x="78479" y="19841"/>
                  </a:lnTo>
                  <a:lnTo>
                    <a:pt x="78412" y="12081"/>
                  </a:lnTo>
                  <a:lnTo>
                    <a:pt x="78479" y="307"/>
                  </a:lnTo>
                </a:path>
              </a:pathLst>
            </a:custGeom>
            <a:noFill/>
            <a:ln w="20439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39" name="Forma libre: forma 138">
              <a:extLst>
                <a:ext uri="{FF2B5EF4-FFF2-40B4-BE49-F238E27FC236}">
                  <a16:creationId xmlns:a16="http://schemas.microsoft.com/office/drawing/2014/main" id="{00000000-0008-0000-0400-00008B000000}"/>
                </a:ext>
              </a:extLst>
            </xdr:cNvPr>
            <xdr:cNvSpPr/>
          </xdr:nvSpPr>
          <xdr:spPr>
            <a:xfrm>
              <a:off x="9665764" y="1968387"/>
              <a:ext cx="9780" cy="14016"/>
            </a:xfrm>
            <a:custGeom>
              <a:avLst/>
              <a:gdLst>
                <a:gd name="connsiteX0" fmla="*/ 442 w 39040"/>
                <a:gd name="connsiteY0" fmla="*/ 58888 h 58580"/>
                <a:gd name="connsiteX1" fmla="*/ 19962 w 39040"/>
                <a:gd name="connsiteY1" fmla="*/ 39353 h 58580"/>
                <a:gd name="connsiteX2" fmla="*/ 39483 w 39040"/>
                <a:gd name="connsiteY2" fmla="*/ 19841 h 58580"/>
                <a:gd name="connsiteX3" fmla="*/ 39483 w 39040"/>
                <a:gd name="connsiteY3" fmla="*/ 307 h 5858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39040" h="58580">
                  <a:moveTo>
                    <a:pt x="442" y="58888"/>
                  </a:moveTo>
                  <a:lnTo>
                    <a:pt x="19962" y="39353"/>
                  </a:lnTo>
                  <a:lnTo>
                    <a:pt x="39483" y="19841"/>
                  </a:lnTo>
                  <a:lnTo>
                    <a:pt x="39483" y="307"/>
                  </a:lnTo>
                </a:path>
              </a:pathLst>
            </a:custGeom>
            <a:noFill/>
            <a:ln w="2027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0" name="Forma libre: forma 139">
              <a:extLst>
                <a:ext uri="{FF2B5EF4-FFF2-40B4-BE49-F238E27FC236}">
                  <a16:creationId xmlns:a16="http://schemas.microsoft.com/office/drawing/2014/main" id="{00000000-0008-0000-0400-00008C000000}"/>
                </a:ext>
              </a:extLst>
            </xdr:cNvPr>
            <xdr:cNvSpPr/>
          </xdr:nvSpPr>
          <xdr:spPr>
            <a:xfrm>
              <a:off x="9646215" y="1982403"/>
              <a:ext cx="19549" cy="5509"/>
            </a:xfrm>
            <a:custGeom>
              <a:avLst/>
              <a:gdLst>
                <a:gd name="connsiteX0" fmla="*/ 442 w 78037"/>
                <a:gd name="connsiteY0" fmla="*/ 307 h 19512"/>
                <a:gd name="connsiteX1" fmla="*/ 19962 w 78037"/>
                <a:gd name="connsiteY1" fmla="*/ 19819 h 19512"/>
                <a:gd name="connsiteX2" fmla="*/ 39461 w 78037"/>
                <a:gd name="connsiteY2" fmla="*/ 19819 h 19512"/>
                <a:gd name="connsiteX3" fmla="*/ 58981 w 78037"/>
                <a:gd name="connsiteY3" fmla="*/ 19819 h 19512"/>
                <a:gd name="connsiteX4" fmla="*/ 78479 w 78037"/>
                <a:gd name="connsiteY4" fmla="*/ 307 h 195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78037" h="19512">
                  <a:moveTo>
                    <a:pt x="442" y="307"/>
                  </a:moveTo>
                  <a:lnTo>
                    <a:pt x="19962" y="19819"/>
                  </a:lnTo>
                  <a:lnTo>
                    <a:pt x="39461" y="19819"/>
                  </a:lnTo>
                  <a:lnTo>
                    <a:pt x="58981" y="19819"/>
                  </a:lnTo>
                  <a:lnTo>
                    <a:pt x="78479" y="307"/>
                  </a:lnTo>
                </a:path>
              </a:pathLst>
            </a:custGeom>
            <a:noFill/>
            <a:ln w="19758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1" name="Forma libre: forma 140">
              <a:extLst>
                <a:ext uri="{FF2B5EF4-FFF2-40B4-BE49-F238E27FC236}">
                  <a16:creationId xmlns:a16="http://schemas.microsoft.com/office/drawing/2014/main" id="{00000000-0008-0000-0400-00008D000000}"/>
                </a:ext>
              </a:extLst>
            </xdr:cNvPr>
            <xdr:cNvSpPr/>
          </xdr:nvSpPr>
          <xdr:spPr>
            <a:xfrm>
              <a:off x="9581504" y="1968387"/>
              <a:ext cx="64711" cy="14016"/>
            </a:xfrm>
            <a:custGeom>
              <a:avLst/>
              <a:gdLst>
                <a:gd name="connsiteX0" fmla="*/ 442 w 253631"/>
                <a:gd name="connsiteY0" fmla="*/ 58888 h 58580"/>
                <a:gd name="connsiteX1" fmla="*/ 19940 w 253631"/>
                <a:gd name="connsiteY1" fmla="*/ 58888 h 58580"/>
                <a:gd name="connsiteX2" fmla="*/ 39461 w 253631"/>
                <a:gd name="connsiteY2" fmla="*/ 58888 h 58580"/>
                <a:gd name="connsiteX3" fmla="*/ 58981 w 253631"/>
                <a:gd name="connsiteY3" fmla="*/ 39353 h 58580"/>
                <a:gd name="connsiteX4" fmla="*/ 78479 w 253631"/>
                <a:gd name="connsiteY4" fmla="*/ 39353 h 58580"/>
                <a:gd name="connsiteX5" fmla="*/ 97999 w 253631"/>
                <a:gd name="connsiteY5" fmla="*/ 39353 h 58580"/>
                <a:gd name="connsiteX6" fmla="*/ 117497 w 253631"/>
                <a:gd name="connsiteY6" fmla="*/ 19841 h 58580"/>
                <a:gd name="connsiteX7" fmla="*/ 137018 w 253631"/>
                <a:gd name="connsiteY7" fmla="*/ 307 h 58580"/>
                <a:gd name="connsiteX8" fmla="*/ 156516 w 253631"/>
                <a:gd name="connsiteY8" fmla="*/ 307 h 58580"/>
                <a:gd name="connsiteX9" fmla="*/ 176036 w 253631"/>
                <a:gd name="connsiteY9" fmla="*/ 19841 h 58580"/>
                <a:gd name="connsiteX10" fmla="*/ 195535 w 253631"/>
                <a:gd name="connsiteY10" fmla="*/ 19841 h 58580"/>
                <a:gd name="connsiteX11" fmla="*/ 215055 w 253631"/>
                <a:gd name="connsiteY11" fmla="*/ 19841 h 58580"/>
                <a:gd name="connsiteX12" fmla="*/ 234575 w 253631"/>
                <a:gd name="connsiteY12" fmla="*/ 39353 h 58580"/>
                <a:gd name="connsiteX13" fmla="*/ 242795 w 253631"/>
                <a:gd name="connsiteY13" fmla="*/ 46870 h 58580"/>
                <a:gd name="connsiteX14" fmla="*/ 254073 w 253631"/>
                <a:gd name="connsiteY14" fmla="*/ 58888 h 5858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253631" h="58580">
                  <a:moveTo>
                    <a:pt x="442" y="58888"/>
                  </a:moveTo>
                  <a:lnTo>
                    <a:pt x="19940" y="58888"/>
                  </a:lnTo>
                  <a:lnTo>
                    <a:pt x="39461" y="58888"/>
                  </a:lnTo>
                  <a:lnTo>
                    <a:pt x="58981" y="39353"/>
                  </a:lnTo>
                  <a:lnTo>
                    <a:pt x="78479" y="39353"/>
                  </a:lnTo>
                  <a:lnTo>
                    <a:pt x="97999" y="39353"/>
                  </a:lnTo>
                  <a:lnTo>
                    <a:pt x="117497" y="19841"/>
                  </a:lnTo>
                  <a:lnTo>
                    <a:pt x="137018" y="307"/>
                  </a:lnTo>
                  <a:lnTo>
                    <a:pt x="156516" y="307"/>
                  </a:lnTo>
                  <a:lnTo>
                    <a:pt x="176036" y="19841"/>
                  </a:lnTo>
                  <a:lnTo>
                    <a:pt x="195535" y="19841"/>
                  </a:lnTo>
                  <a:lnTo>
                    <a:pt x="215055" y="19841"/>
                  </a:lnTo>
                  <a:lnTo>
                    <a:pt x="234575" y="39353"/>
                  </a:lnTo>
                  <a:lnTo>
                    <a:pt x="242795" y="46870"/>
                  </a:lnTo>
                  <a:lnTo>
                    <a:pt x="254073" y="58888"/>
                  </a:lnTo>
                </a:path>
              </a:pathLst>
            </a:custGeom>
            <a:noFill/>
            <a:ln w="1850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2" name="Forma libre: forma 141">
              <a:extLst>
                <a:ext uri="{FF2B5EF4-FFF2-40B4-BE49-F238E27FC236}">
                  <a16:creationId xmlns:a16="http://schemas.microsoft.com/office/drawing/2014/main" id="{00000000-0008-0000-0400-00008E000000}"/>
                </a:ext>
              </a:extLst>
            </xdr:cNvPr>
            <xdr:cNvSpPr/>
          </xdr:nvSpPr>
          <xdr:spPr>
            <a:xfrm>
              <a:off x="9527740" y="1982403"/>
              <a:ext cx="53763" cy="24199"/>
            </a:xfrm>
            <a:custGeom>
              <a:avLst/>
              <a:gdLst>
                <a:gd name="connsiteX0" fmla="*/ 442 w 214612"/>
                <a:gd name="connsiteY0" fmla="*/ 97934 h 97627"/>
                <a:gd name="connsiteX1" fmla="*/ 19940 w 214612"/>
                <a:gd name="connsiteY1" fmla="*/ 78400 h 97627"/>
                <a:gd name="connsiteX2" fmla="*/ 39461 w 214612"/>
                <a:gd name="connsiteY2" fmla="*/ 78400 h 97627"/>
                <a:gd name="connsiteX3" fmla="*/ 58959 w 214612"/>
                <a:gd name="connsiteY3" fmla="*/ 58865 h 97627"/>
                <a:gd name="connsiteX4" fmla="*/ 78479 w 214612"/>
                <a:gd name="connsiteY4" fmla="*/ 39353 h 97627"/>
                <a:gd name="connsiteX5" fmla="*/ 97977 w 214612"/>
                <a:gd name="connsiteY5" fmla="*/ 19819 h 97627"/>
                <a:gd name="connsiteX6" fmla="*/ 117497 w 214612"/>
                <a:gd name="connsiteY6" fmla="*/ 307 h 97627"/>
                <a:gd name="connsiteX7" fmla="*/ 137018 w 214612"/>
                <a:gd name="connsiteY7" fmla="*/ 307 h 97627"/>
                <a:gd name="connsiteX8" fmla="*/ 156516 w 214612"/>
                <a:gd name="connsiteY8" fmla="*/ 307 h 97627"/>
                <a:gd name="connsiteX9" fmla="*/ 176036 w 214612"/>
                <a:gd name="connsiteY9" fmla="*/ 307 h 97627"/>
                <a:gd name="connsiteX10" fmla="*/ 195535 w 214612"/>
                <a:gd name="connsiteY10" fmla="*/ 307 h 97627"/>
                <a:gd name="connsiteX11" fmla="*/ 215055 w 214612"/>
                <a:gd name="connsiteY11" fmla="*/ 307 h 9762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14612" h="97627">
                  <a:moveTo>
                    <a:pt x="442" y="97934"/>
                  </a:moveTo>
                  <a:lnTo>
                    <a:pt x="19940" y="78400"/>
                  </a:lnTo>
                  <a:lnTo>
                    <a:pt x="39461" y="78400"/>
                  </a:lnTo>
                  <a:lnTo>
                    <a:pt x="58959" y="58865"/>
                  </a:lnTo>
                  <a:lnTo>
                    <a:pt x="78479" y="39353"/>
                  </a:lnTo>
                  <a:lnTo>
                    <a:pt x="97977" y="19819"/>
                  </a:lnTo>
                  <a:lnTo>
                    <a:pt x="117497" y="307"/>
                  </a:lnTo>
                  <a:lnTo>
                    <a:pt x="137018" y="307"/>
                  </a:lnTo>
                  <a:lnTo>
                    <a:pt x="156516" y="307"/>
                  </a:lnTo>
                  <a:lnTo>
                    <a:pt x="176036" y="307"/>
                  </a:lnTo>
                  <a:lnTo>
                    <a:pt x="195535" y="307"/>
                  </a:lnTo>
                  <a:lnTo>
                    <a:pt x="215055" y="307"/>
                  </a:lnTo>
                </a:path>
              </a:pathLst>
            </a:custGeom>
            <a:noFill/>
            <a:ln w="18318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3" name="Forma libre: forma 142">
              <a:extLst>
                <a:ext uri="{FF2B5EF4-FFF2-40B4-BE49-F238E27FC236}">
                  <a16:creationId xmlns:a16="http://schemas.microsoft.com/office/drawing/2014/main" id="{00000000-0008-0000-0400-00008F000000}"/>
                </a:ext>
              </a:extLst>
            </xdr:cNvPr>
            <xdr:cNvSpPr/>
          </xdr:nvSpPr>
          <xdr:spPr>
            <a:xfrm>
              <a:off x="9817285" y="1787506"/>
              <a:ext cx="555" cy="4672"/>
            </a:xfrm>
            <a:custGeom>
              <a:avLst/>
              <a:gdLst>
                <a:gd name="connsiteX0" fmla="*/ 442 w 2216"/>
                <a:gd name="connsiteY0" fmla="*/ 19832 h 19525"/>
                <a:gd name="connsiteX1" fmla="*/ 442 w 2216"/>
                <a:gd name="connsiteY1" fmla="*/ 307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2216" h="19525">
                  <a:moveTo>
                    <a:pt x="442" y="19832"/>
                  </a:moveTo>
                  <a:lnTo>
                    <a:pt x="442" y="307"/>
                  </a:lnTo>
                </a:path>
              </a:pathLst>
            </a:custGeom>
            <a:noFill/>
            <a:ln w="2311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4" name="Forma libre: forma 143">
              <a:extLst>
                <a:ext uri="{FF2B5EF4-FFF2-40B4-BE49-F238E27FC236}">
                  <a16:creationId xmlns:a16="http://schemas.microsoft.com/office/drawing/2014/main" id="{00000000-0008-0000-0400-000090000000}"/>
                </a:ext>
              </a:extLst>
            </xdr:cNvPr>
            <xdr:cNvSpPr/>
          </xdr:nvSpPr>
          <xdr:spPr>
            <a:xfrm>
              <a:off x="9695094" y="1792178"/>
              <a:ext cx="127076" cy="123983"/>
            </a:xfrm>
            <a:custGeom>
              <a:avLst/>
              <a:gdLst>
                <a:gd name="connsiteX0" fmla="*/ 442 w 507262"/>
                <a:gd name="connsiteY0" fmla="*/ 507951 h 507644"/>
                <a:gd name="connsiteX1" fmla="*/ 19940 w 507262"/>
                <a:gd name="connsiteY1" fmla="*/ 488417 h 507644"/>
                <a:gd name="connsiteX2" fmla="*/ 19940 w 507262"/>
                <a:gd name="connsiteY2" fmla="*/ 468905 h 507644"/>
                <a:gd name="connsiteX3" fmla="*/ 39460 w 507262"/>
                <a:gd name="connsiteY3" fmla="*/ 449373 h 507644"/>
                <a:gd name="connsiteX4" fmla="*/ 58959 w 507262"/>
                <a:gd name="connsiteY4" fmla="*/ 429849 h 507644"/>
                <a:gd name="connsiteX5" fmla="*/ 78479 w 507262"/>
                <a:gd name="connsiteY5" fmla="*/ 410324 h 507644"/>
                <a:gd name="connsiteX6" fmla="*/ 78479 w 507262"/>
                <a:gd name="connsiteY6" fmla="*/ 390801 h 507644"/>
                <a:gd name="connsiteX7" fmla="*/ 78479 w 507262"/>
                <a:gd name="connsiteY7" fmla="*/ 371275 h 507644"/>
                <a:gd name="connsiteX8" fmla="*/ 97999 w 507262"/>
                <a:gd name="connsiteY8" fmla="*/ 351750 h 507644"/>
                <a:gd name="connsiteX9" fmla="*/ 117497 w 507262"/>
                <a:gd name="connsiteY9" fmla="*/ 351750 h 507644"/>
                <a:gd name="connsiteX10" fmla="*/ 137018 w 507262"/>
                <a:gd name="connsiteY10" fmla="*/ 332226 h 507644"/>
                <a:gd name="connsiteX11" fmla="*/ 156516 w 507262"/>
                <a:gd name="connsiteY11" fmla="*/ 332226 h 507644"/>
                <a:gd name="connsiteX12" fmla="*/ 176036 w 507262"/>
                <a:gd name="connsiteY12" fmla="*/ 312701 h 507644"/>
                <a:gd name="connsiteX13" fmla="*/ 176036 w 507262"/>
                <a:gd name="connsiteY13" fmla="*/ 293175 h 507644"/>
                <a:gd name="connsiteX14" fmla="*/ 195534 w 507262"/>
                <a:gd name="connsiteY14" fmla="*/ 273652 h 507644"/>
                <a:gd name="connsiteX15" fmla="*/ 195534 w 507262"/>
                <a:gd name="connsiteY15" fmla="*/ 254127 h 507644"/>
                <a:gd name="connsiteX16" fmla="*/ 215055 w 507262"/>
                <a:gd name="connsiteY16" fmla="*/ 234603 h 507644"/>
                <a:gd name="connsiteX17" fmla="*/ 234575 w 507262"/>
                <a:gd name="connsiteY17" fmla="*/ 215078 h 507644"/>
                <a:gd name="connsiteX18" fmla="*/ 254073 w 507262"/>
                <a:gd name="connsiteY18" fmla="*/ 215078 h 507644"/>
                <a:gd name="connsiteX19" fmla="*/ 273594 w 507262"/>
                <a:gd name="connsiteY19" fmla="*/ 215078 h 507644"/>
                <a:gd name="connsiteX20" fmla="*/ 293092 w 507262"/>
                <a:gd name="connsiteY20" fmla="*/ 215078 h 507644"/>
                <a:gd name="connsiteX21" fmla="*/ 312612 w 507262"/>
                <a:gd name="connsiteY21" fmla="*/ 195552 h 507644"/>
                <a:gd name="connsiteX22" fmla="*/ 332110 w 507262"/>
                <a:gd name="connsiteY22" fmla="*/ 195552 h 507644"/>
                <a:gd name="connsiteX23" fmla="*/ 351631 w 507262"/>
                <a:gd name="connsiteY23" fmla="*/ 195552 h 507644"/>
                <a:gd name="connsiteX24" fmla="*/ 371151 w 507262"/>
                <a:gd name="connsiteY24" fmla="*/ 215078 h 507644"/>
                <a:gd name="connsiteX25" fmla="*/ 390649 w 507262"/>
                <a:gd name="connsiteY25" fmla="*/ 215078 h 507644"/>
                <a:gd name="connsiteX26" fmla="*/ 410169 w 507262"/>
                <a:gd name="connsiteY26" fmla="*/ 234603 h 507644"/>
                <a:gd name="connsiteX27" fmla="*/ 429668 w 507262"/>
                <a:gd name="connsiteY27" fmla="*/ 215078 h 507644"/>
                <a:gd name="connsiteX28" fmla="*/ 449188 w 507262"/>
                <a:gd name="connsiteY28" fmla="*/ 215078 h 507644"/>
                <a:gd name="connsiteX29" fmla="*/ 468686 w 507262"/>
                <a:gd name="connsiteY29" fmla="*/ 195552 h 507644"/>
                <a:gd name="connsiteX30" fmla="*/ 468686 w 507262"/>
                <a:gd name="connsiteY30" fmla="*/ 176029 h 507644"/>
                <a:gd name="connsiteX31" fmla="*/ 449188 w 507262"/>
                <a:gd name="connsiteY31" fmla="*/ 156504 h 507644"/>
                <a:gd name="connsiteX32" fmla="*/ 468686 w 507262"/>
                <a:gd name="connsiteY32" fmla="*/ 136978 h 507644"/>
                <a:gd name="connsiteX33" fmla="*/ 488207 w 507262"/>
                <a:gd name="connsiteY33" fmla="*/ 117455 h 507644"/>
                <a:gd name="connsiteX34" fmla="*/ 507705 w 507262"/>
                <a:gd name="connsiteY34" fmla="*/ 97929 h 507644"/>
                <a:gd name="connsiteX35" fmla="*/ 507705 w 507262"/>
                <a:gd name="connsiteY35" fmla="*/ 78404 h 507644"/>
                <a:gd name="connsiteX36" fmla="*/ 507705 w 507262"/>
                <a:gd name="connsiteY36" fmla="*/ 58881 h 507644"/>
                <a:gd name="connsiteX37" fmla="*/ 507705 w 507262"/>
                <a:gd name="connsiteY37" fmla="*/ 39355 h 507644"/>
                <a:gd name="connsiteX38" fmla="*/ 507705 w 507262"/>
                <a:gd name="connsiteY38" fmla="*/ 19832 h 507644"/>
                <a:gd name="connsiteX39" fmla="*/ 488207 w 507262"/>
                <a:gd name="connsiteY39" fmla="*/ 307 h 50764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</a:cxnLst>
              <a:rect l="l" t="t" r="r" b="b"/>
              <a:pathLst>
                <a:path w="507262" h="507644">
                  <a:moveTo>
                    <a:pt x="442" y="507951"/>
                  </a:moveTo>
                  <a:lnTo>
                    <a:pt x="19940" y="488417"/>
                  </a:lnTo>
                  <a:lnTo>
                    <a:pt x="19940" y="468905"/>
                  </a:lnTo>
                  <a:lnTo>
                    <a:pt x="39460" y="449373"/>
                  </a:lnTo>
                  <a:lnTo>
                    <a:pt x="58959" y="429849"/>
                  </a:lnTo>
                  <a:lnTo>
                    <a:pt x="78479" y="410324"/>
                  </a:lnTo>
                  <a:lnTo>
                    <a:pt x="78479" y="390801"/>
                  </a:lnTo>
                  <a:lnTo>
                    <a:pt x="78479" y="371275"/>
                  </a:lnTo>
                  <a:lnTo>
                    <a:pt x="97999" y="351750"/>
                  </a:lnTo>
                  <a:lnTo>
                    <a:pt x="117497" y="351750"/>
                  </a:lnTo>
                  <a:lnTo>
                    <a:pt x="137018" y="332226"/>
                  </a:lnTo>
                  <a:lnTo>
                    <a:pt x="156516" y="332226"/>
                  </a:lnTo>
                  <a:lnTo>
                    <a:pt x="176036" y="312701"/>
                  </a:lnTo>
                  <a:lnTo>
                    <a:pt x="176036" y="293175"/>
                  </a:lnTo>
                  <a:lnTo>
                    <a:pt x="195534" y="273652"/>
                  </a:lnTo>
                  <a:lnTo>
                    <a:pt x="195534" y="254127"/>
                  </a:lnTo>
                  <a:lnTo>
                    <a:pt x="215055" y="234603"/>
                  </a:lnTo>
                  <a:lnTo>
                    <a:pt x="234575" y="215078"/>
                  </a:lnTo>
                  <a:lnTo>
                    <a:pt x="254073" y="215078"/>
                  </a:lnTo>
                  <a:lnTo>
                    <a:pt x="273594" y="215078"/>
                  </a:lnTo>
                  <a:lnTo>
                    <a:pt x="293092" y="215078"/>
                  </a:lnTo>
                  <a:lnTo>
                    <a:pt x="312612" y="195552"/>
                  </a:lnTo>
                  <a:lnTo>
                    <a:pt x="332110" y="195552"/>
                  </a:lnTo>
                  <a:lnTo>
                    <a:pt x="351631" y="195552"/>
                  </a:lnTo>
                  <a:lnTo>
                    <a:pt x="371151" y="215078"/>
                  </a:lnTo>
                  <a:lnTo>
                    <a:pt x="390649" y="215078"/>
                  </a:lnTo>
                  <a:lnTo>
                    <a:pt x="410169" y="234603"/>
                  </a:lnTo>
                  <a:lnTo>
                    <a:pt x="429668" y="215078"/>
                  </a:lnTo>
                  <a:lnTo>
                    <a:pt x="449188" y="215078"/>
                  </a:lnTo>
                  <a:lnTo>
                    <a:pt x="468686" y="195552"/>
                  </a:lnTo>
                  <a:lnTo>
                    <a:pt x="468686" y="176029"/>
                  </a:lnTo>
                  <a:lnTo>
                    <a:pt x="449188" y="156504"/>
                  </a:lnTo>
                  <a:lnTo>
                    <a:pt x="468686" y="136978"/>
                  </a:lnTo>
                  <a:lnTo>
                    <a:pt x="488207" y="117455"/>
                  </a:lnTo>
                  <a:lnTo>
                    <a:pt x="507705" y="97929"/>
                  </a:lnTo>
                  <a:lnTo>
                    <a:pt x="507705" y="78404"/>
                  </a:lnTo>
                  <a:lnTo>
                    <a:pt x="507705" y="58881"/>
                  </a:lnTo>
                  <a:lnTo>
                    <a:pt x="507705" y="39355"/>
                  </a:lnTo>
                  <a:lnTo>
                    <a:pt x="507705" y="19832"/>
                  </a:lnTo>
                  <a:lnTo>
                    <a:pt x="488207" y="307"/>
                  </a:lnTo>
                </a:path>
              </a:pathLst>
            </a:custGeom>
            <a:noFill/>
            <a:ln w="22963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5" name="Forma libre: forma 144">
              <a:extLst>
                <a:ext uri="{FF2B5EF4-FFF2-40B4-BE49-F238E27FC236}">
                  <a16:creationId xmlns:a16="http://schemas.microsoft.com/office/drawing/2014/main" id="{00000000-0008-0000-0400-000091000000}"/>
                </a:ext>
              </a:extLst>
            </xdr:cNvPr>
            <xdr:cNvSpPr/>
          </xdr:nvSpPr>
          <xdr:spPr>
            <a:xfrm>
              <a:off x="8992540" y="1269645"/>
              <a:ext cx="29326" cy="134416"/>
            </a:xfrm>
            <a:custGeom>
              <a:avLst/>
              <a:gdLst>
                <a:gd name="connsiteX0" fmla="*/ 93438 w 117064"/>
                <a:gd name="connsiteY0" fmla="*/ 307 h 551253"/>
                <a:gd name="connsiteX1" fmla="*/ 97997 w 117064"/>
                <a:gd name="connsiteY1" fmla="*/ 4870 h 551253"/>
                <a:gd name="connsiteX2" fmla="*/ 117507 w 117064"/>
                <a:gd name="connsiteY2" fmla="*/ 24393 h 551253"/>
                <a:gd name="connsiteX3" fmla="*/ 97997 w 117064"/>
                <a:gd name="connsiteY3" fmla="*/ 43919 h 551253"/>
                <a:gd name="connsiteX4" fmla="*/ 97997 w 117064"/>
                <a:gd name="connsiteY4" fmla="*/ 63444 h 551253"/>
                <a:gd name="connsiteX5" fmla="*/ 97997 w 117064"/>
                <a:gd name="connsiteY5" fmla="*/ 82968 h 551253"/>
                <a:gd name="connsiteX6" fmla="*/ 97997 w 117064"/>
                <a:gd name="connsiteY6" fmla="*/ 102493 h 551253"/>
                <a:gd name="connsiteX7" fmla="*/ 97997 w 117064"/>
                <a:gd name="connsiteY7" fmla="*/ 122018 h 551253"/>
                <a:gd name="connsiteX8" fmla="*/ 78486 w 117064"/>
                <a:gd name="connsiteY8" fmla="*/ 141542 h 551253"/>
                <a:gd name="connsiteX9" fmla="*/ 78486 w 117064"/>
                <a:gd name="connsiteY9" fmla="*/ 161067 h 551253"/>
                <a:gd name="connsiteX10" fmla="*/ 78486 w 117064"/>
                <a:gd name="connsiteY10" fmla="*/ 180592 h 551253"/>
                <a:gd name="connsiteX11" fmla="*/ 58975 w 117064"/>
                <a:gd name="connsiteY11" fmla="*/ 200116 h 551253"/>
                <a:gd name="connsiteX12" fmla="*/ 39465 w 117064"/>
                <a:gd name="connsiteY12" fmla="*/ 219641 h 551253"/>
                <a:gd name="connsiteX13" fmla="*/ 19954 w 117064"/>
                <a:gd name="connsiteY13" fmla="*/ 239166 h 551253"/>
                <a:gd name="connsiteX14" fmla="*/ 442 w 117064"/>
                <a:gd name="connsiteY14" fmla="*/ 258690 h 551253"/>
                <a:gd name="connsiteX15" fmla="*/ 442 w 117064"/>
                <a:gd name="connsiteY15" fmla="*/ 278215 h 551253"/>
                <a:gd name="connsiteX16" fmla="*/ 442 w 117064"/>
                <a:gd name="connsiteY16" fmla="*/ 297740 h 551253"/>
                <a:gd name="connsiteX17" fmla="*/ 442 w 117064"/>
                <a:gd name="connsiteY17" fmla="*/ 317264 h 551253"/>
                <a:gd name="connsiteX18" fmla="*/ 19954 w 117064"/>
                <a:gd name="connsiteY18" fmla="*/ 336789 h 551253"/>
                <a:gd name="connsiteX19" fmla="*/ 39465 w 117064"/>
                <a:gd name="connsiteY19" fmla="*/ 356314 h 551253"/>
                <a:gd name="connsiteX20" fmla="*/ 58975 w 117064"/>
                <a:gd name="connsiteY20" fmla="*/ 375838 h 551253"/>
                <a:gd name="connsiteX21" fmla="*/ 58975 w 117064"/>
                <a:gd name="connsiteY21" fmla="*/ 395363 h 551253"/>
                <a:gd name="connsiteX22" fmla="*/ 58975 w 117064"/>
                <a:gd name="connsiteY22" fmla="*/ 414888 h 551253"/>
                <a:gd name="connsiteX23" fmla="*/ 78486 w 117064"/>
                <a:gd name="connsiteY23" fmla="*/ 434412 h 551253"/>
                <a:gd name="connsiteX24" fmla="*/ 78486 w 117064"/>
                <a:gd name="connsiteY24" fmla="*/ 453937 h 551253"/>
                <a:gd name="connsiteX25" fmla="*/ 97997 w 117064"/>
                <a:gd name="connsiteY25" fmla="*/ 473462 h 551253"/>
                <a:gd name="connsiteX26" fmla="*/ 97997 w 117064"/>
                <a:gd name="connsiteY26" fmla="*/ 492986 h 551253"/>
                <a:gd name="connsiteX27" fmla="*/ 117507 w 117064"/>
                <a:gd name="connsiteY27" fmla="*/ 512511 h 551253"/>
                <a:gd name="connsiteX28" fmla="*/ 117507 w 117064"/>
                <a:gd name="connsiteY28" fmla="*/ 532036 h 551253"/>
                <a:gd name="connsiteX29" fmla="*/ 117507 w 117064"/>
                <a:gd name="connsiteY29" fmla="*/ 551560 h 55125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</a:cxnLst>
              <a:rect l="l" t="t" r="r" b="b"/>
              <a:pathLst>
                <a:path w="117064" h="551253">
                  <a:moveTo>
                    <a:pt x="93438" y="307"/>
                  </a:moveTo>
                  <a:lnTo>
                    <a:pt x="97997" y="4870"/>
                  </a:lnTo>
                  <a:lnTo>
                    <a:pt x="117507" y="24393"/>
                  </a:lnTo>
                  <a:lnTo>
                    <a:pt x="97997" y="43919"/>
                  </a:lnTo>
                  <a:lnTo>
                    <a:pt x="97997" y="63444"/>
                  </a:lnTo>
                  <a:lnTo>
                    <a:pt x="97997" y="82968"/>
                  </a:lnTo>
                  <a:lnTo>
                    <a:pt x="97997" y="102493"/>
                  </a:lnTo>
                  <a:lnTo>
                    <a:pt x="97997" y="122018"/>
                  </a:lnTo>
                  <a:lnTo>
                    <a:pt x="78486" y="141542"/>
                  </a:lnTo>
                  <a:lnTo>
                    <a:pt x="78486" y="161067"/>
                  </a:lnTo>
                  <a:lnTo>
                    <a:pt x="78486" y="180592"/>
                  </a:lnTo>
                  <a:lnTo>
                    <a:pt x="58975" y="200116"/>
                  </a:lnTo>
                  <a:lnTo>
                    <a:pt x="39465" y="219641"/>
                  </a:lnTo>
                  <a:lnTo>
                    <a:pt x="19954" y="239166"/>
                  </a:lnTo>
                  <a:lnTo>
                    <a:pt x="442" y="258690"/>
                  </a:lnTo>
                  <a:lnTo>
                    <a:pt x="442" y="278215"/>
                  </a:lnTo>
                  <a:lnTo>
                    <a:pt x="442" y="297740"/>
                  </a:lnTo>
                  <a:lnTo>
                    <a:pt x="442" y="317264"/>
                  </a:lnTo>
                  <a:lnTo>
                    <a:pt x="19954" y="336789"/>
                  </a:lnTo>
                  <a:lnTo>
                    <a:pt x="39465" y="356314"/>
                  </a:lnTo>
                  <a:lnTo>
                    <a:pt x="58975" y="375838"/>
                  </a:lnTo>
                  <a:lnTo>
                    <a:pt x="58975" y="395363"/>
                  </a:lnTo>
                  <a:lnTo>
                    <a:pt x="58975" y="414888"/>
                  </a:lnTo>
                  <a:lnTo>
                    <a:pt x="78486" y="434412"/>
                  </a:lnTo>
                  <a:lnTo>
                    <a:pt x="78486" y="453937"/>
                  </a:lnTo>
                  <a:lnTo>
                    <a:pt x="97997" y="473462"/>
                  </a:lnTo>
                  <a:lnTo>
                    <a:pt x="97997" y="492986"/>
                  </a:lnTo>
                  <a:lnTo>
                    <a:pt x="117507" y="512511"/>
                  </a:lnTo>
                  <a:lnTo>
                    <a:pt x="117507" y="532036"/>
                  </a:lnTo>
                  <a:lnTo>
                    <a:pt x="117507" y="551560"/>
                  </a:lnTo>
                </a:path>
              </a:pathLst>
            </a:custGeom>
            <a:noFill/>
            <a:ln w="2617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6" name="Forma libre: forma 145">
              <a:extLst>
                <a:ext uri="{FF2B5EF4-FFF2-40B4-BE49-F238E27FC236}">
                  <a16:creationId xmlns:a16="http://schemas.microsoft.com/office/drawing/2014/main" id="{00000000-0008-0000-0400-000092000000}"/>
                </a:ext>
              </a:extLst>
            </xdr:cNvPr>
            <xdr:cNvSpPr/>
          </xdr:nvSpPr>
          <xdr:spPr>
            <a:xfrm>
              <a:off x="9021866" y="1404061"/>
              <a:ext cx="64713" cy="185552"/>
            </a:xfrm>
            <a:custGeom>
              <a:avLst/>
              <a:gdLst>
                <a:gd name="connsiteX0" fmla="*/ 442 w 253637"/>
                <a:gd name="connsiteY0" fmla="*/ 307 h 761461"/>
                <a:gd name="connsiteX1" fmla="*/ 442 w 253637"/>
                <a:gd name="connsiteY1" fmla="*/ 19832 h 761461"/>
                <a:gd name="connsiteX2" fmla="*/ 442 w 253637"/>
                <a:gd name="connsiteY2" fmla="*/ 39356 h 761461"/>
                <a:gd name="connsiteX3" fmla="*/ 19954 w 253637"/>
                <a:gd name="connsiteY3" fmla="*/ 58880 h 761461"/>
                <a:gd name="connsiteX4" fmla="*/ 19954 w 253637"/>
                <a:gd name="connsiteY4" fmla="*/ 78405 h 761461"/>
                <a:gd name="connsiteX5" fmla="*/ 39463 w 253637"/>
                <a:gd name="connsiteY5" fmla="*/ 97931 h 761461"/>
                <a:gd name="connsiteX6" fmla="*/ 39463 w 253637"/>
                <a:gd name="connsiteY6" fmla="*/ 117454 h 761461"/>
                <a:gd name="connsiteX7" fmla="*/ 39463 w 253637"/>
                <a:gd name="connsiteY7" fmla="*/ 136980 h 761461"/>
                <a:gd name="connsiteX8" fmla="*/ 58975 w 253637"/>
                <a:gd name="connsiteY8" fmla="*/ 156505 h 761461"/>
                <a:gd name="connsiteX9" fmla="*/ 78486 w 253637"/>
                <a:gd name="connsiteY9" fmla="*/ 156505 h 761461"/>
                <a:gd name="connsiteX10" fmla="*/ 78486 w 253637"/>
                <a:gd name="connsiteY10" fmla="*/ 176028 h 761461"/>
                <a:gd name="connsiteX11" fmla="*/ 97995 w 253637"/>
                <a:gd name="connsiteY11" fmla="*/ 176028 h 761461"/>
                <a:gd name="connsiteX12" fmla="*/ 117507 w 253637"/>
                <a:gd name="connsiteY12" fmla="*/ 195554 h 761461"/>
                <a:gd name="connsiteX13" fmla="*/ 117507 w 253637"/>
                <a:gd name="connsiteY13" fmla="*/ 215079 h 761461"/>
                <a:gd name="connsiteX14" fmla="*/ 117507 w 253637"/>
                <a:gd name="connsiteY14" fmla="*/ 234603 h 761461"/>
                <a:gd name="connsiteX15" fmla="*/ 117507 w 253637"/>
                <a:gd name="connsiteY15" fmla="*/ 254128 h 761461"/>
                <a:gd name="connsiteX16" fmla="*/ 117507 w 253637"/>
                <a:gd name="connsiteY16" fmla="*/ 273651 h 761461"/>
                <a:gd name="connsiteX17" fmla="*/ 117507 w 253637"/>
                <a:gd name="connsiteY17" fmla="*/ 293177 h 761461"/>
                <a:gd name="connsiteX18" fmla="*/ 117507 w 253637"/>
                <a:gd name="connsiteY18" fmla="*/ 312702 h 761461"/>
                <a:gd name="connsiteX19" fmla="*/ 137018 w 253637"/>
                <a:gd name="connsiteY19" fmla="*/ 332225 h 761461"/>
                <a:gd name="connsiteX20" fmla="*/ 137018 w 253637"/>
                <a:gd name="connsiteY20" fmla="*/ 351751 h 761461"/>
                <a:gd name="connsiteX21" fmla="*/ 156527 w 253637"/>
                <a:gd name="connsiteY21" fmla="*/ 371276 h 761461"/>
                <a:gd name="connsiteX22" fmla="*/ 176039 w 253637"/>
                <a:gd name="connsiteY22" fmla="*/ 390800 h 761461"/>
                <a:gd name="connsiteX23" fmla="*/ 195550 w 253637"/>
                <a:gd name="connsiteY23" fmla="*/ 410325 h 761461"/>
                <a:gd name="connsiteX24" fmla="*/ 195550 w 253637"/>
                <a:gd name="connsiteY24" fmla="*/ 429851 h 761461"/>
                <a:gd name="connsiteX25" fmla="*/ 195550 w 253637"/>
                <a:gd name="connsiteY25" fmla="*/ 449374 h 761461"/>
                <a:gd name="connsiteX26" fmla="*/ 215060 w 253637"/>
                <a:gd name="connsiteY26" fmla="*/ 468899 h 761461"/>
                <a:gd name="connsiteX27" fmla="*/ 215060 w 253637"/>
                <a:gd name="connsiteY27" fmla="*/ 488423 h 761461"/>
                <a:gd name="connsiteX28" fmla="*/ 215060 w 253637"/>
                <a:gd name="connsiteY28" fmla="*/ 507948 h 761461"/>
                <a:gd name="connsiteX29" fmla="*/ 215060 w 253637"/>
                <a:gd name="connsiteY29" fmla="*/ 527474 h 761461"/>
                <a:gd name="connsiteX30" fmla="*/ 234571 w 253637"/>
                <a:gd name="connsiteY30" fmla="*/ 546997 h 761461"/>
                <a:gd name="connsiteX31" fmla="*/ 254080 w 253637"/>
                <a:gd name="connsiteY31" fmla="*/ 566522 h 761461"/>
                <a:gd name="connsiteX32" fmla="*/ 254080 w 253637"/>
                <a:gd name="connsiteY32" fmla="*/ 586048 h 761461"/>
                <a:gd name="connsiteX33" fmla="*/ 234571 w 253637"/>
                <a:gd name="connsiteY33" fmla="*/ 605571 h 761461"/>
                <a:gd name="connsiteX34" fmla="*/ 215060 w 253637"/>
                <a:gd name="connsiteY34" fmla="*/ 625097 h 761461"/>
                <a:gd name="connsiteX35" fmla="*/ 215060 w 253637"/>
                <a:gd name="connsiteY35" fmla="*/ 644620 h 761461"/>
                <a:gd name="connsiteX36" fmla="*/ 215060 w 253637"/>
                <a:gd name="connsiteY36" fmla="*/ 664145 h 761461"/>
                <a:gd name="connsiteX37" fmla="*/ 215060 w 253637"/>
                <a:gd name="connsiteY37" fmla="*/ 683671 h 761461"/>
                <a:gd name="connsiteX38" fmla="*/ 195550 w 253637"/>
                <a:gd name="connsiteY38" fmla="*/ 703194 h 761461"/>
                <a:gd name="connsiteX39" fmla="*/ 195550 w 253637"/>
                <a:gd name="connsiteY39" fmla="*/ 722719 h 761461"/>
                <a:gd name="connsiteX40" fmla="*/ 195550 w 253637"/>
                <a:gd name="connsiteY40" fmla="*/ 742245 h 761461"/>
                <a:gd name="connsiteX41" fmla="*/ 195550 w 253637"/>
                <a:gd name="connsiteY41" fmla="*/ 761768 h 76146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</a:cxnLst>
              <a:rect l="l" t="t" r="r" b="b"/>
              <a:pathLst>
                <a:path w="253637" h="761461">
                  <a:moveTo>
                    <a:pt x="442" y="307"/>
                  </a:moveTo>
                  <a:lnTo>
                    <a:pt x="442" y="19832"/>
                  </a:lnTo>
                  <a:lnTo>
                    <a:pt x="442" y="39356"/>
                  </a:lnTo>
                  <a:lnTo>
                    <a:pt x="19954" y="58880"/>
                  </a:lnTo>
                  <a:lnTo>
                    <a:pt x="19954" y="78405"/>
                  </a:lnTo>
                  <a:lnTo>
                    <a:pt x="39463" y="97931"/>
                  </a:lnTo>
                  <a:lnTo>
                    <a:pt x="39463" y="117454"/>
                  </a:lnTo>
                  <a:lnTo>
                    <a:pt x="39463" y="136980"/>
                  </a:lnTo>
                  <a:lnTo>
                    <a:pt x="58975" y="156505"/>
                  </a:lnTo>
                  <a:lnTo>
                    <a:pt x="78486" y="156505"/>
                  </a:lnTo>
                  <a:lnTo>
                    <a:pt x="78486" y="176028"/>
                  </a:lnTo>
                  <a:lnTo>
                    <a:pt x="97995" y="176028"/>
                  </a:lnTo>
                  <a:lnTo>
                    <a:pt x="117507" y="195554"/>
                  </a:lnTo>
                  <a:lnTo>
                    <a:pt x="117507" y="215079"/>
                  </a:lnTo>
                  <a:lnTo>
                    <a:pt x="117507" y="234603"/>
                  </a:lnTo>
                  <a:lnTo>
                    <a:pt x="117507" y="254128"/>
                  </a:lnTo>
                  <a:lnTo>
                    <a:pt x="117507" y="273651"/>
                  </a:lnTo>
                  <a:lnTo>
                    <a:pt x="117507" y="293177"/>
                  </a:lnTo>
                  <a:lnTo>
                    <a:pt x="117507" y="312702"/>
                  </a:lnTo>
                  <a:lnTo>
                    <a:pt x="137018" y="332225"/>
                  </a:lnTo>
                  <a:lnTo>
                    <a:pt x="137018" y="351751"/>
                  </a:lnTo>
                  <a:lnTo>
                    <a:pt x="156527" y="371276"/>
                  </a:lnTo>
                  <a:lnTo>
                    <a:pt x="176039" y="390800"/>
                  </a:lnTo>
                  <a:lnTo>
                    <a:pt x="195550" y="410325"/>
                  </a:lnTo>
                  <a:lnTo>
                    <a:pt x="195550" y="429851"/>
                  </a:lnTo>
                  <a:lnTo>
                    <a:pt x="195550" y="449374"/>
                  </a:lnTo>
                  <a:lnTo>
                    <a:pt x="215060" y="468899"/>
                  </a:lnTo>
                  <a:lnTo>
                    <a:pt x="215060" y="488423"/>
                  </a:lnTo>
                  <a:lnTo>
                    <a:pt x="215060" y="507948"/>
                  </a:lnTo>
                  <a:lnTo>
                    <a:pt x="215060" y="527474"/>
                  </a:lnTo>
                  <a:lnTo>
                    <a:pt x="234571" y="546997"/>
                  </a:lnTo>
                  <a:lnTo>
                    <a:pt x="254080" y="566522"/>
                  </a:lnTo>
                  <a:lnTo>
                    <a:pt x="254080" y="586048"/>
                  </a:lnTo>
                  <a:lnTo>
                    <a:pt x="234571" y="605571"/>
                  </a:lnTo>
                  <a:lnTo>
                    <a:pt x="215060" y="625097"/>
                  </a:lnTo>
                  <a:lnTo>
                    <a:pt x="215060" y="644620"/>
                  </a:lnTo>
                  <a:lnTo>
                    <a:pt x="215060" y="664145"/>
                  </a:lnTo>
                  <a:lnTo>
                    <a:pt x="215060" y="683671"/>
                  </a:lnTo>
                  <a:lnTo>
                    <a:pt x="195550" y="703194"/>
                  </a:lnTo>
                  <a:lnTo>
                    <a:pt x="195550" y="722719"/>
                  </a:lnTo>
                  <a:lnTo>
                    <a:pt x="195550" y="742245"/>
                  </a:lnTo>
                  <a:lnTo>
                    <a:pt x="195550" y="761768"/>
                  </a:lnTo>
                </a:path>
              </a:pathLst>
            </a:custGeom>
            <a:noFill/>
            <a:ln w="3701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7" name="Forma libre: forma 146">
              <a:extLst>
                <a:ext uri="{FF2B5EF4-FFF2-40B4-BE49-F238E27FC236}">
                  <a16:creationId xmlns:a16="http://schemas.microsoft.com/office/drawing/2014/main" id="{00000000-0008-0000-0400-000093000000}"/>
                </a:ext>
              </a:extLst>
            </xdr:cNvPr>
            <xdr:cNvSpPr/>
          </xdr:nvSpPr>
          <xdr:spPr>
            <a:xfrm>
              <a:off x="9086579" y="1370520"/>
              <a:ext cx="216231" cy="128653"/>
            </a:xfrm>
            <a:custGeom>
              <a:avLst/>
              <a:gdLst>
                <a:gd name="connsiteX0" fmla="*/ 442 w 858469"/>
                <a:gd name="connsiteY0" fmla="*/ 39356 h 527165"/>
                <a:gd name="connsiteX1" fmla="*/ 19954 w 858469"/>
                <a:gd name="connsiteY1" fmla="*/ 39356 h 527165"/>
                <a:gd name="connsiteX2" fmla="*/ 39465 w 858469"/>
                <a:gd name="connsiteY2" fmla="*/ 39356 h 527165"/>
                <a:gd name="connsiteX3" fmla="*/ 58974 w 858469"/>
                <a:gd name="connsiteY3" fmla="*/ 39356 h 527165"/>
                <a:gd name="connsiteX4" fmla="*/ 78486 w 858469"/>
                <a:gd name="connsiteY4" fmla="*/ 39356 h 527165"/>
                <a:gd name="connsiteX5" fmla="*/ 97997 w 858469"/>
                <a:gd name="connsiteY5" fmla="*/ 39356 h 527165"/>
                <a:gd name="connsiteX6" fmla="*/ 117507 w 858469"/>
                <a:gd name="connsiteY6" fmla="*/ 39356 h 527165"/>
                <a:gd name="connsiteX7" fmla="*/ 137018 w 858469"/>
                <a:gd name="connsiteY7" fmla="*/ 39356 h 527165"/>
                <a:gd name="connsiteX8" fmla="*/ 156527 w 858469"/>
                <a:gd name="connsiteY8" fmla="*/ 19831 h 527165"/>
                <a:gd name="connsiteX9" fmla="*/ 176039 w 858469"/>
                <a:gd name="connsiteY9" fmla="*/ 307 h 527165"/>
                <a:gd name="connsiteX10" fmla="*/ 195550 w 858469"/>
                <a:gd name="connsiteY10" fmla="*/ 307 h 527165"/>
                <a:gd name="connsiteX11" fmla="*/ 215060 w 858469"/>
                <a:gd name="connsiteY11" fmla="*/ 307 h 527165"/>
                <a:gd name="connsiteX12" fmla="*/ 234571 w 858469"/>
                <a:gd name="connsiteY12" fmla="*/ 19831 h 527165"/>
                <a:gd name="connsiteX13" fmla="*/ 254082 w 858469"/>
                <a:gd name="connsiteY13" fmla="*/ 39356 h 527165"/>
                <a:gd name="connsiteX14" fmla="*/ 254082 w 858469"/>
                <a:gd name="connsiteY14" fmla="*/ 58881 h 527165"/>
                <a:gd name="connsiteX15" fmla="*/ 273592 w 858469"/>
                <a:gd name="connsiteY15" fmla="*/ 78405 h 527165"/>
                <a:gd name="connsiteX16" fmla="*/ 293103 w 858469"/>
                <a:gd name="connsiteY16" fmla="*/ 97930 h 527165"/>
                <a:gd name="connsiteX17" fmla="*/ 293103 w 858469"/>
                <a:gd name="connsiteY17" fmla="*/ 117455 h 527165"/>
                <a:gd name="connsiteX18" fmla="*/ 312615 w 858469"/>
                <a:gd name="connsiteY18" fmla="*/ 136979 h 527165"/>
                <a:gd name="connsiteX19" fmla="*/ 332124 w 858469"/>
                <a:gd name="connsiteY19" fmla="*/ 156504 h 527165"/>
                <a:gd name="connsiteX20" fmla="*/ 351635 w 858469"/>
                <a:gd name="connsiteY20" fmla="*/ 176029 h 527165"/>
                <a:gd name="connsiteX21" fmla="*/ 371145 w 858469"/>
                <a:gd name="connsiteY21" fmla="*/ 176029 h 527165"/>
                <a:gd name="connsiteX22" fmla="*/ 390656 w 858469"/>
                <a:gd name="connsiteY22" fmla="*/ 195552 h 527165"/>
                <a:gd name="connsiteX23" fmla="*/ 410168 w 858469"/>
                <a:gd name="connsiteY23" fmla="*/ 195552 h 527165"/>
                <a:gd name="connsiteX24" fmla="*/ 429677 w 858469"/>
                <a:gd name="connsiteY24" fmla="*/ 215078 h 527165"/>
                <a:gd name="connsiteX25" fmla="*/ 449188 w 858469"/>
                <a:gd name="connsiteY25" fmla="*/ 234603 h 527165"/>
                <a:gd name="connsiteX26" fmla="*/ 468700 w 858469"/>
                <a:gd name="connsiteY26" fmla="*/ 254127 h 527165"/>
                <a:gd name="connsiteX27" fmla="*/ 488209 w 858469"/>
                <a:gd name="connsiteY27" fmla="*/ 273652 h 527165"/>
                <a:gd name="connsiteX28" fmla="*/ 507720 w 858469"/>
                <a:gd name="connsiteY28" fmla="*/ 273652 h 527165"/>
                <a:gd name="connsiteX29" fmla="*/ 527232 w 858469"/>
                <a:gd name="connsiteY29" fmla="*/ 273652 h 527165"/>
                <a:gd name="connsiteX30" fmla="*/ 546741 w 858469"/>
                <a:gd name="connsiteY30" fmla="*/ 273652 h 527165"/>
                <a:gd name="connsiteX31" fmla="*/ 566253 w 858469"/>
                <a:gd name="connsiteY31" fmla="*/ 273652 h 527165"/>
                <a:gd name="connsiteX32" fmla="*/ 585762 w 858469"/>
                <a:gd name="connsiteY32" fmla="*/ 293178 h 527165"/>
                <a:gd name="connsiteX33" fmla="*/ 605273 w 858469"/>
                <a:gd name="connsiteY33" fmla="*/ 312701 h 527165"/>
                <a:gd name="connsiteX34" fmla="*/ 624785 w 858469"/>
                <a:gd name="connsiteY34" fmla="*/ 312701 h 527165"/>
                <a:gd name="connsiteX35" fmla="*/ 644294 w 858469"/>
                <a:gd name="connsiteY35" fmla="*/ 312701 h 527165"/>
                <a:gd name="connsiteX36" fmla="*/ 663806 w 858469"/>
                <a:gd name="connsiteY36" fmla="*/ 293178 h 527165"/>
                <a:gd name="connsiteX37" fmla="*/ 683317 w 858469"/>
                <a:gd name="connsiteY37" fmla="*/ 312701 h 527165"/>
                <a:gd name="connsiteX38" fmla="*/ 702826 w 858469"/>
                <a:gd name="connsiteY38" fmla="*/ 312701 h 527165"/>
                <a:gd name="connsiteX39" fmla="*/ 722338 w 858469"/>
                <a:gd name="connsiteY39" fmla="*/ 312701 h 527165"/>
                <a:gd name="connsiteX40" fmla="*/ 741849 w 858469"/>
                <a:gd name="connsiteY40" fmla="*/ 332226 h 527165"/>
                <a:gd name="connsiteX41" fmla="*/ 761358 w 858469"/>
                <a:gd name="connsiteY41" fmla="*/ 351752 h 527165"/>
                <a:gd name="connsiteX42" fmla="*/ 780870 w 858469"/>
                <a:gd name="connsiteY42" fmla="*/ 351752 h 527165"/>
                <a:gd name="connsiteX43" fmla="*/ 800379 w 858469"/>
                <a:gd name="connsiteY43" fmla="*/ 351752 h 527165"/>
                <a:gd name="connsiteX44" fmla="*/ 819891 w 858469"/>
                <a:gd name="connsiteY44" fmla="*/ 371275 h 527165"/>
                <a:gd name="connsiteX45" fmla="*/ 819891 w 858469"/>
                <a:gd name="connsiteY45" fmla="*/ 390801 h 527165"/>
                <a:gd name="connsiteX46" fmla="*/ 839402 w 858469"/>
                <a:gd name="connsiteY46" fmla="*/ 410324 h 527165"/>
                <a:gd name="connsiteX47" fmla="*/ 819891 w 858469"/>
                <a:gd name="connsiteY47" fmla="*/ 429849 h 527165"/>
                <a:gd name="connsiteX48" fmla="*/ 839402 w 858469"/>
                <a:gd name="connsiteY48" fmla="*/ 449375 h 527165"/>
                <a:gd name="connsiteX49" fmla="*/ 839402 w 858469"/>
                <a:gd name="connsiteY49" fmla="*/ 468898 h 527165"/>
                <a:gd name="connsiteX50" fmla="*/ 839402 w 858469"/>
                <a:gd name="connsiteY50" fmla="*/ 488424 h 527165"/>
                <a:gd name="connsiteX51" fmla="*/ 858911 w 858469"/>
                <a:gd name="connsiteY51" fmla="*/ 507949 h 527165"/>
                <a:gd name="connsiteX52" fmla="*/ 858911 w 858469"/>
                <a:gd name="connsiteY52" fmla="*/ 527472 h 5271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</a:cxnLst>
              <a:rect l="l" t="t" r="r" b="b"/>
              <a:pathLst>
                <a:path w="858469" h="527165">
                  <a:moveTo>
                    <a:pt x="442" y="39356"/>
                  </a:moveTo>
                  <a:lnTo>
                    <a:pt x="19954" y="39356"/>
                  </a:lnTo>
                  <a:lnTo>
                    <a:pt x="39465" y="39356"/>
                  </a:lnTo>
                  <a:lnTo>
                    <a:pt x="58974" y="39356"/>
                  </a:lnTo>
                  <a:lnTo>
                    <a:pt x="78486" y="39356"/>
                  </a:lnTo>
                  <a:lnTo>
                    <a:pt x="97997" y="39356"/>
                  </a:lnTo>
                  <a:lnTo>
                    <a:pt x="117507" y="39356"/>
                  </a:lnTo>
                  <a:lnTo>
                    <a:pt x="137018" y="39356"/>
                  </a:lnTo>
                  <a:lnTo>
                    <a:pt x="156527" y="19831"/>
                  </a:lnTo>
                  <a:lnTo>
                    <a:pt x="176039" y="307"/>
                  </a:lnTo>
                  <a:lnTo>
                    <a:pt x="195550" y="307"/>
                  </a:lnTo>
                  <a:lnTo>
                    <a:pt x="215060" y="307"/>
                  </a:lnTo>
                  <a:lnTo>
                    <a:pt x="234571" y="19831"/>
                  </a:lnTo>
                  <a:lnTo>
                    <a:pt x="254082" y="39356"/>
                  </a:lnTo>
                  <a:lnTo>
                    <a:pt x="254082" y="58881"/>
                  </a:lnTo>
                  <a:lnTo>
                    <a:pt x="273592" y="78405"/>
                  </a:lnTo>
                  <a:lnTo>
                    <a:pt x="293103" y="97930"/>
                  </a:lnTo>
                  <a:lnTo>
                    <a:pt x="293103" y="117455"/>
                  </a:lnTo>
                  <a:lnTo>
                    <a:pt x="312615" y="136979"/>
                  </a:lnTo>
                  <a:lnTo>
                    <a:pt x="332124" y="156504"/>
                  </a:lnTo>
                  <a:lnTo>
                    <a:pt x="351635" y="176029"/>
                  </a:lnTo>
                  <a:lnTo>
                    <a:pt x="371145" y="176029"/>
                  </a:lnTo>
                  <a:lnTo>
                    <a:pt x="390656" y="195552"/>
                  </a:lnTo>
                  <a:lnTo>
                    <a:pt x="410168" y="195552"/>
                  </a:lnTo>
                  <a:lnTo>
                    <a:pt x="429677" y="215078"/>
                  </a:lnTo>
                  <a:lnTo>
                    <a:pt x="449188" y="234603"/>
                  </a:lnTo>
                  <a:lnTo>
                    <a:pt x="468700" y="254127"/>
                  </a:lnTo>
                  <a:lnTo>
                    <a:pt x="488209" y="273652"/>
                  </a:lnTo>
                  <a:lnTo>
                    <a:pt x="507720" y="273652"/>
                  </a:lnTo>
                  <a:lnTo>
                    <a:pt x="527232" y="273652"/>
                  </a:lnTo>
                  <a:lnTo>
                    <a:pt x="546741" y="273652"/>
                  </a:lnTo>
                  <a:lnTo>
                    <a:pt x="566253" y="273652"/>
                  </a:lnTo>
                  <a:lnTo>
                    <a:pt x="585762" y="293178"/>
                  </a:lnTo>
                  <a:lnTo>
                    <a:pt x="605273" y="312701"/>
                  </a:lnTo>
                  <a:lnTo>
                    <a:pt x="624785" y="312701"/>
                  </a:lnTo>
                  <a:lnTo>
                    <a:pt x="644294" y="312701"/>
                  </a:lnTo>
                  <a:lnTo>
                    <a:pt x="663806" y="293178"/>
                  </a:lnTo>
                  <a:lnTo>
                    <a:pt x="683317" y="312701"/>
                  </a:lnTo>
                  <a:lnTo>
                    <a:pt x="702826" y="312701"/>
                  </a:lnTo>
                  <a:lnTo>
                    <a:pt x="722338" y="312701"/>
                  </a:lnTo>
                  <a:lnTo>
                    <a:pt x="741849" y="332226"/>
                  </a:lnTo>
                  <a:lnTo>
                    <a:pt x="761358" y="351752"/>
                  </a:lnTo>
                  <a:lnTo>
                    <a:pt x="780870" y="351752"/>
                  </a:lnTo>
                  <a:lnTo>
                    <a:pt x="800379" y="351752"/>
                  </a:lnTo>
                  <a:lnTo>
                    <a:pt x="819891" y="371275"/>
                  </a:lnTo>
                  <a:lnTo>
                    <a:pt x="819891" y="390801"/>
                  </a:lnTo>
                  <a:lnTo>
                    <a:pt x="839402" y="410324"/>
                  </a:lnTo>
                  <a:lnTo>
                    <a:pt x="819891" y="429849"/>
                  </a:lnTo>
                  <a:lnTo>
                    <a:pt x="839402" y="449375"/>
                  </a:lnTo>
                  <a:lnTo>
                    <a:pt x="839402" y="468898"/>
                  </a:lnTo>
                  <a:lnTo>
                    <a:pt x="839402" y="488424"/>
                  </a:lnTo>
                  <a:lnTo>
                    <a:pt x="858911" y="507949"/>
                  </a:lnTo>
                  <a:lnTo>
                    <a:pt x="858911" y="527472"/>
                  </a:lnTo>
                </a:path>
              </a:pathLst>
            </a:custGeom>
            <a:noFill/>
            <a:ln w="261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8" name="Forma libre: forma 147">
              <a:extLst>
                <a:ext uri="{FF2B5EF4-FFF2-40B4-BE49-F238E27FC236}">
                  <a16:creationId xmlns:a16="http://schemas.microsoft.com/office/drawing/2014/main" id="{00000000-0008-0000-0400-000094000000}"/>
                </a:ext>
              </a:extLst>
            </xdr:cNvPr>
            <xdr:cNvSpPr/>
          </xdr:nvSpPr>
          <xdr:spPr>
            <a:xfrm>
              <a:off x="9302810" y="1499173"/>
              <a:ext cx="112416" cy="207831"/>
            </a:xfrm>
            <a:custGeom>
              <a:avLst/>
              <a:gdLst>
                <a:gd name="connsiteX0" fmla="*/ 442 w 448745"/>
                <a:gd name="connsiteY0" fmla="*/ 307 h 842049"/>
                <a:gd name="connsiteX1" fmla="*/ 442 w 448745"/>
                <a:gd name="connsiteY1" fmla="*/ 19832 h 842049"/>
                <a:gd name="connsiteX2" fmla="*/ 442 w 448745"/>
                <a:gd name="connsiteY2" fmla="*/ 39358 h 842049"/>
                <a:gd name="connsiteX3" fmla="*/ 442 w 448745"/>
                <a:gd name="connsiteY3" fmla="*/ 58881 h 842049"/>
                <a:gd name="connsiteX4" fmla="*/ 442 w 448745"/>
                <a:gd name="connsiteY4" fmla="*/ 78406 h 842049"/>
                <a:gd name="connsiteX5" fmla="*/ 442 w 448745"/>
                <a:gd name="connsiteY5" fmla="*/ 97930 h 842049"/>
                <a:gd name="connsiteX6" fmla="*/ 19954 w 448745"/>
                <a:gd name="connsiteY6" fmla="*/ 117455 h 842049"/>
                <a:gd name="connsiteX7" fmla="*/ 19954 w 448745"/>
                <a:gd name="connsiteY7" fmla="*/ 136981 h 842049"/>
                <a:gd name="connsiteX8" fmla="*/ 442 w 448745"/>
                <a:gd name="connsiteY8" fmla="*/ 156504 h 842049"/>
                <a:gd name="connsiteX9" fmla="*/ 442 w 448745"/>
                <a:gd name="connsiteY9" fmla="*/ 176029 h 842049"/>
                <a:gd name="connsiteX10" fmla="*/ 442 w 448745"/>
                <a:gd name="connsiteY10" fmla="*/ 195555 h 842049"/>
                <a:gd name="connsiteX11" fmla="*/ 442 w 448745"/>
                <a:gd name="connsiteY11" fmla="*/ 215078 h 842049"/>
                <a:gd name="connsiteX12" fmla="*/ 442 w 448745"/>
                <a:gd name="connsiteY12" fmla="*/ 234604 h 842049"/>
                <a:gd name="connsiteX13" fmla="*/ 442 w 448745"/>
                <a:gd name="connsiteY13" fmla="*/ 254127 h 842049"/>
                <a:gd name="connsiteX14" fmla="*/ 19954 w 448745"/>
                <a:gd name="connsiteY14" fmla="*/ 273652 h 842049"/>
                <a:gd name="connsiteX15" fmla="*/ 39465 w 448745"/>
                <a:gd name="connsiteY15" fmla="*/ 293178 h 842049"/>
                <a:gd name="connsiteX16" fmla="*/ 58974 w 448745"/>
                <a:gd name="connsiteY16" fmla="*/ 312701 h 842049"/>
                <a:gd name="connsiteX17" fmla="*/ 58974 w 448745"/>
                <a:gd name="connsiteY17" fmla="*/ 332227 h 842049"/>
                <a:gd name="connsiteX18" fmla="*/ 78486 w 448745"/>
                <a:gd name="connsiteY18" fmla="*/ 351752 h 842049"/>
                <a:gd name="connsiteX19" fmla="*/ 97995 w 448745"/>
                <a:gd name="connsiteY19" fmla="*/ 371275 h 842049"/>
                <a:gd name="connsiteX20" fmla="*/ 117507 w 448745"/>
                <a:gd name="connsiteY20" fmla="*/ 390801 h 842049"/>
                <a:gd name="connsiteX21" fmla="*/ 117507 w 448745"/>
                <a:gd name="connsiteY21" fmla="*/ 410326 h 842049"/>
                <a:gd name="connsiteX22" fmla="*/ 137018 w 448745"/>
                <a:gd name="connsiteY22" fmla="*/ 429849 h 842049"/>
                <a:gd name="connsiteX23" fmla="*/ 156527 w 448745"/>
                <a:gd name="connsiteY23" fmla="*/ 449375 h 842049"/>
                <a:gd name="connsiteX24" fmla="*/ 156527 w 448745"/>
                <a:gd name="connsiteY24" fmla="*/ 468898 h 842049"/>
                <a:gd name="connsiteX25" fmla="*/ 156527 w 448745"/>
                <a:gd name="connsiteY25" fmla="*/ 488424 h 842049"/>
                <a:gd name="connsiteX26" fmla="*/ 176039 w 448745"/>
                <a:gd name="connsiteY26" fmla="*/ 507949 h 842049"/>
                <a:gd name="connsiteX27" fmla="*/ 195550 w 448745"/>
                <a:gd name="connsiteY27" fmla="*/ 507949 h 842049"/>
                <a:gd name="connsiteX28" fmla="*/ 215059 w 448745"/>
                <a:gd name="connsiteY28" fmla="*/ 507949 h 842049"/>
                <a:gd name="connsiteX29" fmla="*/ 234571 w 448745"/>
                <a:gd name="connsiteY29" fmla="*/ 507949 h 842049"/>
                <a:gd name="connsiteX30" fmla="*/ 254082 w 448745"/>
                <a:gd name="connsiteY30" fmla="*/ 507949 h 842049"/>
                <a:gd name="connsiteX31" fmla="*/ 273592 w 448745"/>
                <a:gd name="connsiteY31" fmla="*/ 507949 h 842049"/>
                <a:gd name="connsiteX32" fmla="*/ 293103 w 448745"/>
                <a:gd name="connsiteY32" fmla="*/ 507949 h 842049"/>
                <a:gd name="connsiteX33" fmla="*/ 312612 w 448745"/>
                <a:gd name="connsiteY33" fmla="*/ 507949 h 842049"/>
                <a:gd name="connsiteX34" fmla="*/ 332124 w 448745"/>
                <a:gd name="connsiteY34" fmla="*/ 507949 h 842049"/>
                <a:gd name="connsiteX35" fmla="*/ 351635 w 448745"/>
                <a:gd name="connsiteY35" fmla="*/ 527472 h 842049"/>
                <a:gd name="connsiteX36" fmla="*/ 371145 w 448745"/>
                <a:gd name="connsiteY36" fmla="*/ 546998 h 842049"/>
                <a:gd name="connsiteX37" fmla="*/ 371145 w 448745"/>
                <a:gd name="connsiteY37" fmla="*/ 566523 h 842049"/>
                <a:gd name="connsiteX38" fmla="*/ 371145 w 448745"/>
                <a:gd name="connsiteY38" fmla="*/ 586047 h 842049"/>
                <a:gd name="connsiteX39" fmla="*/ 371145 w 448745"/>
                <a:gd name="connsiteY39" fmla="*/ 605572 h 842049"/>
                <a:gd name="connsiteX40" fmla="*/ 371145 w 448745"/>
                <a:gd name="connsiteY40" fmla="*/ 625098 h 842049"/>
                <a:gd name="connsiteX41" fmla="*/ 371145 w 448745"/>
                <a:gd name="connsiteY41" fmla="*/ 644621 h 842049"/>
                <a:gd name="connsiteX42" fmla="*/ 390656 w 448745"/>
                <a:gd name="connsiteY42" fmla="*/ 664146 h 842049"/>
                <a:gd name="connsiteX43" fmla="*/ 390656 w 448745"/>
                <a:gd name="connsiteY43" fmla="*/ 683670 h 842049"/>
                <a:gd name="connsiteX44" fmla="*/ 390656 w 448745"/>
                <a:gd name="connsiteY44" fmla="*/ 703195 h 842049"/>
                <a:gd name="connsiteX45" fmla="*/ 390656 w 448745"/>
                <a:gd name="connsiteY45" fmla="*/ 722721 h 842049"/>
                <a:gd name="connsiteX46" fmla="*/ 390656 w 448745"/>
                <a:gd name="connsiteY46" fmla="*/ 742244 h 842049"/>
                <a:gd name="connsiteX47" fmla="*/ 390656 w 448745"/>
                <a:gd name="connsiteY47" fmla="*/ 761769 h 842049"/>
                <a:gd name="connsiteX48" fmla="*/ 410167 w 448745"/>
                <a:gd name="connsiteY48" fmla="*/ 781295 h 842049"/>
                <a:gd name="connsiteX49" fmla="*/ 429677 w 448745"/>
                <a:gd name="connsiteY49" fmla="*/ 800818 h 842049"/>
                <a:gd name="connsiteX50" fmla="*/ 449188 w 448745"/>
                <a:gd name="connsiteY50" fmla="*/ 820343 h 842049"/>
                <a:gd name="connsiteX51" fmla="*/ 439681 w 448745"/>
                <a:gd name="connsiteY51" fmla="*/ 842357 h 8420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</a:cxnLst>
              <a:rect l="l" t="t" r="r" b="b"/>
              <a:pathLst>
                <a:path w="448745" h="842049">
                  <a:moveTo>
                    <a:pt x="442" y="307"/>
                  </a:moveTo>
                  <a:lnTo>
                    <a:pt x="442" y="19832"/>
                  </a:lnTo>
                  <a:lnTo>
                    <a:pt x="442" y="39358"/>
                  </a:lnTo>
                  <a:lnTo>
                    <a:pt x="442" y="58881"/>
                  </a:lnTo>
                  <a:lnTo>
                    <a:pt x="442" y="78406"/>
                  </a:lnTo>
                  <a:lnTo>
                    <a:pt x="442" y="97930"/>
                  </a:lnTo>
                  <a:lnTo>
                    <a:pt x="19954" y="117455"/>
                  </a:lnTo>
                  <a:lnTo>
                    <a:pt x="19954" y="136981"/>
                  </a:lnTo>
                  <a:lnTo>
                    <a:pt x="442" y="156504"/>
                  </a:lnTo>
                  <a:lnTo>
                    <a:pt x="442" y="176029"/>
                  </a:lnTo>
                  <a:lnTo>
                    <a:pt x="442" y="195555"/>
                  </a:lnTo>
                  <a:lnTo>
                    <a:pt x="442" y="215078"/>
                  </a:lnTo>
                  <a:lnTo>
                    <a:pt x="442" y="234604"/>
                  </a:lnTo>
                  <a:lnTo>
                    <a:pt x="442" y="254127"/>
                  </a:lnTo>
                  <a:lnTo>
                    <a:pt x="19954" y="273652"/>
                  </a:lnTo>
                  <a:lnTo>
                    <a:pt x="39465" y="293178"/>
                  </a:lnTo>
                  <a:lnTo>
                    <a:pt x="58974" y="312701"/>
                  </a:lnTo>
                  <a:lnTo>
                    <a:pt x="58974" y="332227"/>
                  </a:lnTo>
                  <a:lnTo>
                    <a:pt x="78486" y="351752"/>
                  </a:lnTo>
                  <a:lnTo>
                    <a:pt x="97995" y="371275"/>
                  </a:lnTo>
                  <a:lnTo>
                    <a:pt x="117507" y="390801"/>
                  </a:lnTo>
                  <a:lnTo>
                    <a:pt x="117507" y="410326"/>
                  </a:lnTo>
                  <a:lnTo>
                    <a:pt x="137018" y="429849"/>
                  </a:lnTo>
                  <a:lnTo>
                    <a:pt x="156527" y="449375"/>
                  </a:lnTo>
                  <a:lnTo>
                    <a:pt x="156527" y="468898"/>
                  </a:lnTo>
                  <a:lnTo>
                    <a:pt x="156527" y="488424"/>
                  </a:lnTo>
                  <a:lnTo>
                    <a:pt x="176039" y="507949"/>
                  </a:lnTo>
                  <a:lnTo>
                    <a:pt x="195550" y="507949"/>
                  </a:lnTo>
                  <a:lnTo>
                    <a:pt x="215059" y="507949"/>
                  </a:lnTo>
                  <a:lnTo>
                    <a:pt x="234571" y="507949"/>
                  </a:lnTo>
                  <a:lnTo>
                    <a:pt x="254082" y="507949"/>
                  </a:lnTo>
                  <a:lnTo>
                    <a:pt x="273592" y="507949"/>
                  </a:lnTo>
                  <a:lnTo>
                    <a:pt x="293103" y="507949"/>
                  </a:lnTo>
                  <a:lnTo>
                    <a:pt x="312612" y="507949"/>
                  </a:lnTo>
                  <a:lnTo>
                    <a:pt x="332124" y="507949"/>
                  </a:lnTo>
                  <a:lnTo>
                    <a:pt x="351635" y="527472"/>
                  </a:lnTo>
                  <a:lnTo>
                    <a:pt x="371145" y="546998"/>
                  </a:lnTo>
                  <a:lnTo>
                    <a:pt x="371145" y="566523"/>
                  </a:lnTo>
                  <a:lnTo>
                    <a:pt x="371145" y="586047"/>
                  </a:lnTo>
                  <a:lnTo>
                    <a:pt x="371145" y="605572"/>
                  </a:lnTo>
                  <a:lnTo>
                    <a:pt x="371145" y="625098"/>
                  </a:lnTo>
                  <a:lnTo>
                    <a:pt x="371145" y="644621"/>
                  </a:lnTo>
                  <a:lnTo>
                    <a:pt x="390656" y="664146"/>
                  </a:lnTo>
                  <a:lnTo>
                    <a:pt x="390656" y="683670"/>
                  </a:lnTo>
                  <a:lnTo>
                    <a:pt x="390656" y="703195"/>
                  </a:lnTo>
                  <a:lnTo>
                    <a:pt x="390656" y="722721"/>
                  </a:lnTo>
                  <a:lnTo>
                    <a:pt x="390656" y="742244"/>
                  </a:lnTo>
                  <a:lnTo>
                    <a:pt x="390656" y="761769"/>
                  </a:lnTo>
                  <a:lnTo>
                    <a:pt x="410167" y="781295"/>
                  </a:lnTo>
                  <a:lnTo>
                    <a:pt x="429677" y="800818"/>
                  </a:lnTo>
                  <a:lnTo>
                    <a:pt x="449188" y="820343"/>
                  </a:lnTo>
                  <a:lnTo>
                    <a:pt x="439681" y="842357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49" name="Forma libre: forma 148">
              <a:extLst>
                <a:ext uri="{FF2B5EF4-FFF2-40B4-BE49-F238E27FC236}">
                  <a16:creationId xmlns:a16="http://schemas.microsoft.com/office/drawing/2014/main" id="{00000000-0008-0000-0400-000095000000}"/>
                </a:ext>
              </a:extLst>
            </xdr:cNvPr>
            <xdr:cNvSpPr/>
          </xdr:nvSpPr>
          <xdr:spPr>
            <a:xfrm>
              <a:off x="8782962" y="1471143"/>
              <a:ext cx="243792" cy="113798"/>
            </a:xfrm>
            <a:custGeom>
              <a:avLst/>
              <a:gdLst>
                <a:gd name="connsiteX0" fmla="*/ 442 w 968487"/>
                <a:gd name="connsiteY0" fmla="*/ 19832 h 468593"/>
                <a:gd name="connsiteX1" fmla="*/ 12908 w 968487"/>
                <a:gd name="connsiteY1" fmla="*/ 19832 h 468593"/>
                <a:gd name="connsiteX2" fmla="*/ 32417 w 968487"/>
                <a:gd name="connsiteY2" fmla="*/ 39358 h 468593"/>
                <a:gd name="connsiteX3" fmla="*/ 51929 w 968487"/>
                <a:gd name="connsiteY3" fmla="*/ 58881 h 468593"/>
                <a:gd name="connsiteX4" fmla="*/ 71440 w 968487"/>
                <a:gd name="connsiteY4" fmla="*/ 58881 h 468593"/>
                <a:gd name="connsiteX5" fmla="*/ 90949 w 968487"/>
                <a:gd name="connsiteY5" fmla="*/ 58881 h 468593"/>
                <a:gd name="connsiteX6" fmla="*/ 110461 w 968487"/>
                <a:gd name="connsiteY6" fmla="*/ 58881 h 468593"/>
                <a:gd name="connsiteX7" fmla="*/ 129972 w 968487"/>
                <a:gd name="connsiteY7" fmla="*/ 39358 h 468593"/>
                <a:gd name="connsiteX8" fmla="*/ 149482 w 968487"/>
                <a:gd name="connsiteY8" fmla="*/ 39358 h 468593"/>
                <a:gd name="connsiteX9" fmla="*/ 168993 w 968487"/>
                <a:gd name="connsiteY9" fmla="*/ 39358 h 468593"/>
                <a:gd name="connsiteX10" fmla="*/ 188502 w 968487"/>
                <a:gd name="connsiteY10" fmla="*/ 39358 h 468593"/>
                <a:gd name="connsiteX11" fmla="*/ 208014 w 968487"/>
                <a:gd name="connsiteY11" fmla="*/ 19832 h 468593"/>
                <a:gd name="connsiteX12" fmla="*/ 227525 w 968487"/>
                <a:gd name="connsiteY12" fmla="*/ 307 h 468593"/>
                <a:gd name="connsiteX13" fmla="*/ 247034 w 968487"/>
                <a:gd name="connsiteY13" fmla="*/ 307 h 468593"/>
                <a:gd name="connsiteX14" fmla="*/ 266546 w 968487"/>
                <a:gd name="connsiteY14" fmla="*/ 307 h 468593"/>
                <a:gd name="connsiteX15" fmla="*/ 286057 w 968487"/>
                <a:gd name="connsiteY15" fmla="*/ 307 h 468593"/>
                <a:gd name="connsiteX16" fmla="*/ 305567 w 968487"/>
                <a:gd name="connsiteY16" fmla="*/ 307 h 468593"/>
                <a:gd name="connsiteX17" fmla="*/ 325078 w 968487"/>
                <a:gd name="connsiteY17" fmla="*/ 19832 h 468593"/>
                <a:gd name="connsiteX18" fmla="*/ 344590 w 968487"/>
                <a:gd name="connsiteY18" fmla="*/ 39358 h 468593"/>
                <a:gd name="connsiteX19" fmla="*/ 364099 w 968487"/>
                <a:gd name="connsiteY19" fmla="*/ 58881 h 468593"/>
                <a:gd name="connsiteX20" fmla="*/ 383610 w 968487"/>
                <a:gd name="connsiteY20" fmla="*/ 78406 h 468593"/>
                <a:gd name="connsiteX21" fmla="*/ 403120 w 968487"/>
                <a:gd name="connsiteY21" fmla="*/ 97932 h 468593"/>
                <a:gd name="connsiteX22" fmla="*/ 422631 w 968487"/>
                <a:gd name="connsiteY22" fmla="*/ 117455 h 468593"/>
                <a:gd name="connsiteX23" fmla="*/ 442142 w 968487"/>
                <a:gd name="connsiteY23" fmla="*/ 136981 h 468593"/>
                <a:gd name="connsiteX24" fmla="*/ 461652 w 968487"/>
                <a:gd name="connsiteY24" fmla="*/ 136981 h 468593"/>
                <a:gd name="connsiteX25" fmla="*/ 481163 w 968487"/>
                <a:gd name="connsiteY25" fmla="*/ 136981 h 468593"/>
                <a:gd name="connsiteX26" fmla="*/ 500674 w 968487"/>
                <a:gd name="connsiteY26" fmla="*/ 117455 h 468593"/>
                <a:gd name="connsiteX27" fmla="*/ 520184 w 968487"/>
                <a:gd name="connsiteY27" fmla="*/ 136981 h 468593"/>
                <a:gd name="connsiteX28" fmla="*/ 539695 w 968487"/>
                <a:gd name="connsiteY28" fmla="*/ 156506 h 468593"/>
                <a:gd name="connsiteX29" fmla="*/ 539695 w 968487"/>
                <a:gd name="connsiteY29" fmla="*/ 176029 h 468593"/>
                <a:gd name="connsiteX30" fmla="*/ 559206 w 968487"/>
                <a:gd name="connsiteY30" fmla="*/ 195555 h 468593"/>
                <a:gd name="connsiteX31" fmla="*/ 578716 w 968487"/>
                <a:gd name="connsiteY31" fmla="*/ 195555 h 468593"/>
                <a:gd name="connsiteX32" fmla="*/ 598227 w 968487"/>
                <a:gd name="connsiteY32" fmla="*/ 215078 h 468593"/>
                <a:gd name="connsiteX33" fmla="*/ 617738 w 968487"/>
                <a:gd name="connsiteY33" fmla="*/ 234604 h 468593"/>
                <a:gd name="connsiteX34" fmla="*/ 637248 w 968487"/>
                <a:gd name="connsiteY34" fmla="*/ 234604 h 468593"/>
                <a:gd name="connsiteX35" fmla="*/ 656759 w 968487"/>
                <a:gd name="connsiteY35" fmla="*/ 234604 h 468593"/>
                <a:gd name="connsiteX36" fmla="*/ 676270 w 968487"/>
                <a:gd name="connsiteY36" fmla="*/ 254129 h 468593"/>
                <a:gd name="connsiteX37" fmla="*/ 695780 w 968487"/>
                <a:gd name="connsiteY37" fmla="*/ 254129 h 468593"/>
                <a:gd name="connsiteX38" fmla="*/ 715291 w 968487"/>
                <a:gd name="connsiteY38" fmla="*/ 254129 h 468593"/>
                <a:gd name="connsiteX39" fmla="*/ 734802 w 968487"/>
                <a:gd name="connsiteY39" fmla="*/ 254129 h 468593"/>
                <a:gd name="connsiteX40" fmla="*/ 754312 w 968487"/>
                <a:gd name="connsiteY40" fmla="*/ 273652 h 468593"/>
                <a:gd name="connsiteX41" fmla="*/ 754312 w 968487"/>
                <a:gd name="connsiteY41" fmla="*/ 293178 h 468593"/>
                <a:gd name="connsiteX42" fmla="*/ 754312 w 968487"/>
                <a:gd name="connsiteY42" fmla="*/ 312703 h 468593"/>
                <a:gd name="connsiteX43" fmla="*/ 773823 w 968487"/>
                <a:gd name="connsiteY43" fmla="*/ 332227 h 468593"/>
                <a:gd name="connsiteX44" fmla="*/ 793334 w 968487"/>
                <a:gd name="connsiteY44" fmla="*/ 351752 h 468593"/>
                <a:gd name="connsiteX45" fmla="*/ 812845 w 968487"/>
                <a:gd name="connsiteY45" fmla="*/ 371275 h 468593"/>
                <a:gd name="connsiteX46" fmla="*/ 832354 w 968487"/>
                <a:gd name="connsiteY46" fmla="*/ 390801 h 468593"/>
                <a:gd name="connsiteX47" fmla="*/ 851866 w 968487"/>
                <a:gd name="connsiteY47" fmla="*/ 390801 h 468593"/>
                <a:gd name="connsiteX48" fmla="*/ 871377 w 968487"/>
                <a:gd name="connsiteY48" fmla="*/ 410326 h 468593"/>
                <a:gd name="connsiteX49" fmla="*/ 890886 w 968487"/>
                <a:gd name="connsiteY49" fmla="*/ 429849 h 468593"/>
                <a:gd name="connsiteX50" fmla="*/ 910398 w 968487"/>
                <a:gd name="connsiteY50" fmla="*/ 449375 h 468593"/>
                <a:gd name="connsiteX51" fmla="*/ 929909 w 968487"/>
                <a:gd name="connsiteY51" fmla="*/ 468900 h 468593"/>
                <a:gd name="connsiteX52" fmla="*/ 949418 w 968487"/>
                <a:gd name="connsiteY52" fmla="*/ 468900 h 468593"/>
                <a:gd name="connsiteX53" fmla="*/ 968930 w 968487"/>
                <a:gd name="connsiteY53" fmla="*/ 449375 h 46859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</a:cxnLst>
              <a:rect l="l" t="t" r="r" b="b"/>
              <a:pathLst>
                <a:path w="968487" h="468593">
                  <a:moveTo>
                    <a:pt x="442" y="19832"/>
                  </a:moveTo>
                  <a:lnTo>
                    <a:pt x="12908" y="19832"/>
                  </a:lnTo>
                  <a:lnTo>
                    <a:pt x="32417" y="39358"/>
                  </a:lnTo>
                  <a:lnTo>
                    <a:pt x="51929" y="58881"/>
                  </a:lnTo>
                  <a:lnTo>
                    <a:pt x="71440" y="58881"/>
                  </a:lnTo>
                  <a:lnTo>
                    <a:pt x="90949" y="58881"/>
                  </a:lnTo>
                  <a:lnTo>
                    <a:pt x="110461" y="58881"/>
                  </a:lnTo>
                  <a:lnTo>
                    <a:pt x="129972" y="39358"/>
                  </a:lnTo>
                  <a:lnTo>
                    <a:pt x="149482" y="39358"/>
                  </a:lnTo>
                  <a:lnTo>
                    <a:pt x="168993" y="39358"/>
                  </a:lnTo>
                  <a:lnTo>
                    <a:pt x="188502" y="39358"/>
                  </a:lnTo>
                  <a:lnTo>
                    <a:pt x="208014" y="19832"/>
                  </a:lnTo>
                  <a:lnTo>
                    <a:pt x="227525" y="307"/>
                  </a:lnTo>
                  <a:lnTo>
                    <a:pt x="247034" y="307"/>
                  </a:lnTo>
                  <a:lnTo>
                    <a:pt x="266546" y="307"/>
                  </a:lnTo>
                  <a:lnTo>
                    <a:pt x="286057" y="307"/>
                  </a:lnTo>
                  <a:lnTo>
                    <a:pt x="305567" y="307"/>
                  </a:lnTo>
                  <a:lnTo>
                    <a:pt x="325078" y="19832"/>
                  </a:lnTo>
                  <a:lnTo>
                    <a:pt x="344590" y="39358"/>
                  </a:lnTo>
                  <a:lnTo>
                    <a:pt x="364099" y="58881"/>
                  </a:lnTo>
                  <a:lnTo>
                    <a:pt x="383610" y="78406"/>
                  </a:lnTo>
                  <a:lnTo>
                    <a:pt x="403120" y="97932"/>
                  </a:lnTo>
                  <a:lnTo>
                    <a:pt x="422631" y="117455"/>
                  </a:lnTo>
                  <a:lnTo>
                    <a:pt x="442142" y="136981"/>
                  </a:lnTo>
                  <a:lnTo>
                    <a:pt x="461652" y="136981"/>
                  </a:lnTo>
                  <a:lnTo>
                    <a:pt x="481163" y="136981"/>
                  </a:lnTo>
                  <a:lnTo>
                    <a:pt x="500674" y="117455"/>
                  </a:lnTo>
                  <a:lnTo>
                    <a:pt x="520184" y="136981"/>
                  </a:lnTo>
                  <a:lnTo>
                    <a:pt x="539695" y="156506"/>
                  </a:lnTo>
                  <a:lnTo>
                    <a:pt x="539695" y="176029"/>
                  </a:lnTo>
                  <a:lnTo>
                    <a:pt x="559206" y="195555"/>
                  </a:lnTo>
                  <a:lnTo>
                    <a:pt x="578716" y="195555"/>
                  </a:lnTo>
                  <a:lnTo>
                    <a:pt x="598227" y="215078"/>
                  </a:lnTo>
                  <a:lnTo>
                    <a:pt x="617738" y="234604"/>
                  </a:lnTo>
                  <a:lnTo>
                    <a:pt x="637248" y="234604"/>
                  </a:lnTo>
                  <a:lnTo>
                    <a:pt x="656759" y="234604"/>
                  </a:lnTo>
                  <a:lnTo>
                    <a:pt x="676270" y="254129"/>
                  </a:lnTo>
                  <a:lnTo>
                    <a:pt x="695780" y="254129"/>
                  </a:lnTo>
                  <a:lnTo>
                    <a:pt x="715291" y="254129"/>
                  </a:lnTo>
                  <a:lnTo>
                    <a:pt x="734802" y="254129"/>
                  </a:lnTo>
                  <a:lnTo>
                    <a:pt x="754312" y="273652"/>
                  </a:lnTo>
                  <a:lnTo>
                    <a:pt x="754312" y="293178"/>
                  </a:lnTo>
                  <a:lnTo>
                    <a:pt x="754312" y="312703"/>
                  </a:lnTo>
                  <a:lnTo>
                    <a:pt x="773823" y="332227"/>
                  </a:lnTo>
                  <a:lnTo>
                    <a:pt x="793334" y="351752"/>
                  </a:lnTo>
                  <a:lnTo>
                    <a:pt x="812845" y="371275"/>
                  </a:lnTo>
                  <a:lnTo>
                    <a:pt x="832354" y="390801"/>
                  </a:lnTo>
                  <a:lnTo>
                    <a:pt x="851866" y="390801"/>
                  </a:lnTo>
                  <a:lnTo>
                    <a:pt x="871377" y="410326"/>
                  </a:lnTo>
                  <a:lnTo>
                    <a:pt x="890886" y="429849"/>
                  </a:lnTo>
                  <a:lnTo>
                    <a:pt x="910398" y="449375"/>
                  </a:lnTo>
                  <a:lnTo>
                    <a:pt x="929909" y="468900"/>
                  </a:lnTo>
                  <a:lnTo>
                    <a:pt x="949418" y="468900"/>
                  </a:lnTo>
                  <a:lnTo>
                    <a:pt x="968930" y="449375"/>
                  </a:lnTo>
                </a:path>
              </a:pathLst>
            </a:custGeom>
            <a:noFill/>
            <a:ln w="7402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0" name="Forma libre: forma 149">
              <a:extLst>
                <a:ext uri="{FF2B5EF4-FFF2-40B4-BE49-F238E27FC236}">
                  <a16:creationId xmlns:a16="http://schemas.microsoft.com/office/drawing/2014/main" id="{00000000-0008-0000-0400-000096000000}"/>
                </a:ext>
              </a:extLst>
            </xdr:cNvPr>
            <xdr:cNvSpPr/>
          </xdr:nvSpPr>
          <xdr:spPr>
            <a:xfrm>
              <a:off x="9465277" y="1269645"/>
              <a:ext cx="96678" cy="120401"/>
            </a:xfrm>
            <a:custGeom>
              <a:avLst/>
              <a:gdLst>
                <a:gd name="connsiteX0" fmla="*/ 386100 w 390222"/>
                <a:gd name="connsiteY0" fmla="*/ 307 h 492679"/>
                <a:gd name="connsiteX1" fmla="*/ 390665 w 390222"/>
                <a:gd name="connsiteY1" fmla="*/ 4870 h 492679"/>
                <a:gd name="connsiteX2" fmla="*/ 390665 w 390222"/>
                <a:gd name="connsiteY2" fmla="*/ 24393 h 492679"/>
                <a:gd name="connsiteX3" fmla="*/ 390665 w 390222"/>
                <a:gd name="connsiteY3" fmla="*/ 43919 h 492679"/>
                <a:gd name="connsiteX4" fmla="*/ 390665 w 390222"/>
                <a:gd name="connsiteY4" fmla="*/ 63444 h 492679"/>
                <a:gd name="connsiteX5" fmla="*/ 371144 w 390222"/>
                <a:gd name="connsiteY5" fmla="*/ 82968 h 492679"/>
                <a:gd name="connsiteX6" fmla="*/ 371144 w 390222"/>
                <a:gd name="connsiteY6" fmla="*/ 102493 h 492679"/>
                <a:gd name="connsiteX7" fmla="*/ 371144 w 390222"/>
                <a:gd name="connsiteY7" fmla="*/ 122018 h 492679"/>
                <a:gd name="connsiteX8" fmla="*/ 371144 w 390222"/>
                <a:gd name="connsiteY8" fmla="*/ 141542 h 492679"/>
                <a:gd name="connsiteX9" fmla="*/ 351624 w 390222"/>
                <a:gd name="connsiteY9" fmla="*/ 161067 h 492679"/>
                <a:gd name="connsiteX10" fmla="*/ 351624 w 390222"/>
                <a:gd name="connsiteY10" fmla="*/ 180592 h 492679"/>
                <a:gd name="connsiteX11" fmla="*/ 332126 w 390222"/>
                <a:gd name="connsiteY11" fmla="*/ 200116 h 492679"/>
                <a:gd name="connsiteX12" fmla="*/ 351624 w 390222"/>
                <a:gd name="connsiteY12" fmla="*/ 219641 h 492679"/>
                <a:gd name="connsiteX13" fmla="*/ 351624 w 390222"/>
                <a:gd name="connsiteY13" fmla="*/ 239166 h 492679"/>
                <a:gd name="connsiteX14" fmla="*/ 351624 w 390222"/>
                <a:gd name="connsiteY14" fmla="*/ 258690 h 492679"/>
                <a:gd name="connsiteX15" fmla="*/ 351624 w 390222"/>
                <a:gd name="connsiteY15" fmla="*/ 278215 h 492679"/>
                <a:gd name="connsiteX16" fmla="*/ 332126 w 390222"/>
                <a:gd name="connsiteY16" fmla="*/ 297740 h 492679"/>
                <a:gd name="connsiteX17" fmla="*/ 332126 w 390222"/>
                <a:gd name="connsiteY17" fmla="*/ 317264 h 492679"/>
                <a:gd name="connsiteX18" fmla="*/ 332126 w 390222"/>
                <a:gd name="connsiteY18" fmla="*/ 336789 h 492679"/>
                <a:gd name="connsiteX19" fmla="*/ 312606 w 390222"/>
                <a:gd name="connsiteY19" fmla="*/ 356314 h 492679"/>
                <a:gd name="connsiteX20" fmla="*/ 293107 w 390222"/>
                <a:gd name="connsiteY20" fmla="*/ 356314 h 492679"/>
                <a:gd name="connsiteX21" fmla="*/ 273587 w 390222"/>
                <a:gd name="connsiteY21" fmla="*/ 356314 h 492679"/>
                <a:gd name="connsiteX22" fmla="*/ 254089 w 390222"/>
                <a:gd name="connsiteY22" fmla="*/ 356314 h 492679"/>
                <a:gd name="connsiteX23" fmla="*/ 234568 w 390222"/>
                <a:gd name="connsiteY23" fmla="*/ 336789 h 492679"/>
                <a:gd name="connsiteX24" fmla="*/ 215070 w 390222"/>
                <a:gd name="connsiteY24" fmla="*/ 336789 h 492679"/>
                <a:gd name="connsiteX25" fmla="*/ 195550 w 390222"/>
                <a:gd name="connsiteY25" fmla="*/ 317264 h 492679"/>
                <a:gd name="connsiteX26" fmla="*/ 176030 w 390222"/>
                <a:gd name="connsiteY26" fmla="*/ 317264 h 492679"/>
                <a:gd name="connsiteX27" fmla="*/ 156532 w 390222"/>
                <a:gd name="connsiteY27" fmla="*/ 297740 h 492679"/>
                <a:gd name="connsiteX28" fmla="*/ 137011 w 390222"/>
                <a:gd name="connsiteY28" fmla="*/ 297740 h 492679"/>
                <a:gd name="connsiteX29" fmla="*/ 117513 w 390222"/>
                <a:gd name="connsiteY29" fmla="*/ 297740 h 492679"/>
                <a:gd name="connsiteX30" fmla="*/ 97993 w 390222"/>
                <a:gd name="connsiteY30" fmla="*/ 317264 h 492679"/>
                <a:gd name="connsiteX31" fmla="*/ 78486 w 390222"/>
                <a:gd name="connsiteY31" fmla="*/ 336789 h 492679"/>
                <a:gd name="connsiteX32" fmla="*/ 58974 w 390222"/>
                <a:gd name="connsiteY32" fmla="*/ 356314 h 492679"/>
                <a:gd name="connsiteX33" fmla="*/ 58974 w 390222"/>
                <a:gd name="connsiteY33" fmla="*/ 375838 h 492679"/>
                <a:gd name="connsiteX34" fmla="*/ 58974 w 390222"/>
                <a:gd name="connsiteY34" fmla="*/ 395363 h 492679"/>
                <a:gd name="connsiteX35" fmla="*/ 39465 w 390222"/>
                <a:gd name="connsiteY35" fmla="*/ 414888 h 492679"/>
                <a:gd name="connsiteX36" fmla="*/ 19953 w 390222"/>
                <a:gd name="connsiteY36" fmla="*/ 434412 h 492679"/>
                <a:gd name="connsiteX37" fmla="*/ 442 w 390222"/>
                <a:gd name="connsiteY37" fmla="*/ 453937 h 492679"/>
                <a:gd name="connsiteX38" fmla="*/ 442 w 390222"/>
                <a:gd name="connsiteY38" fmla="*/ 473462 h 492679"/>
                <a:gd name="connsiteX39" fmla="*/ 442 w 390222"/>
                <a:gd name="connsiteY39" fmla="*/ 492986 h 49267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</a:cxnLst>
              <a:rect l="l" t="t" r="r" b="b"/>
              <a:pathLst>
                <a:path w="390222" h="492679">
                  <a:moveTo>
                    <a:pt x="386100" y="307"/>
                  </a:moveTo>
                  <a:lnTo>
                    <a:pt x="390665" y="4870"/>
                  </a:lnTo>
                  <a:lnTo>
                    <a:pt x="390665" y="24393"/>
                  </a:lnTo>
                  <a:lnTo>
                    <a:pt x="390665" y="43919"/>
                  </a:lnTo>
                  <a:lnTo>
                    <a:pt x="390665" y="63444"/>
                  </a:lnTo>
                  <a:lnTo>
                    <a:pt x="371144" y="82968"/>
                  </a:lnTo>
                  <a:lnTo>
                    <a:pt x="371144" y="102493"/>
                  </a:lnTo>
                  <a:lnTo>
                    <a:pt x="371144" y="122018"/>
                  </a:lnTo>
                  <a:lnTo>
                    <a:pt x="371144" y="141542"/>
                  </a:lnTo>
                  <a:lnTo>
                    <a:pt x="351624" y="161067"/>
                  </a:lnTo>
                  <a:lnTo>
                    <a:pt x="351624" y="180592"/>
                  </a:lnTo>
                  <a:lnTo>
                    <a:pt x="332126" y="200116"/>
                  </a:lnTo>
                  <a:lnTo>
                    <a:pt x="351624" y="219641"/>
                  </a:lnTo>
                  <a:lnTo>
                    <a:pt x="351624" y="239166"/>
                  </a:lnTo>
                  <a:lnTo>
                    <a:pt x="351624" y="258690"/>
                  </a:lnTo>
                  <a:lnTo>
                    <a:pt x="351624" y="278215"/>
                  </a:lnTo>
                  <a:lnTo>
                    <a:pt x="332126" y="297740"/>
                  </a:lnTo>
                  <a:lnTo>
                    <a:pt x="332126" y="317264"/>
                  </a:lnTo>
                  <a:lnTo>
                    <a:pt x="332126" y="336789"/>
                  </a:lnTo>
                  <a:lnTo>
                    <a:pt x="312606" y="356314"/>
                  </a:lnTo>
                  <a:lnTo>
                    <a:pt x="293107" y="356314"/>
                  </a:lnTo>
                  <a:lnTo>
                    <a:pt x="273587" y="356314"/>
                  </a:lnTo>
                  <a:lnTo>
                    <a:pt x="254089" y="356314"/>
                  </a:lnTo>
                  <a:lnTo>
                    <a:pt x="234568" y="336789"/>
                  </a:lnTo>
                  <a:lnTo>
                    <a:pt x="215070" y="336789"/>
                  </a:lnTo>
                  <a:lnTo>
                    <a:pt x="195550" y="317264"/>
                  </a:lnTo>
                  <a:lnTo>
                    <a:pt x="176030" y="317264"/>
                  </a:lnTo>
                  <a:lnTo>
                    <a:pt x="156532" y="297740"/>
                  </a:lnTo>
                  <a:lnTo>
                    <a:pt x="137011" y="297740"/>
                  </a:lnTo>
                  <a:lnTo>
                    <a:pt x="117513" y="297740"/>
                  </a:lnTo>
                  <a:lnTo>
                    <a:pt x="97993" y="317264"/>
                  </a:lnTo>
                  <a:lnTo>
                    <a:pt x="78486" y="336789"/>
                  </a:lnTo>
                  <a:lnTo>
                    <a:pt x="58974" y="356314"/>
                  </a:lnTo>
                  <a:lnTo>
                    <a:pt x="58974" y="375838"/>
                  </a:lnTo>
                  <a:lnTo>
                    <a:pt x="58974" y="395363"/>
                  </a:lnTo>
                  <a:lnTo>
                    <a:pt x="39465" y="414888"/>
                  </a:lnTo>
                  <a:lnTo>
                    <a:pt x="19953" y="434412"/>
                  </a:lnTo>
                  <a:lnTo>
                    <a:pt x="442" y="453937"/>
                  </a:lnTo>
                  <a:lnTo>
                    <a:pt x="442" y="473462"/>
                  </a:lnTo>
                  <a:lnTo>
                    <a:pt x="442" y="492986"/>
                  </a:lnTo>
                </a:path>
              </a:pathLst>
            </a:custGeom>
            <a:noFill/>
            <a:ln w="37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1" name="Forma libre: forma 150">
              <a:extLst>
                <a:ext uri="{FF2B5EF4-FFF2-40B4-BE49-F238E27FC236}">
                  <a16:creationId xmlns:a16="http://schemas.microsoft.com/office/drawing/2014/main" id="{00000000-0008-0000-0400-000097000000}"/>
                </a:ext>
              </a:extLst>
            </xdr:cNvPr>
            <xdr:cNvSpPr/>
          </xdr:nvSpPr>
          <xdr:spPr>
            <a:xfrm>
              <a:off x="9680429" y="1778163"/>
              <a:ext cx="4890" cy="4672"/>
            </a:xfrm>
            <a:custGeom>
              <a:avLst/>
              <a:gdLst>
                <a:gd name="connsiteX0" fmla="*/ 442 w 19520"/>
                <a:gd name="connsiteY0" fmla="*/ 307 h 19525"/>
                <a:gd name="connsiteX1" fmla="*/ 19962 w 19520"/>
                <a:gd name="connsiteY1" fmla="*/ 19832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20" h="19525">
                  <a:moveTo>
                    <a:pt x="442" y="307"/>
                  </a:moveTo>
                  <a:lnTo>
                    <a:pt x="19962" y="19832"/>
                  </a:lnTo>
                </a:path>
              </a:pathLst>
            </a:custGeom>
            <a:noFill/>
            <a:ln w="1905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2" name="Forma libre: forma 151">
              <a:extLst>
                <a:ext uri="{FF2B5EF4-FFF2-40B4-BE49-F238E27FC236}">
                  <a16:creationId xmlns:a16="http://schemas.microsoft.com/office/drawing/2014/main" id="{00000000-0008-0000-0400-000098000000}"/>
                </a:ext>
              </a:extLst>
            </xdr:cNvPr>
            <xdr:cNvSpPr/>
          </xdr:nvSpPr>
          <xdr:spPr>
            <a:xfrm>
              <a:off x="9630377" y="1706409"/>
              <a:ext cx="50052" cy="71754"/>
            </a:xfrm>
            <a:custGeom>
              <a:avLst/>
              <a:gdLst>
                <a:gd name="connsiteX0" fmla="*/ 442 w 195114"/>
                <a:gd name="connsiteY0" fmla="*/ 307 h 292871"/>
                <a:gd name="connsiteX1" fmla="*/ 442 w 195114"/>
                <a:gd name="connsiteY1" fmla="*/ 19832 h 292871"/>
                <a:gd name="connsiteX2" fmla="*/ 19962 w 195114"/>
                <a:gd name="connsiteY2" fmla="*/ 39358 h 292871"/>
                <a:gd name="connsiteX3" fmla="*/ 39483 w 195114"/>
                <a:gd name="connsiteY3" fmla="*/ 39358 h 292871"/>
                <a:gd name="connsiteX4" fmla="*/ 58981 w 195114"/>
                <a:gd name="connsiteY4" fmla="*/ 39358 h 292871"/>
                <a:gd name="connsiteX5" fmla="*/ 78501 w 195114"/>
                <a:gd name="connsiteY5" fmla="*/ 39358 h 292871"/>
                <a:gd name="connsiteX6" fmla="*/ 97999 w 195114"/>
                <a:gd name="connsiteY6" fmla="*/ 39358 h 292871"/>
                <a:gd name="connsiteX7" fmla="*/ 117520 w 195114"/>
                <a:gd name="connsiteY7" fmla="*/ 58881 h 292871"/>
                <a:gd name="connsiteX8" fmla="*/ 137018 w 195114"/>
                <a:gd name="connsiteY8" fmla="*/ 58881 h 292871"/>
                <a:gd name="connsiteX9" fmla="*/ 137018 w 195114"/>
                <a:gd name="connsiteY9" fmla="*/ 78406 h 292871"/>
                <a:gd name="connsiteX10" fmla="*/ 137018 w 195114"/>
                <a:gd name="connsiteY10" fmla="*/ 97932 h 292871"/>
                <a:gd name="connsiteX11" fmla="*/ 137018 w 195114"/>
                <a:gd name="connsiteY11" fmla="*/ 117455 h 292871"/>
                <a:gd name="connsiteX12" fmla="*/ 117520 w 195114"/>
                <a:gd name="connsiteY12" fmla="*/ 136981 h 292871"/>
                <a:gd name="connsiteX13" fmla="*/ 117520 w 195114"/>
                <a:gd name="connsiteY13" fmla="*/ 156506 h 292871"/>
                <a:gd name="connsiteX14" fmla="*/ 137018 w 195114"/>
                <a:gd name="connsiteY14" fmla="*/ 176029 h 292871"/>
                <a:gd name="connsiteX15" fmla="*/ 137018 w 195114"/>
                <a:gd name="connsiteY15" fmla="*/ 195555 h 292871"/>
                <a:gd name="connsiteX16" fmla="*/ 137018 w 195114"/>
                <a:gd name="connsiteY16" fmla="*/ 215078 h 292871"/>
                <a:gd name="connsiteX17" fmla="*/ 137018 w 195114"/>
                <a:gd name="connsiteY17" fmla="*/ 234603 h 292871"/>
                <a:gd name="connsiteX18" fmla="*/ 137018 w 195114"/>
                <a:gd name="connsiteY18" fmla="*/ 254129 h 292871"/>
                <a:gd name="connsiteX19" fmla="*/ 156538 w 195114"/>
                <a:gd name="connsiteY19" fmla="*/ 273652 h 292871"/>
                <a:gd name="connsiteX20" fmla="*/ 176059 w 195114"/>
                <a:gd name="connsiteY20" fmla="*/ 293178 h 292871"/>
                <a:gd name="connsiteX21" fmla="*/ 195557 w 195114"/>
                <a:gd name="connsiteY21" fmla="*/ 293178 h 2928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</a:cxnLst>
              <a:rect l="l" t="t" r="r" b="b"/>
              <a:pathLst>
                <a:path w="195114" h="292871">
                  <a:moveTo>
                    <a:pt x="442" y="307"/>
                  </a:moveTo>
                  <a:lnTo>
                    <a:pt x="442" y="19832"/>
                  </a:lnTo>
                  <a:lnTo>
                    <a:pt x="19962" y="39358"/>
                  </a:lnTo>
                  <a:lnTo>
                    <a:pt x="39483" y="39358"/>
                  </a:lnTo>
                  <a:lnTo>
                    <a:pt x="58981" y="39358"/>
                  </a:lnTo>
                  <a:lnTo>
                    <a:pt x="78501" y="39358"/>
                  </a:lnTo>
                  <a:lnTo>
                    <a:pt x="97999" y="39358"/>
                  </a:lnTo>
                  <a:lnTo>
                    <a:pt x="117520" y="58881"/>
                  </a:lnTo>
                  <a:lnTo>
                    <a:pt x="137018" y="58881"/>
                  </a:lnTo>
                  <a:lnTo>
                    <a:pt x="137018" y="78406"/>
                  </a:lnTo>
                  <a:lnTo>
                    <a:pt x="137018" y="97932"/>
                  </a:lnTo>
                  <a:lnTo>
                    <a:pt x="137018" y="117455"/>
                  </a:lnTo>
                  <a:lnTo>
                    <a:pt x="117520" y="136981"/>
                  </a:lnTo>
                  <a:lnTo>
                    <a:pt x="117520" y="156506"/>
                  </a:lnTo>
                  <a:lnTo>
                    <a:pt x="137018" y="176029"/>
                  </a:lnTo>
                  <a:lnTo>
                    <a:pt x="137018" y="195555"/>
                  </a:lnTo>
                  <a:lnTo>
                    <a:pt x="137018" y="215078"/>
                  </a:lnTo>
                  <a:lnTo>
                    <a:pt x="137018" y="234603"/>
                  </a:lnTo>
                  <a:lnTo>
                    <a:pt x="137018" y="254129"/>
                  </a:lnTo>
                  <a:lnTo>
                    <a:pt x="156538" y="273652"/>
                  </a:lnTo>
                  <a:lnTo>
                    <a:pt x="176059" y="293178"/>
                  </a:lnTo>
                  <a:lnTo>
                    <a:pt x="195557" y="293178"/>
                  </a:lnTo>
                </a:path>
              </a:pathLst>
            </a:custGeom>
            <a:noFill/>
            <a:ln w="1887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3" name="Forma libre: forma 152">
              <a:extLst>
                <a:ext uri="{FF2B5EF4-FFF2-40B4-BE49-F238E27FC236}">
                  <a16:creationId xmlns:a16="http://schemas.microsoft.com/office/drawing/2014/main" id="{00000000-0008-0000-0400-000099000000}"/>
                </a:ext>
              </a:extLst>
            </xdr:cNvPr>
            <xdr:cNvSpPr/>
          </xdr:nvSpPr>
          <xdr:spPr>
            <a:xfrm>
              <a:off x="9630377" y="1701737"/>
              <a:ext cx="555" cy="4671"/>
            </a:xfrm>
            <a:custGeom>
              <a:avLst/>
              <a:gdLst>
                <a:gd name="connsiteX0" fmla="*/ 442 w 2216"/>
                <a:gd name="connsiteY0" fmla="*/ 307 h 19523"/>
                <a:gd name="connsiteX1" fmla="*/ 442 w 2216"/>
                <a:gd name="connsiteY1" fmla="*/ 19830 h 195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2216" h="19523">
                  <a:moveTo>
                    <a:pt x="442" y="307"/>
                  </a:moveTo>
                  <a:lnTo>
                    <a:pt x="442" y="19830"/>
                  </a:lnTo>
                </a:path>
              </a:pathLst>
            </a:custGeom>
            <a:noFill/>
            <a:ln w="18689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4" name="Forma libre: forma 153">
              <a:extLst>
                <a:ext uri="{FF2B5EF4-FFF2-40B4-BE49-F238E27FC236}">
                  <a16:creationId xmlns:a16="http://schemas.microsoft.com/office/drawing/2014/main" id="{00000000-0008-0000-0400-00009A000000}"/>
                </a:ext>
              </a:extLst>
            </xdr:cNvPr>
            <xdr:cNvSpPr/>
          </xdr:nvSpPr>
          <xdr:spPr>
            <a:xfrm>
              <a:off x="9465277" y="1390046"/>
              <a:ext cx="165122" cy="311691"/>
            </a:xfrm>
            <a:custGeom>
              <a:avLst/>
              <a:gdLst>
                <a:gd name="connsiteX0" fmla="*/ 442 w 663440"/>
                <a:gd name="connsiteY0" fmla="*/ 307 h 1269103"/>
                <a:gd name="connsiteX1" fmla="*/ 19953 w 663440"/>
                <a:gd name="connsiteY1" fmla="*/ 19832 h 1269103"/>
                <a:gd name="connsiteX2" fmla="*/ 39465 w 663440"/>
                <a:gd name="connsiteY2" fmla="*/ 39356 h 1269103"/>
                <a:gd name="connsiteX3" fmla="*/ 58974 w 663440"/>
                <a:gd name="connsiteY3" fmla="*/ 58881 h 1269103"/>
                <a:gd name="connsiteX4" fmla="*/ 78486 w 663440"/>
                <a:gd name="connsiteY4" fmla="*/ 78406 h 1269103"/>
                <a:gd name="connsiteX5" fmla="*/ 97993 w 663440"/>
                <a:gd name="connsiteY5" fmla="*/ 78406 h 1269103"/>
                <a:gd name="connsiteX6" fmla="*/ 117513 w 663440"/>
                <a:gd name="connsiteY6" fmla="*/ 78406 h 1269103"/>
                <a:gd name="connsiteX7" fmla="*/ 137011 w 663440"/>
                <a:gd name="connsiteY7" fmla="*/ 58881 h 1269103"/>
                <a:gd name="connsiteX8" fmla="*/ 156532 w 663440"/>
                <a:gd name="connsiteY8" fmla="*/ 78406 h 1269103"/>
                <a:gd name="connsiteX9" fmla="*/ 176030 w 663440"/>
                <a:gd name="connsiteY9" fmla="*/ 78406 h 1269103"/>
                <a:gd name="connsiteX10" fmla="*/ 195550 w 663440"/>
                <a:gd name="connsiteY10" fmla="*/ 78406 h 1269103"/>
                <a:gd name="connsiteX11" fmla="*/ 215070 w 663440"/>
                <a:gd name="connsiteY11" fmla="*/ 78406 h 1269103"/>
                <a:gd name="connsiteX12" fmla="*/ 234568 w 663440"/>
                <a:gd name="connsiteY12" fmla="*/ 97930 h 1269103"/>
                <a:gd name="connsiteX13" fmla="*/ 234568 w 663440"/>
                <a:gd name="connsiteY13" fmla="*/ 117454 h 1269103"/>
                <a:gd name="connsiteX14" fmla="*/ 234568 w 663440"/>
                <a:gd name="connsiteY14" fmla="*/ 136979 h 1269103"/>
                <a:gd name="connsiteX15" fmla="*/ 254089 w 663440"/>
                <a:gd name="connsiteY15" fmla="*/ 156505 h 1269103"/>
                <a:gd name="connsiteX16" fmla="*/ 254089 w 663440"/>
                <a:gd name="connsiteY16" fmla="*/ 176028 h 1269103"/>
                <a:gd name="connsiteX17" fmla="*/ 273587 w 663440"/>
                <a:gd name="connsiteY17" fmla="*/ 195554 h 1269103"/>
                <a:gd name="connsiteX18" fmla="*/ 254089 w 663440"/>
                <a:gd name="connsiteY18" fmla="*/ 215079 h 1269103"/>
                <a:gd name="connsiteX19" fmla="*/ 254089 w 663440"/>
                <a:gd name="connsiteY19" fmla="*/ 234602 h 1269103"/>
                <a:gd name="connsiteX20" fmla="*/ 254089 w 663440"/>
                <a:gd name="connsiteY20" fmla="*/ 254128 h 1269103"/>
                <a:gd name="connsiteX21" fmla="*/ 254089 w 663440"/>
                <a:gd name="connsiteY21" fmla="*/ 273653 h 1269103"/>
                <a:gd name="connsiteX22" fmla="*/ 254089 w 663440"/>
                <a:gd name="connsiteY22" fmla="*/ 293176 h 1269103"/>
                <a:gd name="connsiteX23" fmla="*/ 273587 w 663440"/>
                <a:gd name="connsiteY23" fmla="*/ 312702 h 1269103"/>
                <a:gd name="connsiteX24" fmla="*/ 273587 w 663440"/>
                <a:gd name="connsiteY24" fmla="*/ 332225 h 1269103"/>
                <a:gd name="connsiteX25" fmla="*/ 273587 w 663440"/>
                <a:gd name="connsiteY25" fmla="*/ 351751 h 1269103"/>
                <a:gd name="connsiteX26" fmla="*/ 273587 w 663440"/>
                <a:gd name="connsiteY26" fmla="*/ 371276 h 1269103"/>
                <a:gd name="connsiteX27" fmla="*/ 273587 w 663440"/>
                <a:gd name="connsiteY27" fmla="*/ 390799 h 1269103"/>
                <a:gd name="connsiteX28" fmla="*/ 293107 w 663440"/>
                <a:gd name="connsiteY28" fmla="*/ 410325 h 1269103"/>
                <a:gd name="connsiteX29" fmla="*/ 312606 w 663440"/>
                <a:gd name="connsiteY29" fmla="*/ 429850 h 1269103"/>
                <a:gd name="connsiteX30" fmla="*/ 312606 w 663440"/>
                <a:gd name="connsiteY30" fmla="*/ 449374 h 1269103"/>
                <a:gd name="connsiteX31" fmla="*/ 312606 w 663440"/>
                <a:gd name="connsiteY31" fmla="*/ 468899 h 1269103"/>
                <a:gd name="connsiteX32" fmla="*/ 332126 w 663440"/>
                <a:gd name="connsiteY32" fmla="*/ 488425 h 1269103"/>
                <a:gd name="connsiteX33" fmla="*/ 351624 w 663440"/>
                <a:gd name="connsiteY33" fmla="*/ 507948 h 1269103"/>
                <a:gd name="connsiteX34" fmla="*/ 371144 w 663440"/>
                <a:gd name="connsiteY34" fmla="*/ 527473 h 1269103"/>
                <a:gd name="connsiteX35" fmla="*/ 390665 w 663440"/>
                <a:gd name="connsiteY35" fmla="*/ 527473 h 1269103"/>
                <a:gd name="connsiteX36" fmla="*/ 410163 w 663440"/>
                <a:gd name="connsiteY36" fmla="*/ 546997 h 1269103"/>
                <a:gd name="connsiteX37" fmla="*/ 429683 w 663440"/>
                <a:gd name="connsiteY37" fmla="*/ 566522 h 1269103"/>
                <a:gd name="connsiteX38" fmla="*/ 429683 w 663440"/>
                <a:gd name="connsiteY38" fmla="*/ 586048 h 1269103"/>
                <a:gd name="connsiteX39" fmla="*/ 429683 w 663440"/>
                <a:gd name="connsiteY39" fmla="*/ 605571 h 1269103"/>
                <a:gd name="connsiteX40" fmla="*/ 429683 w 663440"/>
                <a:gd name="connsiteY40" fmla="*/ 625096 h 1269103"/>
                <a:gd name="connsiteX41" fmla="*/ 449182 w 663440"/>
                <a:gd name="connsiteY41" fmla="*/ 644622 h 1269103"/>
                <a:gd name="connsiteX42" fmla="*/ 449182 w 663440"/>
                <a:gd name="connsiteY42" fmla="*/ 664145 h 1269103"/>
                <a:gd name="connsiteX43" fmla="*/ 429683 w 663440"/>
                <a:gd name="connsiteY43" fmla="*/ 683670 h 1269103"/>
                <a:gd name="connsiteX44" fmla="*/ 429683 w 663440"/>
                <a:gd name="connsiteY44" fmla="*/ 703194 h 1269103"/>
                <a:gd name="connsiteX45" fmla="*/ 429683 w 663440"/>
                <a:gd name="connsiteY45" fmla="*/ 722719 h 1269103"/>
                <a:gd name="connsiteX46" fmla="*/ 429683 w 663440"/>
                <a:gd name="connsiteY46" fmla="*/ 742245 h 1269103"/>
                <a:gd name="connsiteX47" fmla="*/ 429683 w 663440"/>
                <a:gd name="connsiteY47" fmla="*/ 761768 h 1269103"/>
                <a:gd name="connsiteX48" fmla="*/ 449182 w 663440"/>
                <a:gd name="connsiteY48" fmla="*/ 781293 h 1269103"/>
                <a:gd name="connsiteX49" fmla="*/ 468702 w 663440"/>
                <a:gd name="connsiteY49" fmla="*/ 781293 h 1269103"/>
                <a:gd name="connsiteX50" fmla="*/ 488200 w 663440"/>
                <a:gd name="connsiteY50" fmla="*/ 781293 h 1269103"/>
                <a:gd name="connsiteX51" fmla="*/ 507720 w 663440"/>
                <a:gd name="connsiteY51" fmla="*/ 800819 h 1269103"/>
                <a:gd name="connsiteX52" fmla="*/ 527241 w 663440"/>
                <a:gd name="connsiteY52" fmla="*/ 800819 h 1269103"/>
                <a:gd name="connsiteX53" fmla="*/ 546739 w 663440"/>
                <a:gd name="connsiteY53" fmla="*/ 820342 h 1269103"/>
                <a:gd name="connsiteX54" fmla="*/ 546739 w 663440"/>
                <a:gd name="connsiteY54" fmla="*/ 839868 h 1269103"/>
                <a:gd name="connsiteX55" fmla="*/ 527241 w 663440"/>
                <a:gd name="connsiteY55" fmla="*/ 859393 h 1269103"/>
                <a:gd name="connsiteX56" fmla="*/ 546739 w 663440"/>
                <a:gd name="connsiteY56" fmla="*/ 878916 h 1269103"/>
                <a:gd name="connsiteX57" fmla="*/ 546739 w 663440"/>
                <a:gd name="connsiteY57" fmla="*/ 898442 h 1269103"/>
                <a:gd name="connsiteX58" fmla="*/ 546739 w 663440"/>
                <a:gd name="connsiteY58" fmla="*/ 917965 h 1269103"/>
                <a:gd name="connsiteX59" fmla="*/ 527241 w 663440"/>
                <a:gd name="connsiteY59" fmla="*/ 937491 h 1269103"/>
                <a:gd name="connsiteX60" fmla="*/ 527241 w 663440"/>
                <a:gd name="connsiteY60" fmla="*/ 957016 h 1269103"/>
                <a:gd name="connsiteX61" fmla="*/ 527241 w 663440"/>
                <a:gd name="connsiteY61" fmla="*/ 976539 h 1269103"/>
                <a:gd name="connsiteX62" fmla="*/ 527241 w 663440"/>
                <a:gd name="connsiteY62" fmla="*/ 996065 h 1269103"/>
                <a:gd name="connsiteX63" fmla="*/ 527241 w 663440"/>
                <a:gd name="connsiteY63" fmla="*/ 1015590 h 1269103"/>
                <a:gd name="connsiteX64" fmla="*/ 507720 w 663440"/>
                <a:gd name="connsiteY64" fmla="*/ 1035113 h 1269103"/>
                <a:gd name="connsiteX65" fmla="*/ 527241 w 663440"/>
                <a:gd name="connsiteY65" fmla="*/ 1054639 h 1269103"/>
                <a:gd name="connsiteX66" fmla="*/ 527241 w 663440"/>
                <a:gd name="connsiteY66" fmla="*/ 1074164 h 1269103"/>
                <a:gd name="connsiteX67" fmla="*/ 527241 w 663440"/>
                <a:gd name="connsiteY67" fmla="*/ 1093688 h 1269103"/>
                <a:gd name="connsiteX68" fmla="*/ 527241 w 663440"/>
                <a:gd name="connsiteY68" fmla="*/ 1113213 h 1269103"/>
                <a:gd name="connsiteX69" fmla="*/ 527241 w 663440"/>
                <a:gd name="connsiteY69" fmla="*/ 1132736 h 1269103"/>
                <a:gd name="connsiteX70" fmla="*/ 527241 w 663440"/>
                <a:gd name="connsiteY70" fmla="*/ 1152262 h 1269103"/>
                <a:gd name="connsiteX71" fmla="*/ 546739 w 663440"/>
                <a:gd name="connsiteY71" fmla="*/ 1171787 h 1269103"/>
                <a:gd name="connsiteX72" fmla="*/ 566259 w 663440"/>
                <a:gd name="connsiteY72" fmla="*/ 1171787 h 1269103"/>
                <a:gd name="connsiteX73" fmla="*/ 585757 w 663440"/>
                <a:gd name="connsiteY73" fmla="*/ 1171787 h 1269103"/>
                <a:gd name="connsiteX74" fmla="*/ 605278 w 663440"/>
                <a:gd name="connsiteY74" fmla="*/ 1191311 h 1269103"/>
                <a:gd name="connsiteX75" fmla="*/ 624776 w 663440"/>
                <a:gd name="connsiteY75" fmla="*/ 1210836 h 1269103"/>
                <a:gd name="connsiteX76" fmla="*/ 644296 w 663440"/>
                <a:gd name="connsiteY76" fmla="*/ 1230362 h 1269103"/>
                <a:gd name="connsiteX77" fmla="*/ 663794 w 663440"/>
                <a:gd name="connsiteY77" fmla="*/ 1249885 h 1269103"/>
                <a:gd name="connsiteX78" fmla="*/ 663883 w 663440"/>
                <a:gd name="connsiteY78" fmla="*/ 1259492 h 1269103"/>
                <a:gd name="connsiteX79" fmla="*/ 663794 w 663440"/>
                <a:gd name="connsiteY79" fmla="*/ 1269410 h 126910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  <a:cxn ang="0">
                  <a:pos x="connsiteX71" y="connsiteY71"/>
                </a:cxn>
                <a:cxn ang="0">
                  <a:pos x="connsiteX72" y="connsiteY72"/>
                </a:cxn>
                <a:cxn ang="0">
                  <a:pos x="connsiteX73" y="connsiteY73"/>
                </a:cxn>
                <a:cxn ang="0">
                  <a:pos x="connsiteX74" y="connsiteY74"/>
                </a:cxn>
                <a:cxn ang="0">
                  <a:pos x="connsiteX75" y="connsiteY75"/>
                </a:cxn>
                <a:cxn ang="0">
                  <a:pos x="connsiteX76" y="connsiteY76"/>
                </a:cxn>
                <a:cxn ang="0">
                  <a:pos x="connsiteX77" y="connsiteY77"/>
                </a:cxn>
                <a:cxn ang="0">
                  <a:pos x="connsiteX78" y="connsiteY78"/>
                </a:cxn>
                <a:cxn ang="0">
                  <a:pos x="connsiteX79" y="connsiteY79"/>
                </a:cxn>
              </a:cxnLst>
              <a:rect l="l" t="t" r="r" b="b"/>
              <a:pathLst>
                <a:path w="663440" h="1269103">
                  <a:moveTo>
                    <a:pt x="442" y="307"/>
                  </a:moveTo>
                  <a:lnTo>
                    <a:pt x="19953" y="19832"/>
                  </a:lnTo>
                  <a:lnTo>
                    <a:pt x="39465" y="39356"/>
                  </a:lnTo>
                  <a:lnTo>
                    <a:pt x="58974" y="58881"/>
                  </a:lnTo>
                  <a:lnTo>
                    <a:pt x="78486" y="78406"/>
                  </a:lnTo>
                  <a:lnTo>
                    <a:pt x="97993" y="78406"/>
                  </a:lnTo>
                  <a:lnTo>
                    <a:pt x="117513" y="78406"/>
                  </a:lnTo>
                  <a:lnTo>
                    <a:pt x="137011" y="58881"/>
                  </a:lnTo>
                  <a:lnTo>
                    <a:pt x="156532" y="78406"/>
                  </a:lnTo>
                  <a:lnTo>
                    <a:pt x="176030" y="78406"/>
                  </a:lnTo>
                  <a:lnTo>
                    <a:pt x="195550" y="78406"/>
                  </a:lnTo>
                  <a:lnTo>
                    <a:pt x="215070" y="78406"/>
                  </a:lnTo>
                  <a:lnTo>
                    <a:pt x="234568" y="97930"/>
                  </a:lnTo>
                  <a:lnTo>
                    <a:pt x="234568" y="117454"/>
                  </a:lnTo>
                  <a:lnTo>
                    <a:pt x="234568" y="136979"/>
                  </a:lnTo>
                  <a:lnTo>
                    <a:pt x="254089" y="156505"/>
                  </a:lnTo>
                  <a:lnTo>
                    <a:pt x="254089" y="176028"/>
                  </a:lnTo>
                  <a:lnTo>
                    <a:pt x="273587" y="195554"/>
                  </a:lnTo>
                  <a:lnTo>
                    <a:pt x="254089" y="215079"/>
                  </a:lnTo>
                  <a:lnTo>
                    <a:pt x="254089" y="234602"/>
                  </a:lnTo>
                  <a:lnTo>
                    <a:pt x="254089" y="254128"/>
                  </a:lnTo>
                  <a:lnTo>
                    <a:pt x="254089" y="273653"/>
                  </a:lnTo>
                  <a:lnTo>
                    <a:pt x="254089" y="293176"/>
                  </a:lnTo>
                  <a:lnTo>
                    <a:pt x="273587" y="312702"/>
                  </a:lnTo>
                  <a:lnTo>
                    <a:pt x="273587" y="332225"/>
                  </a:lnTo>
                  <a:lnTo>
                    <a:pt x="273587" y="351751"/>
                  </a:lnTo>
                  <a:lnTo>
                    <a:pt x="273587" y="371276"/>
                  </a:lnTo>
                  <a:lnTo>
                    <a:pt x="273587" y="390799"/>
                  </a:lnTo>
                  <a:lnTo>
                    <a:pt x="293107" y="410325"/>
                  </a:lnTo>
                  <a:lnTo>
                    <a:pt x="312606" y="429850"/>
                  </a:lnTo>
                  <a:lnTo>
                    <a:pt x="312606" y="449374"/>
                  </a:lnTo>
                  <a:lnTo>
                    <a:pt x="312606" y="468899"/>
                  </a:lnTo>
                  <a:lnTo>
                    <a:pt x="332126" y="488425"/>
                  </a:lnTo>
                  <a:lnTo>
                    <a:pt x="351624" y="507948"/>
                  </a:lnTo>
                  <a:lnTo>
                    <a:pt x="371144" y="527473"/>
                  </a:lnTo>
                  <a:lnTo>
                    <a:pt x="390665" y="527473"/>
                  </a:lnTo>
                  <a:lnTo>
                    <a:pt x="410163" y="546997"/>
                  </a:lnTo>
                  <a:lnTo>
                    <a:pt x="429683" y="566522"/>
                  </a:lnTo>
                  <a:lnTo>
                    <a:pt x="429683" y="586048"/>
                  </a:lnTo>
                  <a:lnTo>
                    <a:pt x="429683" y="605571"/>
                  </a:lnTo>
                  <a:lnTo>
                    <a:pt x="429683" y="625096"/>
                  </a:lnTo>
                  <a:lnTo>
                    <a:pt x="449182" y="644622"/>
                  </a:lnTo>
                  <a:lnTo>
                    <a:pt x="449182" y="664145"/>
                  </a:lnTo>
                  <a:lnTo>
                    <a:pt x="429683" y="683670"/>
                  </a:lnTo>
                  <a:lnTo>
                    <a:pt x="429683" y="703194"/>
                  </a:lnTo>
                  <a:lnTo>
                    <a:pt x="429683" y="722719"/>
                  </a:lnTo>
                  <a:lnTo>
                    <a:pt x="429683" y="742245"/>
                  </a:lnTo>
                  <a:lnTo>
                    <a:pt x="429683" y="761768"/>
                  </a:lnTo>
                  <a:lnTo>
                    <a:pt x="449182" y="781293"/>
                  </a:lnTo>
                  <a:lnTo>
                    <a:pt x="468702" y="781293"/>
                  </a:lnTo>
                  <a:lnTo>
                    <a:pt x="488200" y="781293"/>
                  </a:lnTo>
                  <a:lnTo>
                    <a:pt x="507720" y="800819"/>
                  </a:lnTo>
                  <a:lnTo>
                    <a:pt x="527241" y="800819"/>
                  </a:lnTo>
                  <a:lnTo>
                    <a:pt x="546739" y="820342"/>
                  </a:lnTo>
                  <a:lnTo>
                    <a:pt x="546739" y="839868"/>
                  </a:lnTo>
                  <a:lnTo>
                    <a:pt x="527241" y="859393"/>
                  </a:lnTo>
                  <a:lnTo>
                    <a:pt x="546739" y="878916"/>
                  </a:lnTo>
                  <a:lnTo>
                    <a:pt x="546739" y="898442"/>
                  </a:lnTo>
                  <a:lnTo>
                    <a:pt x="546739" y="917965"/>
                  </a:lnTo>
                  <a:lnTo>
                    <a:pt x="527241" y="937491"/>
                  </a:lnTo>
                  <a:lnTo>
                    <a:pt x="527241" y="957016"/>
                  </a:lnTo>
                  <a:lnTo>
                    <a:pt x="527241" y="976539"/>
                  </a:lnTo>
                  <a:lnTo>
                    <a:pt x="527241" y="996065"/>
                  </a:lnTo>
                  <a:lnTo>
                    <a:pt x="527241" y="1015590"/>
                  </a:lnTo>
                  <a:lnTo>
                    <a:pt x="507720" y="1035113"/>
                  </a:lnTo>
                  <a:lnTo>
                    <a:pt x="527241" y="1054639"/>
                  </a:lnTo>
                  <a:lnTo>
                    <a:pt x="527241" y="1074164"/>
                  </a:lnTo>
                  <a:lnTo>
                    <a:pt x="527241" y="1093688"/>
                  </a:lnTo>
                  <a:lnTo>
                    <a:pt x="527241" y="1113213"/>
                  </a:lnTo>
                  <a:lnTo>
                    <a:pt x="527241" y="1132736"/>
                  </a:lnTo>
                  <a:lnTo>
                    <a:pt x="527241" y="1152262"/>
                  </a:lnTo>
                  <a:lnTo>
                    <a:pt x="546739" y="1171787"/>
                  </a:lnTo>
                  <a:lnTo>
                    <a:pt x="566259" y="1171787"/>
                  </a:lnTo>
                  <a:lnTo>
                    <a:pt x="585757" y="1171787"/>
                  </a:lnTo>
                  <a:lnTo>
                    <a:pt x="605278" y="1191311"/>
                  </a:lnTo>
                  <a:lnTo>
                    <a:pt x="624776" y="1210836"/>
                  </a:lnTo>
                  <a:lnTo>
                    <a:pt x="644296" y="1230362"/>
                  </a:lnTo>
                  <a:lnTo>
                    <a:pt x="663794" y="1249885"/>
                  </a:lnTo>
                  <a:lnTo>
                    <a:pt x="663883" y="1259492"/>
                  </a:lnTo>
                  <a:lnTo>
                    <a:pt x="663794" y="1269410"/>
                  </a:lnTo>
                </a:path>
              </a:pathLst>
            </a:custGeom>
            <a:noFill/>
            <a:ln w="1850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5" name="Forma libre: forma 154">
              <a:extLst>
                <a:ext uri="{FF2B5EF4-FFF2-40B4-BE49-F238E27FC236}">
                  <a16:creationId xmlns:a16="http://schemas.microsoft.com/office/drawing/2014/main" id="{00000000-0008-0000-0400-00009B000000}"/>
                </a:ext>
              </a:extLst>
            </xdr:cNvPr>
            <xdr:cNvSpPr/>
          </xdr:nvSpPr>
          <xdr:spPr>
            <a:xfrm>
              <a:off x="9425002" y="1269645"/>
              <a:ext cx="40275" cy="120427"/>
            </a:xfrm>
            <a:custGeom>
              <a:avLst/>
              <a:gdLst>
                <a:gd name="connsiteX0" fmla="*/ 19954 w 156085"/>
                <a:gd name="connsiteY0" fmla="*/ 307 h 492785"/>
                <a:gd name="connsiteX1" fmla="*/ 19954 w 156085"/>
                <a:gd name="connsiteY1" fmla="*/ 4870 h 492785"/>
                <a:gd name="connsiteX2" fmla="*/ 19954 w 156085"/>
                <a:gd name="connsiteY2" fmla="*/ 24393 h 492785"/>
                <a:gd name="connsiteX3" fmla="*/ 442 w 156085"/>
                <a:gd name="connsiteY3" fmla="*/ 43919 h 492785"/>
                <a:gd name="connsiteX4" fmla="*/ 19954 w 156085"/>
                <a:gd name="connsiteY4" fmla="*/ 63444 h 492785"/>
                <a:gd name="connsiteX5" fmla="*/ 39463 w 156085"/>
                <a:gd name="connsiteY5" fmla="*/ 82968 h 492785"/>
                <a:gd name="connsiteX6" fmla="*/ 39463 w 156085"/>
                <a:gd name="connsiteY6" fmla="*/ 102493 h 492785"/>
                <a:gd name="connsiteX7" fmla="*/ 39463 w 156085"/>
                <a:gd name="connsiteY7" fmla="*/ 122018 h 492785"/>
                <a:gd name="connsiteX8" fmla="*/ 58974 w 156085"/>
                <a:gd name="connsiteY8" fmla="*/ 141542 h 492785"/>
                <a:gd name="connsiteX9" fmla="*/ 39463 w 156085"/>
                <a:gd name="connsiteY9" fmla="*/ 161067 h 492785"/>
                <a:gd name="connsiteX10" fmla="*/ 39463 w 156085"/>
                <a:gd name="connsiteY10" fmla="*/ 180592 h 492785"/>
                <a:gd name="connsiteX11" fmla="*/ 58974 w 156085"/>
                <a:gd name="connsiteY11" fmla="*/ 200116 h 492785"/>
                <a:gd name="connsiteX12" fmla="*/ 58974 w 156085"/>
                <a:gd name="connsiteY12" fmla="*/ 219641 h 492785"/>
                <a:gd name="connsiteX13" fmla="*/ 78486 w 156085"/>
                <a:gd name="connsiteY13" fmla="*/ 239166 h 492785"/>
                <a:gd name="connsiteX14" fmla="*/ 78486 w 156085"/>
                <a:gd name="connsiteY14" fmla="*/ 258690 h 492785"/>
                <a:gd name="connsiteX15" fmla="*/ 78486 w 156085"/>
                <a:gd name="connsiteY15" fmla="*/ 278215 h 492785"/>
                <a:gd name="connsiteX16" fmla="*/ 78486 w 156085"/>
                <a:gd name="connsiteY16" fmla="*/ 297740 h 492785"/>
                <a:gd name="connsiteX17" fmla="*/ 97995 w 156085"/>
                <a:gd name="connsiteY17" fmla="*/ 317264 h 492785"/>
                <a:gd name="connsiteX18" fmla="*/ 78486 w 156085"/>
                <a:gd name="connsiteY18" fmla="*/ 336789 h 492785"/>
                <a:gd name="connsiteX19" fmla="*/ 97995 w 156085"/>
                <a:gd name="connsiteY19" fmla="*/ 356314 h 492785"/>
                <a:gd name="connsiteX20" fmla="*/ 117506 w 156085"/>
                <a:gd name="connsiteY20" fmla="*/ 375838 h 492785"/>
                <a:gd name="connsiteX21" fmla="*/ 97995 w 156085"/>
                <a:gd name="connsiteY21" fmla="*/ 395363 h 492785"/>
                <a:gd name="connsiteX22" fmla="*/ 97995 w 156085"/>
                <a:gd name="connsiteY22" fmla="*/ 414888 h 492785"/>
                <a:gd name="connsiteX23" fmla="*/ 117506 w 156085"/>
                <a:gd name="connsiteY23" fmla="*/ 434412 h 492785"/>
                <a:gd name="connsiteX24" fmla="*/ 117506 w 156085"/>
                <a:gd name="connsiteY24" fmla="*/ 453937 h 492785"/>
                <a:gd name="connsiteX25" fmla="*/ 117506 w 156085"/>
                <a:gd name="connsiteY25" fmla="*/ 473462 h 492785"/>
                <a:gd name="connsiteX26" fmla="*/ 137018 w 156085"/>
                <a:gd name="connsiteY26" fmla="*/ 492986 h 492785"/>
                <a:gd name="connsiteX27" fmla="*/ 144348 w 156085"/>
                <a:gd name="connsiteY27" fmla="*/ 493092 h 492785"/>
                <a:gd name="connsiteX28" fmla="*/ 156527 w 156085"/>
                <a:gd name="connsiteY28" fmla="*/ 492986 h 49278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</a:cxnLst>
              <a:rect l="l" t="t" r="r" b="b"/>
              <a:pathLst>
                <a:path w="156085" h="492785">
                  <a:moveTo>
                    <a:pt x="19954" y="307"/>
                  </a:moveTo>
                  <a:lnTo>
                    <a:pt x="19954" y="4870"/>
                  </a:lnTo>
                  <a:lnTo>
                    <a:pt x="19954" y="24393"/>
                  </a:lnTo>
                  <a:lnTo>
                    <a:pt x="442" y="43919"/>
                  </a:lnTo>
                  <a:lnTo>
                    <a:pt x="19954" y="63444"/>
                  </a:lnTo>
                  <a:lnTo>
                    <a:pt x="39463" y="82968"/>
                  </a:lnTo>
                  <a:lnTo>
                    <a:pt x="39463" y="102493"/>
                  </a:lnTo>
                  <a:lnTo>
                    <a:pt x="39463" y="122018"/>
                  </a:lnTo>
                  <a:lnTo>
                    <a:pt x="58974" y="141542"/>
                  </a:lnTo>
                  <a:lnTo>
                    <a:pt x="39463" y="161067"/>
                  </a:lnTo>
                  <a:lnTo>
                    <a:pt x="39463" y="180592"/>
                  </a:lnTo>
                  <a:lnTo>
                    <a:pt x="58974" y="200116"/>
                  </a:lnTo>
                  <a:lnTo>
                    <a:pt x="58974" y="219641"/>
                  </a:lnTo>
                  <a:lnTo>
                    <a:pt x="78486" y="239166"/>
                  </a:lnTo>
                  <a:lnTo>
                    <a:pt x="78486" y="258690"/>
                  </a:lnTo>
                  <a:lnTo>
                    <a:pt x="78486" y="278215"/>
                  </a:lnTo>
                  <a:lnTo>
                    <a:pt x="78486" y="297740"/>
                  </a:lnTo>
                  <a:lnTo>
                    <a:pt x="97995" y="317264"/>
                  </a:lnTo>
                  <a:lnTo>
                    <a:pt x="78486" y="336789"/>
                  </a:lnTo>
                  <a:lnTo>
                    <a:pt x="97995" y="356314"/>
                  </a:lnTo>
                  <a:lnTo>
                    <a:pt x="117506" y="375838"/>
                  </a:lnTo>
                  <a:lnTo>
                    <a:pt x="97995" y="395363"/>
                  </a:lnTo>
                  <a:lnTo>
                    <a:pt x="97995" y="414888"/>
                  </a:lnTo>
                  <a:lnTo>
                    <a:pt x="117506" y="434412"/>
                  </a:lnTo>
                  <a:lnTo>
                    <a:pt x="117506" y="453937"/>
                  </a:lnTo>
                  <a:lnTo>
                    <a:pt x="117506" y="473462"/>
                  </a:lnTo>
                  <a:lnTo>
                    <a:pt x="137018" y="492986"/>
                  </a:lnTo>
                  <a:lnTo>
                    <a:pt x="144348" y="493092"/>
                  </a:lnTo>
                  <a:lnTo>
                    <a:pt x="156527" y="492986"/>
                  </a:lnTo>
                </a:path>
              </a:pathLst>
            </a:custGeom>
            <a:noFill/>
            <a:ln w="1794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6" name="Forma libre: forma 155">
              <a:extLst>
                <a:ext uri="{FF2B5EF4-FFF2-40B4-BE49-F238E27FC236}">
                  <a16:creationId xmlns:a16="http://schemas.microsoft.com/office/drawing/2014/main" id="{00000000-0008-0000-0400-00009C000000}"/>
                </a:ext>
              </a:extLst>
            </xdr:cNvPr>
            <xdr:cNvSpPr/>
          </xdr:nvSpPr>
          <xdr:spPr>
            <a:xfrm>
              <a:off x="9111018" y="1656696"/>
              <a:ext cx="127079" cy="33541"/>
            </a:xfrm>
            <a:custGeom>
              <a:avLst/>
              <a:gdLst>
                <a:gd name="connsiteX0" fmla="*/ 442 w 507275"/>
                <a:gd name="connsiteY0" fmla="*/ 39356 h 136673"/>
                <a:gd name="connsiteX1" fmla="*/ 19951 w 507275"/>
                <a:gd name="connsiteY1" fmla="*/ 39356 h 136673"/>
                <a:gd name="connsiteX2" fmla="*/ 39463 w 507275"/>
                <a:gd name="connsiteY2" fmla="*/ 39356 h 136673"/>
                <a:gd name="connsiteX3" fmla="*/ 58972 w 507275"/>
                <a:gd name="connsiteY3" fmla="*/ 39356 h 136673"/>
                <a:gd name="connsiteX4" fmla="*/ 78484 w 507275"/>
                <a:gd name="connsiteY4" fmla="*/ 19832 h 136673"/>
                <a:gd name="connsiteX5" fmla="*/ 97995 w 507275"/>
                <a:gd name="connsiteY5" fmla="*/ 39356 h 136673"/>
                <a:gd name="connsiteX6" fmla="*/ 117504 w 507275"/>
                <a:gd name="connsiteY6" fmla="*/ 39356 h 136673"/>
                <a:gd name="connsiteX7" fmla="*/ 137016 w 507275"/>
                <a:gd name="connsiteY7" fmla="*/ 39356 h 136673"/>
                <a:gd name="connsiteX8" fmla="*/ 156527 w 507275"/>
                <a:gd name="connsiteY8" fmla="*/ 39356 h 136673"/>
                <a:gd name="connsiteX9" fmla="*/ 176037 w 507275"/>
                <a:gd name="connsiteY9" fmla="*/ 19832 h 136673"/>
                <a:gd name="connsiteX10" fmla="*/ 195548 w 507275"/>
                <a:gd name="connsiteY10" fmla="*/ 307 h 136673"/>
                <a:gd name="connsiteX11" fmla="*/ 215060 w 507275"/>
                <a:gd name="connsiteY11" fmla="*/ 307 h 136673"/>
                <a:gd name="connsiteX12" fmla="*/ 234569 w 507275"/>
                <a:gd name="connsiteY12" fmla="*/ 307 h 136673"/>
                <a:gd name="connsiteX13" fmla="*/ 254080 w 507275"/>
                <a:gd name="connsiteY13" fmla="*/ 19832 h 136673"/>
                <a:gd name="connsiteX14" fmla="*/ 273589 w 507275"/>
                <a:gd name="connsiteY14" fmla="*/ 19832 h 136673"/>
                <a:gd name="connsiteX15" fmla="*/ 293101 w 507275"/>
                <a:gd name="connsiteY15" fmla="*/ 19832 h 136673"/>
                <a:gd name="connsiteX16" fmla="*/ 312612 w 507275"/>
                <a:gd name="connsiteY16" fmla="*/ 39356 h 136673"/>
                <a:gd name="connsiteX17" fmla="*/ 332122 w 507275"/>
                <a:gd name="connsiteY17" fmla="*/ 58881 h 136673"/>
                <a:gd name="connsiteX18" fmla="*/ 351633 w 507275"/>
                <a:gd name="connsiteY18" fmla="*/ 58881 h 136673"/>
                <a:gd name="connsiteX19" fmla="*/ 371145 w 507275"/>
                <a:gd name="connsiteY19" fmla="*/ 78406 h 136673"/>
                <a:gd name="connsiteX20" fmla="*/ 390654 w 507275"/>
                <a:gd name="connsiteY20" fmla="*/ 97930 h 136673"/>
                <a:gd name="connsiteX21" fmla="*/ 410165 w 507275"/>
                <a:gd name="connsiteY21" fmla="*/ 117455 h 136673"/>
                <a:gd name="connsiteX22" fmla="*/ 429677 w 507275"/>
                <a:gd name="connsiteY22" fmla="*/ 117455 h 136673"/>
                <a:gd name="connsiteX23" fmla="*/ 449186 w 507275"/>
                <a:gd name="connsiteY23" fmla="*/ 117455 h 136673"/>
                <a:gd name="connsiteX24" fmla="*/ 468697 w 507275"/>
                <a:gd name="connsiteY24" fmla="*/ 136981 h 136673"/>
                <a:gd name="connsiteX25" fmla="*/ 488207 w 507275"/>
                <a:gd name="connsiteY25" fmla="*/ 136981 h 136673"/>
                <a:gd name="connsiteX26" fmla="*/ 507718 w 507275"/>
                <a:gd name="connsiteY26" fmla="*/ 136981 h 1366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507275" h="136673">
                  <a:moveTo>
                    <a:pt x="442" y="39356"/>
                  </a:moveTo>
                  <a:lnTo>
                    <a:pt x="19951" y="39356"/>
                  </a:lnTo>
                  <a:lnTo>
                    <a:pt x="39463" y="39356"/>
                  </a:lnTo>
                  <a:lnTo>
                    <a:pt x="58972" y="39356"/>
                  </a:lnTo>
                  <a:lnTo>
                    <a:pt x="78484" y="19832"/>
                  </a:lnTo>
                  <a:lnTo>
                    <a:pt x="97995" y="39356"/>
                  </a:lnTo>
                  <a:lnTo>
                    <a:pt x="117504" y="39356"/>
                  </a:lnTo>
                  <a:lnTo>
                    <a:pt x="137016" y="39356"/>
                  </a:lnTo>
                  <a:lnTo>
                    <a:pt x="156527" y="39356"/>
                  </a:lnTo>
                  <a:lnTo>
                    <a:pt x="176037" y="19832"/>
                  </a:lnTo>
                  <a:lnTo>
                    <a:pt x="195548" y="307"/>
                  </a:lnTo>
                  <a:lnTo>
                    <a:pt x="215060" y="307"/>
                  </a:lnTo>
                  <a:lnTo>
                    <a:pt x="234569" y="307"/>
                  </a:lnTo>
                  <a:lnTo>
                    <a:pt x="254080" y="19832"/>
                  </a:lnTo>
                  <a:lnTo>
                    <a:pt x="273589" y="19832"/>
                  </a:lnTo>
                  <a:lnTo>
                    <a:pt x="293101" y="19832"/>
                  </a:lnTo>
                  <a:lnTo>
                    <a:pt x="312612" y="39356"/>
                  </a:lnTo>
                  <a:lnTo>
                    <a:pt x="332122" y="58881"/>
                  </a:lnTo>
                  <a:lnTo>
                    <a:pt x="351633" y="58881"/>
                  </a:lnTo>
                  <a:lnTo>
                    <a:pt x="371145" y="78406"/>
                  </a:lnTo>
                  <a:lnTo>
                    <a:pt x="390654" y="97930"/>
                  </a:lnTo>
                  <a:lnTo>
                    <a:pt x="410165" y="117455"/>
                  </a:lnTo>
                  <a:lnTo>
                    <a:pt x="429677" y="117455"/>
                  </a:lnTo>
                  <a:lnTo>
                    <a:pt x="449186" y="117455"/>
                  </a:lnTo>
                  <a:lnTo>
                    <a:pt x="468697" y="136981"/>
                  </a:lnTo>
                  <a:lnTo>
                    <a:pt x="488207" y="136981"/>
                  </a:lnTo>
                  <a:lnTo>
                    <a:pt x="507718" y="136981"/>
                  </a:lnTo>
                </a:path>
              </a:pathLst>
            </a:custGeom>
            <a:noFill/>
            <a:ln w="1457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7" name="Forma libre: forma 156">
              <a:extLst>
                <a:ext uri="{FF2B5EF4-FFF2-40B4-BE49-F238E27FC236}">
                  <a16:creationId xmlns:a16="http://schemas.microsoft.com/office/drawing/2014/main" id="{00000000-0008-0000-0400-00009D000000}"/>
                </a:ext>
              </a:extLst>
            </xdr:cNvPr>
            <xdr:cNvSpPr/>
          </xdr:nvSpPr>
          <xdr:spPr>
            <a:xfrm>
              <a:off x="9076804" y="1609140"/>
              <a:ext cx="34214" cy="56899"/>
            </a:xfrm>
            <a:custGeom>
              <a:avLst/>
              <a:gdLst>
                <a:gd name="connsiteX0" fmla="*/ 442 w 136575"/>
                <a:gd name="connsiteY0" fmla="*/ 307 h 234294"/>
                <a:gd name="connsiteX1" fmla="*/ 442 w 136575"/>
                <a:gd name="connsiteY1" fmla="*/ 19830 h 234294"/>
                <a:gd name="connsiteX2" fmla="*/ 442 w 136575"/>
                <a:gd name="connsiteY2" fmla="*/ 39355 h 234294"/>
                <a:gd name="connsiteX3" fmla="*/ 19954 w 136575"/>
                <a:gd name="connsiteY3" fmla="*/ 58881 h 234294"/>
                <a:gd name="connsiteX4" fmla="*/ 19954 w 136575"/>
                <a:gd name="connsiteY4" fmla="*/ 78404 h 234294"/>
                <a:gd name="connsiteX5" fmla="*/ 39463 w 136575"/>
                <a:gd name="connsiteY5" fmla="*/ 97930 h 234294"/>
                <a:gd name="connsiteX6" fmla="*/ 58974 w 136575"/>
                <a:gd name="connsiteY6" fmla="*/ 117455 h 234294"/>
                <a:gd name="connsiteX7" fmla="*/ 78486 w 136575"/>
                <a:gd name="connsiteY7" fmla="*/ 136978 h 234294"/>
                <a:gd name="connsiteX8" fmla="*/ 78486 w 136575"/>
                <a:gd name="connsiteY8" fmla="*/ 156504 h 234294"/>
                <a:gd name="connsiteX9" fmla="*/ 97995 w 136575"/>
                <a:gd name="connsiteY9" fmla="*/ 176029 h 234294"/>
                <a:gd name="connsiteX10" fmla="*/ 117507 w 136575"/>
                <a:gd name="connsiteY10" fmla="*/ 195553 h 234294"/>
                <a:gd name="connsiteX11" fmla="*/ 117507 w 136575"/>
                <a:gd name="connsiteY11" fmla="*/ 215078 h 234294"/>
                <a:gd name="connsiteX12" fmla="*/ 125288 w 136575"/>
                <a:gd name="connsiteY12" fmla="*/ 223233 h 234294"/>
                <a:gd name="connsiteX13" fmla="*/ 137018 w 136575"/>
                <a:gd name="connsiteY13" fmla="*/ 234601 h 2342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36575" h="234294">
                  <a:moveTo>
                    <a:pt x="442" y="307"/>
                  </a:moveTo>
                  <a:lnTo>
                    <a:pt x="442" y="19830"/>
                  </a:lnTo>
                  <a:lnTo>
                    <a:pt x="442" y="39355"/>
                  </a:lnTo>
                  <a:lnTo>
                    <a:pt x="19954" y="58881"/>
                  </a:lnTo>
                  <a:lnTo>
                    <a:pt x="19954" y="78404"/>
                  </a:lnTo>
                  <a:lnTo>
                    <a:pt x="39463" y="97930"/>
                  </a:lnTo>
                  <a:lnTo>
                    <a:pt x="58974" y="117455"/>
                  </a:lnTo>
                  <a:lnTo>
                    <a:pt x="78486" y="136978"/>
                  </a:lnTo>
                  <a:lnTo>
                    <a:pt x="78486" y="156504"/>
                  </a:lnTo>
                  <a:lnTo>
                    <a:pt x="97995" y="176029"/>
                  </a:lnTo>
                  <a:lnTo>
                    <a:pt x="117507" y="195553"/>
                  </a:lnTo>
                  <a:lnTo>
                    <a:pt x="117507" y="215078"/>
                  </a:lnTo>
                  <a:lnTo>
                    <a:pt x="125288" y="223233"/>
                  </a:lnTo>
                  <a:lnTo>
                    <a:pt x="137018" y="234601"/>
                  </a:lnTo>
                </a:path>
              </a:pathLst>
            </a:custGeom>
            <a:noFill/>
            <a:ln w="12821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8" name="Forma libre: forma 157">
              <a:extLst>
                <a:ext uri="{FF2B5EF4-FFF2-40B4-BE49-F238E27FC236}">
                  <a16:creationId xmlns:a16="http://schemas.microsoft.com/office/drawing/2014/main" id="{00000000-0008-0000-0400-00009E000000}"/>
                </a:ext>
              </a:extLst>
            </xdr:cNvPr>
            <xdr:cNvSpPr/>
          </xdr:nvSpPr>
          <xdr:spPr>
            <a:xfrm>
              <a:off x="9071917" y="1589613"/>
              <a:ext cx="4887" cy="19527"/>
            </a:xfrm>
            <a:custGeom>
              <a:avLst/>
              <a:gdLst>
                <a:gd name="connsiteX0" fmla="*/ 442 w 19509"/>
                <a:gd name="connsiteY0" fmla="*/ 307 h 78099"/>
                <a:gd name="connsiteX1" fmla="*/ 442 w 19509"/>
                <a:gd name="connsiteY1" fmla="*/ 19832 h 78099"/>
                <a:gd name="connsiteX2" fmla="*/ 19952 w 19509"/>
                <a:gd name="connsiteY2" fmla="*/ 39358 h 78099"/>
                <a:gd name="connsiteX3" fmla="*/ 19952 w 19509"/>
                <a:gd name="connsiteY3" fmla="*/ 58881 h 78099"/>
                <a:gd name="connsiteX4" fmla="*/ 19952 w 19509"/>
                <a:gd name="connsiteY4" fmla="*/ 78406 h 7809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9509" h="78099">
                  <a:moveTo>
                    <a:pt x="442" y="307"/>
                  </a:moveTo>
                  <a:lnTo>
                    <a:pt x="442" y="19832"/>
                  </a:lnTo>
                  <a:lnTo>
                    <a:pt x="19952" y="39358"/>
                  </a:lnTo>
                  <a:lnTo>
                    <a:pt x="19952" y="58881"/>
                  </a:lnTo>
                  <a:lnTo>
                    <a:pt x="19952" y="78406"/>
                  </a:lnTo>
                </a:path>
              </a:pathLst>
            </a:custGeom>
            <a:noFill/>
            <a:ln w="12551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59" name="Forma libre: forma 158">
              <a:extLst>
                <a:ext uri="{FF2B5EF4-FFF2-40B4-BE49-F238E27FC236}">
                  <a16:creationId xmlns:a16="http://schemas.microsoft.com/office/drawing/2014/main" id="{00000000-0008-0000-0400-00009F000000}"/>
                </a:ext>
              </a:extLst>
            </xdr:cNvPr>
            <xdr:cNvSpPr/>
          </xdr:nvSpPr>
          <xdr:spPr>
            <a:xfrm>
              <a:off x="9031641" y="1584942"/>
              <a:ext cx="40275" cy="4671"/>
            </a:xfrm>
            <a:custGeom>
              <a:avLst/>
              <a:gdLst>
                <a:gd name="connsiteX0" fmla="*/ 442 w 156087"/>
                <a:gd name="connsiteY0" fmla="*/ 307 h 19523"/>
                <a:gd name="connsiteX1" fmla="*/ 19954 w 156087"/>
                <a:gd name="connsiteY1" fmla="*/ 307 h 19523"/>
                <a:gd name="connsiteX2" fmla="*/ 39465 w 156087"/>
                <a:gd name="connsiteY2" fmla="*/ 307 h 19523"/>
                <a:gd name="connsiteX3" fmla="*/ 58974 w 156087"/>
                <a:gd name="connsiteY3" fmla="*/ 307 h 19523"/>
                <a:gd name="connsiteX4" fmla="*/ 78486 w 156087"/>
                <a:gd name="connsiteY4" fmla="*/ 307 h 19523"/>
                <a:gd name="connsiteX5" fmla="*/ 97997 w 156087"/>
                <a:gd name="connsiteY5" fmla="*/ 19830 h 19523"/>
                <a:gd name="connsiteX6" fmla="*/ 117507 w 156087"/>
                <a:gd name="connsiteY6" fmla="*/ 19830 h 19523"/>
                <a:gd name="connsiteX7" fmla="*/ 137018 w 156087"/>
                <a:gd name="connsiteY7" fmla="*/ 307 h 19523"/>
                <a:gd name="connsiteX8" fmla="*/ 145644 w 156087"/>
                <a:gd name="connsiteY8" fmla="*/ 9987 h 19523"/>
                <a:gd name="connsiteX9" fmla="*/ 156530 w 156087"/>
                <a:gd name="connsiteY9" fmla="*/ 19830 h 195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156087" h="19523">
                  <a:moveTo>
                    <a:pt x="442" y="307"/>
                  </a:moveTo>
                  <a:lnTo>
                    <a:pt x="19954" y="307"/>
                  </a:lnTo>
                  <a:lnTo>
                    <a:pt x="39465" y="307"/>
                  </a:lnTo>
                  <a:lnTo>
                    <a:pt x="58974" y="307"/>
                  </a:lnTo>
                  <a:lnTo>
                    <a:pt x="78486" y="307"/>
                  </a:lnTo>
                  <a:lnTo>
                    <a:pt x="97997" y="19830"/>
                  </a:lnTo>
                  <a:lnTo>
                    <a:pt x="117507" y="19830"/>
                  </a:lnTo>
                  <a:lnTo>
                    <a:pt x="137018" y="307"/>
                  </a:lnTo>
                  <a:lnTo>
                    <a:pt x="145644" y="9987"/>
                  </a:lnTo>
                  <a:lnTo>
                    <a:pt x="156530" y="19830"/>
                  </a:lnTo>
                </a:path>
              </a:pathLst>
            </a:custGeom>
            <a:noFill/>
            <a:ln w="11703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0" name="Forma libre: forma 159">
              <a:extLst>
                <a:ext uri="{FF2B5EF4-FFF2-40B4-BE49-F238E27FC236}">
                  <a16:creationId xmlns:a16="http://schemas.microsoft.com/office/drawing/2014/main" id="{00000000-0008-0000-0400-0000A0000000}"/>
                </a:ext>
              </a:extLst>
            </xdr:cNvPr>
            <xdr:cNvSpPr/>
          </xdr:nvSpPr>
          <xdr:spPr>
            <a:xfrm>
              <a:off x="9412845" y="1706409"/>
              <a:ext cx="262700" cy="90441"/>
            </a:xfrm>
            <a:custGeom>
              <a:avLst/>
              <a:gdLst>
                <a:gd name="connsiteX0" fmla="*/ 442 w 1043582"/>
                <a:gd name="connsiteY0" fmla="*/ 2797 h 370970"/>
                <a:gd name="connsiteX1" fmla="*/ 29461 w 1043582"/>
                <a:gd name="connsiteY1" fmla="*/ 307 h 370970"/>
                <a:gd name="connsiteX2" fmla="*/ 48970 w 1043582"/>
                <a:gd name="connsiteY2" fmla="*/ 19832 h 370970"/>
                <a:gd name="connsiteX3" fmla="*/ 68482 w 1043582"/>
                <a:gd name="connsiteY3" fmla="*/ 39358 h 370970"/>
                <a:gd name="connsiteX4" fmla="*/ 87991 w 1043582"/>
                <a:gd name="connsiteY4" fmla="*/ 39358 h 370970"/>
                <a:gd name="connsiteX5" fmla="*/ 107502 w 1043582"/>
                <a:gd name="connsiteY5" fmla="*/ 58881 h 370970"/>
                <a:gd name="connsiteX6" fmla="*/ 127014 w 1043582"/>
                <a:gd name="connsiteY6" fmla="*/ 78406 h 370970"/>
                <a:gd name="connsiteX7" fmla="*/ 146523 w 1043582"/>
                <a:gd name="connsiteY7" fmla="*/ 97932 h 370970"/>
                <a:gd name="connsiteX8" fmla="*/ 166035 w 1043582"/>
                <a:gd name="connsiteY8" fmla="*/ 97932 h 370970"/>
                <a:gd name="connsiteX9" fmla="*/ 185546 w 1043582"/>
                <a:gd name="connsiteY9" fmla="*/ 117455 h 370970"/>
                <a:gd name="connsiteX10" fmla="*/ 205055 w 1043582"/>
                <a:gd name="connsiteY10" fmla="*/ 117455 h 370970"/>
                <a:gd name="connsiteX11" fmla="*/ 224567 w 1043582"/>
                <a:gd name="connsiteY11" fmla="*/ 136981 h 370970"/>
                <a:gd name="connsiteX12" fmla="*/ 244078 w 1043582"/>
                <a:gd name="connsiteY12" fmla="*/ 136981 h 370970"/>
                <a:gd name="connsiteX13" fmla="*/ 263588 w 1043582"/>
                <a:gd name="connsiteY13" fmla="*/ 136981 h 370970"/>
                <a:gd name="connsiteX14" fmla="*/ 283099 w 1043582"/>
                <a:gd name="connsiteY14" fmla="*/ 136981 h 370970"/>
                <a:gd name="connsiteX15" fmla="*/ 302606 w 1043582"/>
                <a:gd name="connsiteY15" fmla="*/ 156506 h 370970"/>
                <a:gd name="connsiteX16" fmla="*/ 322126 w 1043582"/>
                <a:gd name="connsiteY16" fmla="*/ 176029 h 370970"/>
                <a:gd name="connsiteX17" fmla="*/ 341625 w 1043582"/>
                <a:gd name="connsiteY17" fmla="*/ 176029 h 370970"/>
                <a:gd name="connsiteX18" fmla="*/ 361145 w 1043582"/>
                <a:gd name="connsiteY18" fmla="*/ 176029 h 370970"/>
                <a:gd name="connsiteX19" fmla="*/ 380643 w 1043582"/>
                <a:gd name="connsiteY19" fmla="*/ 176029 h 370970"/>
                <a:gd name="connsiteX20" fmla="*/ 400163 w 1043582"/>
                <a:gd name="connsiteY20" fmla="*/ 176029 h 370970"/>
                <a:gd name="connsiteX21" fmla="*/ 419684 w 1043582"/>
                <a:gd name="connsiteY21" fmla="*/ 176029 h 370970"/>
                <a:gd name="connsiteX22" fmla="*/ 439182 w 1043582"/>
                <a:gd name="connsiteY22" fmla="*/ 176029 h 370970"/>
                <a:gd name="connsiteX23" fmla="*/ 458702 w 1043582"/>
                <a:gd name="connsiteY23" fmla="*/ 176029 h 370970"/>
                <a:gd name="connsiteX24" fmla="*/ 478201 w 1043582"/>
                <a:gd name="connsiteY24" fmla="*/ 195555 h 370970"/>
                <a:gd name="connsiteX25" fmla="*/ 497721 w 1043582"/>
                <a:gd name="connsiteY25" fmla="*/ 195555 h 370970"/>
                <a:gd name="connsiteX26" fmla="*/ 517219 w 1043582"/>
                <a:gd name="connsiteY26" fmla="*/ 195555 h 370970"/>
                <a:gd name="connsiteX27" fmla="*/ 536739 w 1043582"/>
                <a:gd name="connsiteY27" fmla="*/ 195555 h 370970"/>
                <a:gd name="connsiteX28" fmla="*/ 556237 w 1043582"/>
                <a:gd name="connsiteY28" fmla="*/ 195555 h 370970"/>
                <a:gd name="connsiteX29" fmla="*/ 575758 w 1043582"/>
                <a:gd name="connsiteY29" fmla="*/ 195555 h 370970"/>
                <a:gd name="connsiteX30" fmla="*/ 595278 w 1043582"/>
                <a:gd name="connsiteY30" fmla="*/ 195555 h 370970"/>
                <a:gd name="connsiteX31" fmla="*/ 614776 w 1043582"/>
                <a:gd name="connsiteY31" fmla="*/ 195555 h 370970"/>
                <a:gd name="connsiteX32" fmla="*/ 634297 w 1043582"/>
                <a:gd name="connsiteY32" fmla="*/ 215078 h 370970"/>
                <a:gd name="connsiteX33" fmla="*/ 653795 w 1043582"/>
                <a:gd name="connsiteY33" fmla="*/ 215078 h 370970"/>
                <a:gd name="connsiteX34" fmla="*/ 673315 w 1043582"/>
                <a:gd name="connsiteY34" fmla="*/ 215078 h 370970"/>
                <a:gd name="connsiteX35" fmla="*/ 692813 w 1043582"/>
                <a:gd name="connsiteY35" fmla="*/ 195555 h 370970"/>
                <a:gd name="connsiteX36" fmla="*/ 712334 w 1043582"/>
                <a:gd name="connsiteY36" fmla="*/ 176029 h 370970"/>
                <a:gd name="connsiteX37" fmla="*/ 731854 w 1043582"/>
                <a:gd name="connsiteY37" fmla="*/ 176029 h 370970"/>
                <a:gd name="connsiteX38" fmla="*/ 751352 w 1043582"/>
                <a:gd name="connsiteY38" fmla="*/ 176029 h 370970"/>
                <a:gd name="connsiteX39" fmla="*/ 770872 w 1043582"/>
                <a:gd name="connsiteY39" fmla="*/ 176029 h 370970"/>
                <a:gd name="connsiteX40" fmla="*/ 790370 w 1043582"/>
                <a:gd name="connsiteY40" fmla="*/ 195555 h 370970"/>
                <a:gd name="connsiteX41" fmla="*/ 809891 w 1043582"/>
                <a:gd name="connsiteY41" fmla="*/ 215078 h 370970"/>
                <a:gd name="connsiteX42" fmla="*/ 809891 w 1043582"/>
                <a:gd name="connsiteY42" fmla="*/ 234603 h 370970"/>
                <a:gd name="connsiteX43" fmla="*/ 829389 w 1043582"/>
                <a:gd name="connsiteY43" fmla="*/ 254129 h 370970"/>
                <a:gd name="connsiteX44" fmla="*/ 848909 w 1043582"/>
                <a:gd name="connsiteY44" fmla="*/ 273652 h 370970"/>
                <a:gd name="connsiteX45" fmla="*/ 868408 w 1043582"/>
                <a:gd name="connsiteY45" fmla="*/ 293178 h 370970"/>
                <a:gd name="connsiteX46" fmla="*/ 868408 w 1043582"/>
                <a:gd name="connsiteY46" fmla="*/ 312703 h 370970"/>
                <a:gd name="connsiteX47" fmla="*/ 887928 w 1043582"/>
                <a:gd name="connsiteY47" fmla="*/ 332226 h 370970"/>
                <a:gd name="connsiteX48" fmla="*/ 907448 w 1043582"/>
                <a:gd name="connsiteY48" fmla="*/ 351752 h 370970"/>
                <a:gd name="connsiteX49" fmla="*/ 926946 w 1043582"/>
                <a:gd name="connsiteY49" fmla="*/ 351752 h 370970"/>
                <a:gd name="connsiteX50" fmla="*/ 946467 w 1043582"/>
                <a:gd name="connsiteY50" fmla="*/ 351752 h 370970"/>
                <a:gd name="connsiteX51" fmla="*/ 965965 w 1043582"/>
                <a:gd name="connsiteY51" fmla="*/ 371277 h 370970"/>
                <a:gd name="connsiteX52" fmla="*/ 985485 w 1043582"/>
                <a:gd name="connsiteY52" fmla="*/ 371277 h 370970"/>
                <a:gd name="connsiteX53" fmla="*/ 1004984 w 1043582"/>
                <a:gd name="connsiteY53" fmla="*/ 371277 h 370970"/>
                <a:gd name="connsiteX54" fmla="*/ 1024504 w 1043582"/>
                <a:gd name="connsiteY54" fmla="*/ 371277 h 370970"/>
                <a:gd name="connsiteX55" fmla="*/ 1044024 w 1043582"/>
                <a:gd name="connsiteY55" fmla="*/ 371277 h 3709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</a:cxnLst>
              <a:rect l="l" t="t" r="r" b="b"/>
              <a:pathLst>
                <a:path w="1043582" h="370970">
                  <a:moveTo>
                    <a:pt x="442" y="2797"/>
                  </a:moveTo>
                  <a:lnTo>
                    <a:pt x="29461" y="307"/>
                  </a:lnTo>
                  <a:lnTo>
                    <a:pt x="48970" y="19832"/>
                  </a:lnTo>
                  <a:lnTo>
                    <a:pt x="68482" y="39358"/>
                  </a:lnTo>
                  <a:lnTo>
                    <a:pt x="87991" y="39358"/>
                  </a:lnTo>
                  <a:lnTo>
                    <a:pt x="107502" y="58881"/>
                  </a:lnTo>
                  <a:lnTo>
                    <a:pt x="127014" y="78406"/>
                  </a:lnTo>
                  <a:lnTo>
                    <a:pt x="146523" y="97932"/>
                  </a:lnTo>
                  <a:lnTo>
                    <a:pt x="166035" y="97932"/>
                  </a:lnTo>
                  <a:lnTo>
                    <a:pt x="185546" y="117455"/>
                  </a:lnTo>
                  <a:lnTo>
                    <a:pt x="205055" y="117455"/>
                  </a:lnTo>
                  <a:lnTo>
                    <a:pt x="224567" y="136981"/>
                  </a:lnTo>
                  <a:lnTo>
                    <a:pt x="244078" y="136981"/>
                  </a:lnTo>
                  <a:lnTo>
                    <a:pt x="263588" y="136981"/>
                  </a:lnTo>
                  <a:lnTo>
                    <a:pt x="283099" y="136981"/>
                  </a:lnTo>
                  <a:lnTo>
                    <a:pt x="302606" y="156506"/>
                  </a:lnTo>
                  <a:lnTo>
                    <a:pt x="322126" y="176029"/>
                  </a:lnTo>
                  <a:lnTo>
                    <a:pt x="341625" y="176029"/>
                  </a:lnTo>
                  <a:lnTo>
                    <a:pt x="361145" y="176029"/>
                  </a:lnTo>
                  <a:lnTo>
                    <a:pt x="380643" y="176029"/>
                  </a:lnTo>
                  <a:lnTo>
                    <a:pt x="400163" y="176029"/>
                  </a:lnTo>
                  <a:lnTo>
                    <a:pt x="419684" y="176029"/>
                  </a:lnTo>
                  <a:lnTo>
                    <a:pt x="439182" y="176029"/>
                  </a:lnTo>
                  <a:lnTo>
                    <a:pt x="458702" y="176029"/>
                  </a:lnTo>
                  <a:lnTo>
                    <a:pt x="478201" y="195555"/>
                  </a:lnTo>
                  <a:lnTo>
                    <a:pt x="497721" y="195555"/>
                  </a:lnTo>
                  <a:lnTo>
                    <a:pt x="517219" y="195555"/>
                  </a:lnTo>
                  <a:lnTo>
                    <a:pt x="536739" y="195555"/>
                  </a:lnTo>
                  <a:lnTo>
                    <a:pt x="556237" y="195555"/>
                  </a:lnTo>
                  <a:lnTo>
                    <a:pt x="575758" y="195555"/>
                  </a:lnTo>
                  <a:lnTo>
                    <a:pt x="595278" y="195555"/>
                  </a:lnTo>
                  <a:lnTo>
                    <a:pt x="614776" y="195555"/>
                  </a:lnTo>
                  <a:lnTo>
                    <a:pt x="634297" y="215078"/>
                  </a:lnTo>
                  <a:lnTo>
                    <a:pt x="653795" y="215078"/>
                  </a:lnTo>
                  <a:lnTo>
                    <a:pt x="673315" y="215078"/>
                  </a:lnTo>
                  <a:lnTo>
                    <a:pt x="692813" y="195555"/>
                  </a:lnTo>
                  <a:lnTo>
                    <a:pt x="712334" y="176029"/>
                  </a:lnTo>
                  <a:lnTo>
                    <a:pt x="731854" y="176029"/>
                  </a:lnTo>
                  <a:lnTo>
                    <a:pt x="751352" y="176029"/>
                  </a:lnTo>
                  <a:lnTo>
                    <a:pt x="770872" y="176029"/>
                  </a:lnTo>
                  <a:lnTo>
                    <a:pt x="790370" y="195555"/>
                  </a:lnTo>
                  <a:lnTo>
                    <a:pt x="809891" y="215078"/>
                  </a:lnTo>
                  <a:lnTo>
                    <a:pt x="809891" y="234603"/>
                  </a:lnTo>
                  <a:lnTo>
                    <a:pt x="829389" y="254129"/>
                  </a:lnTo>
                  <a:lnTo>
                    <a:pt x="848909" y="273652"/>
                  </a:lnTo>
                  <a:lnTo>
                    <a:pt x="868408" y="293178"/>
                  </a:lnTo>
                  <a:lnTo>
                    <a:pt x="868408" y="312703"/>
                  </a:lnTo>
                  <a:lnTo>
                    <a:pt x="887928" y="332226"/>
                  </a:lnTo>
                  <a:lnTo>
                    <a:pt x="907448" y="351752"/>
                  </a:lnTo>
                  <a:lnTo>
                    <a:pt x="926946" y="351752"/>
                  </a:lnTo>
                  <a:lnTo>
                    <a:pt x="946467" y="351752"/>
                  </a:lnTo>
                  <a:lnTo>
                    <a:pt x="965965" y="371277"/>
                  </a:lnTo>
                  <a:lnTo>
                    <a:pt x="985485" y="371277"/>
                  </a:lnTo>
                  <a:lnTo>
                    <a:pt x="1004984" y="371277"/>
                  </a:lnTo>
                  <a:lnTo>
                    <a:pt x="1024504" y="371277"/>
                  </a:lnTo>
                  <a:lnTo>
                    <a:pt x="1044024" y="371277"/>
                  </a:lnTo>
                </a:path>
              </a:pathLst>
            </a:custGeom>
            <a:noFill/>
            <a:ln w="1548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1" name="Forma libre: forma 160">
              <a:extLst>
                <a:ext uri="{FF2B5EF4-FFF2-40B4-BE49-F238E27FC236}">
                  <a16:creationId xmlns:a16="http://schemas.microsoft.com/office/drawing/2014/main" id="{00000000-0008-0000-0400-0000A1000000}"/>
                </a:ext>
              </a:extLst>
            </xdr:cNvPr>
            <xdr:cNvSpPr/>
          </xdr:nvSpPr>
          <xdr:spPr>
            <a:xfrm>
              <a:off x="9238097" y="1690237"/>
              <a:ext cx="174748" cy="35698"/>
            </a:xfrm>
            <a:custGeom>
              <a:avLst/>
              <a:gdLst>
                <a:gd name="connsiteX0" fmla="*/ 442 w 692876"/>
                <a:gd name="connsiteY0" fmla="*/ 307 h 136671"/>
                <a:gd name="connsiteX1" fmla="*/ 19954 w 692876"/>
                <a:gd name="connsiteY1" fmla="*/ 307 h 136671"/>
                <a:gd name="connsiteX2" fmla="*/ 39463 w 692876"/>
                <a:gd name="connsiteY2" fmla="*/ 307 h 136671"/>
                <a:gd name="connsiteX3" fmla="*/ 58974 w 692876"/>
                <a:gd name="connsiteY3" fmla="*/ 19830 h 136671"/>
                <a:gd name="connsiteX4" fmla="*/ 78486 w 692876"/>
                <a:gd name="connsiteY4" fmla="*/ 19830 h 136671"/>
                <a:gd name="connsiteX5" fmla="*/ 97995 w 692876"/>
                <a:gd name="connsiteY5" fmla="*/ 19830 h 136671"/>
                <a:gd name="connsiteX6" fmla="*/ 117507 w 692876"/>
                <a:gd name="connsiteY6" fmla="*/ 19830 h 136671"/>
                <a:gd name="connsiteX7" fmla="*/ 137018 w 692876"/>
                <a:gd name="connsiteY7" fmla="*/ 39355 h 136671"/>
                <a:gd name="connsiteX8" fmla="*/ 156527 w 692876"/>
                <a:gd name="connsiteY8" fmla="*/ 39355 h 136671"/>
                <a:gd name="connsiteX9" fmla="*/ 176039 w 692876"/>
                <a:gd name="connsiteY9" fmla="*/ 39355 h 136671"/>
                <a:gd name="connsiteX10" fmla="*/ 195548 w 692876"/>
                <a:gd name="connsiteY10" fmla="*/ 39355 h 136671"/>
                <a:gd name="connsiteX11" fmla="*/ 215059 w 692876"/>
                <a:gd name="connsiteY11" fmla="*/ 58879 h 136671"/>
                <a:gd name="connsiteX12" fmla="*/ 234571 w 692876"/>
                <a:gd name="connsiteY12" fmla="*/ 58879 h 136671"/>
                <a:gd name="connsiteX13" fmla="*/ 254080 w 692876"/>
                <a:gd name="connsiteY13" fmla="*/ 58879 h 136671"/>
                <a:gd name="connsiteX14" fmla="*/ 273592 w 692876"/>
                <a:gd name="connsiteY14" fmla="*/ 58879 h 136671"/>
                <a:gd name="connsiteX15" fmla="*/ 293103 w 692876"/>
                <a:gd name="connsiteY15" fmla="*/ 78404 h 136671"/>
                <a:gd name="connsiteX16" fmla="*/ 312612 w 692876"/>
                <a:gd name="connsiteY16" fmla="*/ 78404 h 136671"/>
                <a:gd name="connsiteX17" fmla="*/ 332124 w 692876"/>
                <a:gd name="connsiteY17" fmla="*/ 97930 h 136671"/>
                <a:gd name="connsiteX18" fmla="*/ 351633 w 692876"/>
                <a:gd name="connsiteY18" fmla="*/ 97930 h 136671"/>
                <a:gd name="connsiteX19" fmla="*/ 371145 w 692876"/>
                <a:gd name="connsiteY19" fmla="*/ 117453 h 136671"/>
                <a:gd name="connsiteX20" fmla="*/ 390656 w 692876"/>
                <a:gd name="connsiteY20" fmla="*/ 117453 h 136671"/>
                <a:gd name="connsiteX21" fmla="*/ 410165 w 692876"/>
                <a:gd name="connsiteY21" fmla="*/ 136978 h 136671"/>
                <a:gd name="connsiteX22" fmla="*/ 429677 w 692876"/>
                <a:gd name="connsiteY22" fmla="*/ 117453 h 136671"/>
                <a:gd name="connsiteX23" fmla="*/ 449188 w 692876"/>
                <a:gd name="connsiteY23" fmla="*/ 117453 h 136671"/>
                <a:gd name="connsiteX24" fmla="*/ 468697 w 692876"/>
                <a:gd name="connsiteY24" fmla="*/ 117453 h 136671"/>
                <a:gd name="connsiteX25" fmla="*/ 488209 w 692876"/>
                <a:gd name="connsiteY25" fmla="*/ 136978 h 136671"/>
                <a:gd name="connsiteX26" fmla="*/ 507720 w 692876"/>
                <a:gd name="connsiteY26" fmla="*/ 136978 h 136671"/>
                <a:gd name="connsiteX27" fmla="*/ 527230 w 692876"/>
                <a:gd name="connsiteY27" fmla="*/ 136978 h 136671"/>
                <a:gd name="connsiteX28" fmla="*/ 546741 w 692876"/>
                <a:gd name="connsiteY28" fmla="*/ 136978 h 136671"/>
                <a:gd name="connsiteX29" fmla="*/ 566250 w 692876"/>
                <a:gd name="connsiteY29" fmla="*/ 136978 h 136671"/>
                <a:gd name="connsiteX30" fmla="*/ 585762 w 692876"/>
                <a:gd name="connsiteY30" fmla="*/ 136978 h 136671"/>
                <a:gd name="connsiteX31" fmla="*/ 605273 w 692876"/>
                <a:gd name="connsiteY31" fmla="*/ 117453 h 136671"/>
                <a:gd name="connsiteX32" fmla="*/ 624783 w 692876"/>
                <a:gd name="connsiteY32" fmla="*/ 97930 h 136671"/>
                <a:gd name="connsiteX33" fmla="*/ 644294 w 692876"/>
                <a:gd name="connsiteY33" fmla="*/ 78404 h 136671"/>
                <a:gd name="connsiteX34" fmla="*/ 663806 w 692876"/>
                <a:gd name="connsiteY34" fmla="*/ 78404 h 136671"/>
                <a:gd name="connsiteX35" fmla="*/ 683315 w 692876"/>
                <a:gd name="connsiteY35" fmla="*/ 58879 h 136671"/>
                <a:gd name="connsiteX36" fmla="*/ 693319 w 692876"/>
                <a:gd name="connsiteY36" fmla="*/ 61369 h 1366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</a:cxnLst>
              <a:rect l="l" t="t" r="r" b="b"/>
              <a:pathLst>
                <a:path w="692876" h="136671">
                  <a:moveTo>
                    <a:pt x="442" y="307"/>
                  </a:moveTo>
                  <a:lnTo>
                    <a:pt x="19954" y="307"/>
                  </a:lnTo>
                  <a:lnTo>
                    <a:pt x="39463" y="307"/>
                  </a:lnTo>
                  <a:lnTo>
                    <a:pt x="58974" y="19830"/>
                  </a:lnTo>
                  <a:lnTo>
                    <a:pt x="78486" y="19830"/>
                  </a:lnTo>
                  <a:lnTo>
                    <a:pt x="97995" y="19830"/>
                  </a:lnTo>
                  <a:lnTo>
                    <a:pt x="117507" y="19830"/>
                  </a:lnTo>
                  <a:lnTo>
                    <a:pt x="137018" y="39355"/>
                  </a:lnTo>
                  <a:lnTo>
                    <a:pt x="156527" y="39355"/>
                  </a:lnTo>
                  <a:lnTo>
                    <a:pt x="176039" y="39355"/>
                  </a:lnTo>
                  <a:lnTo>
                    <a:pt x="195548" y="39355"/>
                  </a:lnTo>
                  <a:lnTo>
                    <a:pt x="215059" y="58879"/>
                  </a:lnTo>
                  <a:lnTo>
                    <a:pt x="234571" y="58879"/>
                  </a:lnTo>
                  <a:lnTo>
                    <a:pt x="254080" y="58879"/>
                  </a:lnTo>
                  <a:lnTo>
                    <a:pt x="273592" y="58879"/>
                  </a:lnTo>
                  <a:lnTo>
                    <a:pt x="293103" y="78404"/>
                  </a:lnTo>
                  <a:lnTo>
                    <a:pt x="312612" y="78404"/>
                  </a:lnTo>
                  <a:lnTo>
                    <a:pt x="332124" y="97930"/>
                  </a:lnTo>
                  <a:lnTo>
                    <a:pt x="351633" y="97930"/>
                  </a:lnTo>
                  <a:lnTo>
                    <a:pt x="371145" y="117453"/>
                  </a:lnTo>
                  <a:lnTo>
                    <a:pt x="390656" y="117453"/>
                  </a:lnTo>
                  <a:lnTo>
                    <a:pt x="410165" y="136978"/>
                  </a:lnTo>
                  <a:lnTo>
                    <a:pt x="429677" y="117453"/>
                  </a:lnTo>
                  <a:lnTo>
                    <a:pt x="449188" y="117453"/>
                  </a:lnTo>
                  <a:lnTo>
                    <a:pt x="468697" y="117453"/>
                  </a:lnTo>
                  <a:lnTo>
                    <a:pt x="488209" y="136978"/>
                  </a:lnTo>
                  <a:lnTo>
                    <a:pt x="507720" y="136978"/>
                  </a:lnTo>
                  <a:lnTo>
                    <a:pt x="527230" y="136978"/>
                  </a:lnTo>
                  <a:lnTo>
                    <a:pt x="546741" y="136978"/>
                  </a:lnTo>
                  <a:lnTo>
                    <a:pt x="566250" y="136978"/>
                  </a:lnTo>
                  <a:lnTo>
                    <a:pt x="585762" y="136978"/>
                  </a:lnTo>
                  <a:lnTo>
                    <a:pt x="605273" y="117453"/>
                  </a:lnTo>
                  <a:lnTo>
                    <a:pt x="624783" y="97930"/>
                  </a:lnTo>
                  <a:lnTo>
                    <a:pt x="644294" y="78404"/>
                  </a:lnTo>
                  <a:lnTo>
                    <a:pt x="663806" y="78404"/>
                  </a:lnTo>
                  <a:lnTo>
                    <a:pt x="683315" y="58879"/>
                  </a:lnTo>
                  <a:lnTo>
                    <a:pt x="693319" y="61369"/>
                  </a:lnTo>
                </a:path>
              </a:pathLst>
            </a:custGeom>
            <a:noFill/>
            <a:ln w="14803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2" name="Forma libre: forma 161">
              <a:extLst>
                <a:ext uri="{FF2B5EF4-FFF2-40B4-BE49-F238E27FC236}">
                  <a16:creationId xmlns:a16="http://schemas.microsoft.com/office/drawing/2014/main" id="{00000000-0008-0000-0400-0000A2000000}"/>
                </a:ext>
              </a:extLst>
            </xdr:cNvPr>
            <xdr:cNvSpPr/>
          </xdr:nvSpPr>
          <xdr:spPr>
            <a:xfrm>
              <a:off x="9822170" y="1758636"/>
              <a:ext cx="10953" cy="24198"/>
            </a:xfrm>
            <a:custGeom>
              <a:avLst/>
              <a:gdLst>
                <a:gd name="connsiteX0" fmla="*/ 442 w 39040"/>
                <a:gd name="connsiteY0" fmla="*/ 97932 h 97625"/>
                <a:gd name="connsiteX1" fmla="*/ 19962 w 39040"/>
                <a:gd name="connsiteY1" fmla="*/ 97932 h 97625"/>
                <a:gd name="connsiteX2" fmla="*/ 39483 w 39040"/>
                <a:gd name="connsiteY2" fmla="*/ 78406 h 97625"/>
                <a:gd name="connsiteX3" fmla="*/ 39483 w 39040"/>
                <a:gd name="connsiteY3" fmla="*/ 58881 h 97625"/>
                <a:gd name="connsiteX4" fmla="*/ 19962 w 39040"/>
                <a:gd name="connsiteY4" fmla="*/ 39358 h 97625"/>
                <a:gd name="connsiteX5" fmla="*/ 19962 w 39040"/>
                <a:gd name="connsiteY5" fmla="*/ 19832 h 97625"/>
                <a:gd name="connsiteX6" fmla="*/ 19962 w 39040"/>
                <a:gd name="connsiteY6" fmla="*/ 307 h 97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39040" h="97625">
                  <a:moveTo>
                    <a:pt x="442" y="97932"/>
                  </a:moveTo>
                  <a:lnTo>
                    <a:pt x="19962" y="97932"/>
                  </a:lnTo>
                  <a:lnTo>
                    <a:pt x="39483" y="78406"/>
                  </a:lnTo>
                  <a:lnTo>
                    <a:pt x="39483" y="58881"/>
                  </a:lnTo>
                  <a:lnTo>
                    <a:pt x="19962" y="39358"/>
                  </a:lnTo>
                  <a:lnTo>
                    <a:pt x="19962" y="19832"/>
                  </a:lnTo>
                  <a:lnTo>
                    <a:pt x="19962" y="307"/>
                  </a:lnTo>
                </a:path>
              </a:pathLst>
            </a:custGeom>
            <a:noFill/>
            <a:ln w="3442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3" name="Forma libre: forma 162">
              <a:extLst>
                <a:ext uri="{FF2B5EF4-FFF2-40B4-BE49-F238E27FC236}">
                  <a16:creationId xmlns:a16="http://schemas.microsoft.com/office/drawing/2014/main" id="{00000000-0008-0000-0400-0000A3000000}"/>
                </a:ext>
              </a:extLst>
            </xdr:cNvPr>
            <xdr:cNvSpPr/>
          </xdr:nvSpPr>
          <xdr:spPr>
            <a:xfrm>
              <a:off x="9817285" y="1782835"/>
              <a:ext cx="4885" cy="4671"/>
            </a:xfrm>
            <a:custGeom>
              <a:avLst/>
              <a:gdLst>
                <a:gd name="connsiteX0" fmla="*/ 442 w 19498"/>
                <a:gd name="connsiteY0" fmla="*/ 19830 h 19523"/>
                <a:gd name="connsiteX1" fmla="*/ 19940 w 19498"/>
                <a:gd name="connsiteY1" fmla="*/ 307 h 195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498" h="19523">
                  <a:moveTo>
                    <a:pt x="442" y="19830"/>
                  </a:moveTo>
                  <a:lnTo>
                    <a:pt x="19940" y="307"/>
                  </a:lnTo>
                </a:path>
              </a:pathLst>
            </a:custGeom>
            <a:noFill/>
            <a:ln w="3432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4" name="Forma libre: forma 163">
              <a:extLst>
                <a:ext uri="{FF2B5EF4-FFF2-40B4-BE49-F238E27FC236}">
                  <a16:creationId xmlns:a16="http://schemas.microsoft.com/office/drawing/2014/main" id="{00000000-0008-0000-0400-0000A4000000}"/>
                </a:ext>
              </a:extLst>
            </xdr:cNvPr>
            <xdr:cNvSpPr/>
          </xdr:nvSpPr>
          <xdr:spPr>
            <a:xfrm>
              <a:off x="9753747" y="1778163"/>
              <a:ext cx="63538" cy="28029"/>
            </a:xfrm>
            <a:custGeom>
              <a:avLst/>
              <a:gdLst>
                <a:gd name="connsiteX0" fmla="*/ 442 w 253631"/>
                <a:gd name="connsiteY0" fmla="*/ 307 h 117148"/>
                <a:gd name="connsiteX1" fmla="*/ 19940 w 253631"/>
                <a:gd name="connsiteY1" fmla="*/ 19832 h 117148"/>
                <a:gd name="connsiteX2" fmla="*/ 39461 w 253631"/>
                <a:gd name="connsiteY2" fmla="*/ 19832 h 117148"/>
                <a:gd name="connsiteX3" fmla="*/ 39461 w 253631"/>
                <a:gd name="connsiteY3" fmla="*/ 39355 h 117148"/>
                <a:gd name="connsiteX4" fmla="*/ 39461 w 253631"/>
                <a:gd name="connsiteY4" fmla="*/ 58881 h 117148"/>
                <a:gd name="connsiteX5" fmla="*/ 39461 w 253631"/>
                <a:gd name="connsiteY5" fmla="*/ 78406 h 117148"/>
                <a:gd name="connsiteX6" fmla="*/ 39461 w 253631"/>
                <a:gd name="connsiteY6" fmla="*/ 97930 h 117148"/>
                <a:gd name="connsiteX7" fmla="*/ 58959 w 253631"/>
                <a:gd name="connsiteY7" fmla="*/ 117455 h 117148"/>
                <a:gd name="connsiteX8" fmla="*/ 78479 w 253631"/>
                <a:gd name="connsiteY8" fmla="*/ 117455 h 117148"/>
                <a:gd name="connsiteX9" fmla="*/ 97977 w 253631"/>
                <a:gd name="connsiteY9" fmla="*/ 97930 h 117148"/>
                <a:gd name="connsiteX10" fmla="*/ 117498 w 253631"/>
                <a:gd name="connsiteY10" fmla="*/ 78406 h 117148"/>
                <a:gd name="connsiteX11" fmla="*/ 137018 w 253631"/>
                <a:gd name="connsiteY11" fmla="*/ 78406 h 117148"/>
                <a:gd name="connsiteX12" fmla="*/ 156516 w 253631"/>
                <a:gd name="connsiteY12" fmla="*/ 58881 h 117148"/>
                <a:gd name="connsiteX13" fmla="*/ 176036 w 253631"/>
                <a:gd name="connsiteY13" fmla="*/ 39355 h 117148"/>
                <a:gd name="connsiteX14" fmla="*/ 195535 w 253631"/>
                <a:gd name="connsiteY14" fmla="*/ 39355 h 117148"/>
                <a:gd name="connsiteX15" fmla="*/ 215055 w 253631"/>
                <a:gd name="connsiteY15" fmla="*/ 39355 h 117148"/>
                <a:gd name="connsiteX16" fmla="*/ 234553 w 253631"/>
                <a:gd name="connsiteY16" fmla="*/ 39355 h 117148"/>
                <a:gd name="connsiteX17" fmla="*/ 244236 w 253631"/>
                <a:gd name="connsiteY17" fmla="*/ 38699 h 117148"/>
                <a:gd name="connsiteX18" fmla="*/ 254074 w 253631"/>
                <a:gd name="connsiteY18" fmla="*/ 39355 h 1171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253631" h="117148">
                  <a:moveTo>
                    <a:pt x="442" y="307"/>
                  </a:moveTo>
                  <a:lnTo>
                    <a:pt x="19940" y="19832"/>
                  </a:lnTo>
                  <a:lnTo>
                    <a:pt x="39461" y="19832"/>
                  </a:lnTo>
                  <a:lnTo>
                    <a:pt x="39461" y="39355"/>
                  </a:lnTo>
                  <a:lnTo>
                    <a:pt x="39461" y="58881"/>
                  </a:lnTo>
                  <a:lnTo>
                    <a:pt x="39461" y="78406"/>
                  </a:lnTo>
                  <a:lnTo>
                    <a:pt x="39461" y="97930"/>
                  </a:lnTo>
                  <a:lnTo>
                    <a:pt x="58959" y="117455"/>
                  </a:lnTo>
                  <a:lnTo>
                    <a:pt x="78479" y="117455"/>
                  </a:lnTo>
                  <a:lnTo>
                    <a:pt x="97977" y="97930"/>
                  </a:lnTo>
                  <a:lnTo>
                    <a:pt x="117498" y="78406"/>
                  </a:lnTo>
                  <a:lnTo>
                    <a:pt x="137018" y="78406"/>
                  </a:lnTo>
                  <a:lnTo>
                    <a:pt x="156516" y="58881"/>
                  </a:lnTo>
                  <a:lnTo>
                    <a:pt x="176036" y="39355"/>
                  </a:lnTo>
                  <a:lnTo>
                    <a:pt x="195535" y="39355"/>
                  </a:lnTo>
                  <a:lnTo>
                    <a:pt x="215055" y="39355"/>
                  </a:lnTo>
                  <a:lnTo>
                    <a:pt x="234553" y="39355"/>
                  </a:lnTo>
                  <a:lnTo>
                    <a:pt x="244236" y="38699"/>
                  </a:lnTo>
                  <a:lnTo>
                    <a:pt x="254074" y="39355"/>
                  </a:lnTo>
                </a:path>
              </a:pathLst>
            </a:custGeom>
            <a:noFill/>
            <a:ln w="2523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5" name="Forma libre: forma 164">
              <a:extLst>
                <a:ext uri="{FF2B5EF4-FFF2-40B4-BE49-F238E27FC236}">
                  <a16:creationId xmlns:a16="http://schemas.microsoft.com/office/drawing/2014/main" id="{00000000-0008-0000-0400-0000A5000000}"/>
                </a:ext>
              </a:extLst>
            </xdr:cNvPr>
            <xdr:cNvSpPr/>
          </xdr:nvSpPr>
          <xdr:spPr>
            <a:xfrm>
              <a:off x="9690204" y="1758636"/>
              <a:ext cx="63543" cy="24198"/>
            </a:xfrm>
            <a:custGeom>
              <a:avLst/>
              <a:gdLst>
                <a:gd name="connsiteX0" fmla="*/ 442 w 253653"/>
                <a:gd name="connsiteY0" fmla="*/ 97932 h 97625"/>
                <a:gd name="connsiteX1" fmla="*/ 19962 w 253653"/>
                <a:gd name="connsiteY1" fmla="*/ 97932 h 97625"/>
                <a:gd name="connsiteX2" fmla="*/ 39460 w 253653"/>
                <a:gd name="connsiteY2" fmla="*/ 97932 h 97625"/>
                <a:gd name="connsiteX3" fmla="*/ 58981 w 253653"/>
                <a:gd name="connsiteY3" fmla="*/ 97932 h 97625"/>
                <a:gd name="connsiteX4" fmla="*/ 78479 w 253653"/>
                <a:gd name="connsiteY4" fmla="*/ 78406 h 97625"/>
                <a:gd name="connsiteX5" fmla="*/ 78479 w 253653"/>
                <a:gd name="connsiteY5" fmla="*/ 58881 h 97625"/>
                <a:gd name="connsiteX6" fmla="*/ 78479 w 253653"/>
                <a:gd name="connsiteY6" fmla="*/ 39358 h 97625"/>
                <a:gd name="connsiteX7" fmla="*/ 78479 w 253653"/>
                <a:gd name="connsiteY7" fmla="*/ 19832 h 97625"/>
                <a:gd name="connsiteX8" fmla="*/ 97999 w 253653"/>
                <a:gd name="connsiteY8" fmla="*/ 307 h 97625"/>
                <a:gd name="connsiteX9" fmla="*/ 117520 w 253653"/>
                <a:gd name="connsiteY9" fmla="*/ 307 h 97625"/>
                <a:gd name="connsiteX10" fmla="*/ 137018 w 253653"/>
                <a:gd name="connsiteY10" fmla="*/ 19832 h 97625"/>
                <a:gd name="connsiteX11" fmla="*/ 156538 w 253653"/>
                <a:gd name="connsiteY11" fmla="*/ 19832 h 97625"/>
                <a:gd name="connsiteX12" fmla="*/ 176036 w 253653"/>
                <a:gd name="connsiteY12" fmla="*/ 39358 h 97625"/>
                <a:gd name="connsiteX13" fmla="*/ 195557 w 253653"/>
                <a:gd name="connsiteY13" fmla="*/ 58881 h 97625"/>
                <a:gd name="connsiteX14" fmla="*/ 215055 w 253653"/>
                <a:gd name="connsiteY14" fmla="*/ 78406 h 97625"/>
                <a:gd name="connsiteX15" fmla="*/ 234575 w 253653"/>
                <a:gd name="connsiteY15" fmla="*/ 78406 h 97625"/>
                <a:gd name="connsiteX16" fmla="*/ 254095 w 253653"/>
                <a:gd name="connsiteY16" fmla="*/ 78406 h 976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253653" h="97625">
                  <a:moveTo>
                    <a:pt x="442" y="97932"/>
                  </a:moveTo>
                  <a:lnTo>
                    <a:pt x="19962" y="97932"/>
                  </a:lnTo>
                  <a:lnTo>
                    <a:pt x="39460" y="97932"/>
                  </a:lnTo>
                  <a:lnTo>
                    <a:pt x="58981" y="97932"/>
                  </a:lnTo>
                  <a:lnTo>
                    <a:pt x="78479" y="78406"/>
                  </a:lnTo>
                  <a:lnTo>
                    <a:pt x="78479" y="58881"/>
                  </a:lnTo>
                  <a:lnTo>
                    <a:pt x="78479" y="39358"/>
                  </a:lnTo>
                  <a:lnTo>
                    <a:pt x="78479" y="19832"/>
                  </a:lnTo>
                  <a:lnTo>
                    <a:pt x="97999" y="307"/>
                  </a:lnTo>
                  <a:lnTo>
                    <a:pt x="117520" y="307"/>
                  </a:lnTo>
                  <a:lnTo>
                    <a:pt x="137018" y="19832"/>
                  </a:lnTo>
                  <a:lnTo>
                    <a:pt x="156538" y="19832"/>
                  </a:lnTo>
                  <a:lnTo>
                    <a:pt x="176036" y="39358"/>
                  </a:lnTo>
                  <a:lnTo>
                    <a:pt x="195557" y="58881"/>
                  </a:lnTo>
                  <a:lnTo>
                    <a:pt x="215055" y="78406"/>
                  </a:lnTo>
                  <a:lnTo>
                    <a:pt x="234575" y="78406"/>
                  </a:lnTo>
                  <a:lnTo>
                    <a:pt x="254095" y="78406"/>
                  </a:lnTo>
                </a:path>
              </a:pathLst>
            </a:custGeom>
            <a:noFill/>
            <a:ln w="2510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6" name="Forma libre: forma 165">
              <a:extLst>
                <a:ext uri="{FF2B5EF4-FFF2-40B4-BE49-F238E27FC236}">
                  <a16:creationId xmlns:a16="http://schemas.microsoft.com/office/drawing/2014/main" id="{00000000-0008-0000-0400-0000A6000000}"/>
                </a:ext>
              </a:extLst>
            </xdr:cNvPr>
            <xdr:cNvSpPr/>
          </xdr:nvSpPr>
          <xdr:spPr>
            <a:xfrm>
              <a:off x="9685319" y="1782835"/>
              <a:ext cx="4885" cy="530"/>
            </a:xfrm>
            <a:custGeom>
              <a:avLst/>
              <a:gdLst>
                <a:gd name="connsiteX0" fmla="*/ 442 w 19498"/>
                <a:gd name="connsiteY0" fmla="*/ 307 h 2217"/>
                <a:gd name="connsiteX1" fmla="*/ 19940 w 19498"/>
                <a:gd name="connsiteY1" fmla="*/ 307 h 221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498" h="2217">
                  <a:moveTo>
                    <a:pt x="442" y="307"/>
                  </a:moveTo>
                  <a:lnTo>
                    <a:pt x="19940" y="307"/>
                  </a:lnTo>
                </a:path>
              </a:pathLst>
            </a:custGeom>
            <a:noFill/>
            <a:ln w="24965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7" name="Forma libre: forma 166">
              <a:extLst>
                <a:ext uri="{FF2B5EF4-FFF2-40B4-BE49-F238E27FC236}">
                  <a16:creationId xmlns:a16="http://schemas.microsoft.com/office/drawing/2014/main" id="{00000000-0008-0000-0400-0000A7000000}"/>
                </a:ext>
              </a:extLst>
            </xdr:cNvPr>
            <xdr:cNvSpPr/>
          </xdr:nvSpPr>
          <xdr:spPr>
            <a:xfrm>
              <a:off x="9680429" y="1782835"/>
              <a:ext cx="4890" cy="4671"/>
            </a:xfrm>
            <a:custGeom>
              <a:avLst/>
              <a:gdLst>
                <a:gd name="connsiteX0" fmla="*/ 442 w 19520"/>
                <a:gd name="connsiteY0" fmla="*/ 19830 h 19523"/>
                <a:gd name="connsiteX1" fmla="*/ 19962 w 19520"/>
                <a:gd name="connsiteY1" fmla="*/ 307 h 195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20" h="19523">
                  <a:moveTo>
                    <a:pt x="442" y="19830"/>
                  </a:moveTo>
                  <a:lnTo>
                    <a:pt x="19962" y="307"/>
                  </a:lnTo>
                </a:path>
              </a:pathLst>
            </a:custGeom>
            <a:noFill/>
            <a:ln w="15918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8" name="Forma libre: forma 167">
              <a:extLst>
                <a:ext uri="{FF2B5EF4-FFF2-40B4-BE49-F238E27FC236}">
                  <a16:creationId xmlns:a16="http://schemas.microsoft.com/office/drawing/2014/main" id="{00000000-0008-0000-0400-0000A8000000}"/>
                </a:ext>
              </a:extLst>
            </xdr:cNvPr>
            <xdr:cNvSpPr/>
          </xdr:nvSpPr>
          <xdr:spPr>
            <a:xfrm>
              <a:off x="9675545" y="1787506"/>
              <a:ext cx="4885" cy="9343"/>
            </a:xfrm>
            <a:custGeom>
              <a:avLst/>
              <a:gdLst>
                <a:gd name="connsiteX0" fmla="*/ 442 w 19498"/>
                <a:gd name="connsiteY0" fmla="*/ 39358 h 39050"/>
                <a:gd name="connsiteX1" fmla="*/ 19940 w 19498"/>
                <a:gd name="connsiteY1" fmla="*/ 19832 h 39050"/>
                <a:gd name="connsiteX2" fmla="*/ 19940 w 19498"/>
                <a:gd name="connsiteY2" fmla="*/ 307 h 390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9498" h="39050">
                  <a:moveTo>
                    <a:pt x="442" y="39358"/>
                  </a:moveTo>
                  <a:lnTo>
                    <a:pt x="19940" y="19832"/>
                  </a:lnTo>
                  <a:lnTo>
                    <a:pt x="19940" y="307"/>
                  </a:lnTo>
                </a:path>
              </a:pathLst>
            </a:custGeom>
            <a:noFill/>
            <a:ln w="15702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69" name="Forma libre: forma 168">
              <a:extLst>
                <a:ext uri="{FF2B5EF4-FFF2-40B4-BE49-F238E27FC236}">
                  <a16:creationId xmlns:a16="http://schemas.microsoft.com/office/drawing/2014/main" id="{00000000-0008-0000-0400-0000A9000000}"/>
                </a:ext>
              </a:extLst>
            </xdr:cNvPr>
            <xdr:cNvSpPr/>
          </xdr:nvSpPr>
          <xdr:spPr>
            <a:xfrm>
              <a:off x="10108003" y="1778163"/>
              <a:ext cx="254253" cy="90440"/>
            </a:xfrm>
            <a:custGeom>
              <a:avLst/>
              <a:gdLst>
                <a:gd name="connsiteX0" fmla="*/ 442 w 1014547"/>
                <a:gd name="connsiteY0" fmla="*/ 307 h 370968"/>
                <a:gd name="connsiteX1" fmla="*/ 442 w 1014547"/>
                <a:gd name="connsiteY1" fmla="*/ 19832 h 370968"/>
                <a:gd name="connsiteX2" fmla="*/ 19962 w 1014547"/>
                <a:gd name="connsiteY2" fmla="*/ 39355 h 370968"/>
                <a:gd name="connsiteX3" fmla="*/ 39461 w 1014547"/>
                <a:gd name="connsiteY3" fmla="*/ 58881 h 370968"/>
                <a:gd name="connsiteX4" fmla="*/ 39461 w 1014547"/>
                <a:gd name="connsiteY4" fmla="*/ 78406 h 370968"/>
                <a:gd name="connsiteX5" fmla="*/ 58981 w 1014547"/>
                <a:gd name="connsiteY5" fmla="*/ 97929 h 370968"/>
                <a:gd name="connsiteX6" fmla="*/ 58981 w 1014547"/>
                <a:gd name="connsiteY6" fmla="*/ 117455 h 370968"/>
                <a:gd name="connsiteX7" fmla="*/ 78479 w 1014547"/>
                <a:gd name="connsiteY7" fmla="*/ 136978 h 370968"/>
                <a:gd name="connsiteX8" fmla="*/ 97999 w 1014547"/>
                <a:gd name="connsiteY8" fmla="*/ 156504 h 370968"/>
                <a:gd name="connsiteX9" fmla="*/ 117520 w 1014547"/>
                <a:gd name="connsiteY9" fmla="*/ 156504 h 370968"/>
                <a:gd name="connsiteX10" fmla="*/ 137018 w 1014547"/>
                <a:gd name="connsiteY10" fmla="*/ 156504 h 370968"/>
                <a:gd name="connsiteX11" fmla="*/ 156538 w 1014547"/>
                <a:gd name="connsiteY11" fmla="*/ 156504 h 370968"/>
                <a:gd name="connsiteX12" fmla="*/ 176036 w 1014547"/>
                <a:gd name="connsiteY12" fmla="*/ 136978 h 370968"/>
                <a:gd name="connsiteX13" fmla="*/ 195557 w 1014547"/>
                <a:gd name="connsiteY13" fmla="*/ 156504 h 370968"/>
                <a:gd name="connsiteX14" fmla="*/ 215055 w 1014547"/>
                <a:gd name="connsiteY14" fmla="*/ 156504 h 370968"/>
                <a:gd name="connsiteX15" fmla="*/ 234575 w 1014547"/>
                <a:gd name="connsiteY15" fmla="*/ 156504 h 370968"/>
                <a:gd name="connsiteX16" fmla="*/ 254073 w 1014547"/>
                <a:gd name="connsiteY16" fmla="*/ 156504 h 370968"/>
                <a:gd name="connsiteX17" fmla="*/ 273594 w 1014547"/>
                <a:gd name="connsiteY17" fmla="*/ 156504 h 370968"/>
                <a:gd name="connsiteX18" fmla="*/ 293114 w 1014547"/>
                <a:gd name="connsiteY18" fmla="*/ 156504 h 370968"/>
                <a:gd name="connsiteX19" fmla="*/ 312612 w 1014547"/>
                <a:gd name="connsiteY19" fmla="*/ 136978 h 370968"/>
                <a:gd name="connsiteX20" fmla="*/ 332132 w 1014547"/>
                <a:gd name="connsiteY20" fmla="*/ 136978 h 370968"/>
                <a:gd name="connsiteX21" fmla="*/ 351630 w 1014547"/>
                <a:gd name="connsiteY21" fmla="*/ 136978 h 370968"/>
                <a:gd name="connsiteX22" fmla="*/ 371151 w 1014547"/>
                <a:gd name="connsiteY22" fmla="*/ 156504 h 370968"/>
                <a:gd name="connsiteX23" fmla="*/ 351630 w 1014547"/>
                <a:gd name="connsiteY23" fmla="*/ 176029 h 370968"/>
                <a:gd name="connsiteX24" fmla="*/ 351630 w 1014547"/>
                <a:gd name="connsiteY24" fmla="*/ 195552 h 370968"/>
                <a:gd name="connsiteX25" fmla="*/ 332132 w 1014547"/>
                <a:gd name="connsiteY25" fmla="*/ 215078 h 370968"/>
                <a:gd name="connsiteX26" fmla="*/ 351630 w 1014547"/>
                <a:gd name="connsiteY26" fmla="*/ 234603 h 370968"/>
                <a:gd name="connsiteX27" fmla="*/ 371151 w 1014547"/>
                <a:gd name="connsiteY27" fmla="*/ 254127 h 370968"/>
                <a:gd name="connsiteX28" fmla="*/ 390649 w 1014547"/>
                <a:gd name="connsiteY28" fmla="*/ 273652 h 370968"/>
                <a:gd name="connsiteX29" fmla="*/ 410170 w 1014547"/>
                <a:gd name="connsiteY29" fmla="*/ 273652 h 370968"/>
                <a:gd name="connsiteX30" fmla="*/ 429690 w 1014547"/>
                <a:gd name="connsiteY30" fmla="*/ 273652 h 370968"/>
                <a:gd name="connsiteX31" fmla="*/ 449188 w 1014547"/>
                <a:gd name="connsiteY31" fmla="*/ 273652 h 370968"/>
                <a:gd name="connsiteX32" fmla="*/ 468708 w 1014547"/>
                <a:gd name="connsiteY32" fmla="*/ 273652 h 370968"/>
                <a:gd name="connsiteX33" fmla="*/ 488207 w 1014547"/>
                <a:gd name="connsiteY33" fmla="*/ 273652 h 370968"/>
                <a:gd name="connsiteX34" fmla="*/ 507727 w 1014547"/>
                <a:gd name="connsiteY34" fmla="*/ 254127 h 370968"/>
                <a:gd name="connsiteX35" fmla="*/ 527225 w 1014547"/>
                <a:gd name="connsiteY35" fmla="*/ 234603 h 370968"/>
                <a:gd name="connsiteX36" fmla="*/ 546745 w 1014547"/>
                <a:gd name="connsiteY36" fmla="*/ 215078 h 370968"/>
                <a:gd name="connsiteX37" fmla="*/ 566244 w 1014547"/>
                <a:gd name="connsiteY37" fmla="*/ 215078 h 370968"/>
                <a:gd name="connsiteX38" fmla="*/ 585764 w 1014547"/>
                <a:gd name="connsiteY38" fmla="*/ 234603 h 370968"/>
                <a:gd name="connsiteX39" fmla="*/ 605284 w 1014547"/>
                <a:gd name="connsiteY39" fmla="*/ 254127 h 370968"/>
                <a:gd name="connsiteX40" fmla="*/ 605284 w 1014547"/>
                <a:gd name="connsiteY40" fmla="*/ 273652 h 370968"/>
                <a:gd name="connsiteX41" fmla="*/ 624782 w 1014547"/>
                <a:gd name="connsiteY41" fmla="*/ 293178 h 370968"/>
                <a:gd name="connsiteX42" fmla="*/ 644303 w 1014547"/>
                <a:gd name="connsiteY42" fmla="*/ 293178 h 370968"/>
                <a:gd name="connsiteX43" fmla="*/ 663801 w 1014547"/>
                <a:gd name="connsiteY43" fmla="*/ 293178 h 370968"/>
                <a:gd name="connsiteX44" fmla="*/ 683321 w 1014547"/>
                <a:gd name="connsiteY44" fmla="*/ 293178 h 370968"/>
                <a:gd name="connsiteX45" fmla="*/ 702819 w 1014547"/>
                <a:gd name="connsiteY45" fmla="*/ 293178 h 370968"/>
                <a:gd name="connsiteX46" fmla="*/ 722340 w 1014547"/>
                <a:gd name="connsiteY46" fmla="*/ 293178 h 370968"/>
                <a:gd name="connsiteX47" fmla="*/ 741860 w 1014547"/>
                <a:gd name="connsiteY47" fmla="*/ 312701 h 370968"/>
                <a:gd name="connsiteX48" fmla="*/ 761358 w 1014547"/>
                <a:gd name="connsiteY48" fmla="*/ 312701 h 370968"/>
                <a:gd name="connsiteX49" fmla="*/ 780878 w 1014547"/>
                <a:gd name="connsiteY49" fmla="*/ 312701 h 370968"/>
                <a:gd name="connsiteX50" fmla="*/ 800377 w 1014547"/>
                <a:gd name="connsiteY50" fmla="*/ 332226 h 370968"/>
                <a:gd name="connsiteX51" fmla="*/ 819897 w 1014547"/>
                <a:gd name="connsiteY51" fmla="*/ 332226 h 370968"/>
                <a:gd name="connsiteX52" fmla="*/ 839395 w 1014547"/>
                <a:gd name="connsiteY52" fmla="*/ 332226 h 370968"/>
                <a:gd name="connsiteX53" fmla="*/ 858915 w 1014547"/>
                <a:gd name="connsiteY53" fmla="*/ 351750 h 370968"/>
                <a:gd name="connsiteX54" fmla="*/ 878413 w 1014547"/>
                <a:gd name="connsiteY54" fmla="*/ 351750 h 370968"/>
                <a:gd name="connsiteX55" fmla="*/ 897934 w 1014547"/>
                <a:gd name="connsiteY55" fmla="*/ 351750 h 370968"/>
                <a:gd name="connsiteX56" fmla="*/ 917454 w 1014547"/>
                <a:gd name="connsiteY56" fmla="*/ 371275 h 370968"/>
                <a:gd name="connsiteX57" fmla="*/ 936953 w 1014547"/>
                <a:gd name="connsiteY57" fmla="*/ 371275 h 370968"/>
                <a:gd name="connsiteX58" fmla="*/ 956473 w 1014547"/>
                <a:gd name="connsiteY58" fmla="*/ 371275 h 370968"/>
                <a:gd name="connsiteX59" fmla="*/ 975971 w 1014547"/>
                <a:gd name="connsiteY59" fmla="*/ 371275 h 370968"/>
                <a:gd name="connsiteX60" fmla="*/ 995491 w 1014547"/>
                <a:gd name="connsiteY60" fmla="*/ 371275 h 370968"/>
                <a:gd name="connsiteX61" fmla="*/ 1014990 w 1014547"/>
                <a:gd name="connsiteY61" fmla="*/ 371275 h 37096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</a:cxnLst>
              <a:rect l="l" t="t" r="r" b="b"/>
              <a:pathLst>
                <a:path w="1014547" h="370968">
                  <a:moveTo>
                    <a:pt x="442" y="307"/>
                  </a:moveTo>
                  <a:lnTo>
                    <a:pt x="442" y="19832"/>
                  </a:lnTo>
                  <a:lnTo>
                    <a:pt x="19962" y="39355"/>
                  </a:lnTo>
                  <a:lnTo>
                    <a:pt x="39461" y="58881"/>
                  </a:lnTo>
                  <a:lnTo>
                    <a:pt x="39461" y="78406"/>
                  </a:lnTo>
                  <a:lnTo>
                    <a:pt x="58981" y="97929"/>
                  </a:lnTo>
                  <a:lnTo>
                    <a:pt x="58981" y="117455"/>
                  </a:lnTo>
                  <a:lnTo>
                    <a:pt x="78479" y="136978"/>
                  </a:lnTo>
                  <a:lnTo>
                    <a:pt x="97999" y="156504"/>
                  </a:lnTo>
                  <a:lnTo>
                    <a:pt x="117520" y="156504"/>
                  </a:lnTo>
                  <a:lnTo>
                    <a:pt x="137018" y="156504"/>
                  </a:lnTo>
                  <a:lnTo>
                    <a:pt x="156538" y="156504"/>
                  </a:lnTo>
                  <a:lnTo>
                    <a:pt x="176036" y="136978"/>
                  </a:lnTo>
                  <a:lnTo>
                    <a:pt x="195557" y="156504"/>
                  </a:lnTo>
                  <a:lnTo>
                    <a:pt x="215055" y="156504"/>
                  </a:lnTo>
                  <a:lnTo>
                    <a:pt x="234575" y="156504"/>
                  </a:lnTo>
                  <a:lnTo>
                    <a:pt x="254073" y="156504"/>
                  </a:lnTo>
                  <a:lnTo>
                    <a:pt x="273594" y="156504"/>
                  </a:lnTo>
                  <a:lnTo>
                    <a:pt x="293114" y="156504"/>
                  </a:lnTo>
                  <a:lnTo>
                    <a:pt x="312612" y="136978"/>
                  </a:lnTo>
                  <a:lnTo>
                    <a:pt x="332132" y="136978"/>
                  </a:lnTo>
                  <a:lnTo>
                    <a:pt x="351630" y="136978"/>
                  </a:lnTo>
                  <a:lnTo>
                    <a:pt x="371151" y="156504"/>
                  </a:lnTo>
                  <a:lnTo>
                    <a:pt x="351630" y="176029"/>
                  </a:lnTo>
                  <a:lnTo>
                    <a:pt x="351630" y="195552"/>
                  </a:lnTo>
                  <a:lnTo>
                    <a:pt x="332132" y="215078"/>
                  </a:lnTo>
                  <a:lnTo>
                    <a:pt x="351630" y="234603"/>
                  </a:lnTo>
                  <a:lnTo>
                    <a:pt x="371151" y="254127"/>
                  </a:lnTo>
                  <a:lnTo>
                    <a:pt x="390649" y="273652"/>
                  </a:lnTo>
                  <a:lnTo>
                    <a:pt x="410170" y="273652"/>
                  </a:lnTo>
                  <a:lnTo>
                    <a:pt x="429690" y="273652"/>
                  </a:lnTo>
                  <a:lnTo>
                    <a:pt x="449188" y="273652"/>
                  </a:lnTo>
                  <a:lnTo>
                    <a:pt x="468708" y="273652"/>
                  </a:lnTo>
                  <a:lnTo>
                    <a:pt x="488207" y="273652"/>
                  </a:lnTo>
                  <a:lnTo>
                    <a:pt x="507727" y="254127"/>
                  </a:lnTo>
                  <a:lnTo>
                    <a:pt x="527225" y="234603"/>
                  </a:lnTo>
                  <a:lnTo>
                    <a:pt x="546745" y="215078"/>
                  </a:lnTo>
                  <a:lnTo>
                    <a:pt x="566244" y="215078"/>
                  </a:lnTo>
                  <a:lnTo>
                    <a:pt x="585764" y="234603"/>
                  </a:lnTo>
                  <a:lnTo>
                    <a:pt x="605284" y="254127"/>
                  </a:lnTo>
                  <a:lnTo>
                    <a:pt x="605284" y="273652"/>
                  </a:lnTo>
                  <a:lnTo>
                    <a:pt x="624782" y="293178"/>
                  </a:lnTo>
                  <a:lnTo>
                    <a:pt x="644303" y="293178"/>
                  </a:lnTo>
                  <a:lnTo>
                    <a:pt x="663801" y="293178"/>
                  </a:lnTo>
                  <a:lnTo>
                    <a:pt x="683321" y="293178"/>
                  </a:lnTo>
                  <a:lnTo>
                    <a:pt x="702819" y="293178"/>
                  </a:lnTo>
                  <a:lnTo>
                    <a:pt x="722340" y="293178"/>
                  </a:lnTo>
                  <a:lnTo>
                    <a:pt x="741860" y="312701"/>
                  </a:lnTo>
                  <a:lnTo>
                    <a:pt x="761358" y="312701"/>
                  </a:lnTo>
                  <a:lnTo>
                    <a:pt x="780878" y="312701"/>
                  </a:lnTo>
                  <a:lnTo>
                    <a:pt x="800377" y="332226"/>
                  </a:lnTo>
                  <a:lnTo>
                    <a:pt x="819897" y="332226"/>
                  </a:lnTo>
                  <a:lnTo>
                    <a:pt x="839395" y="332226"/>
                  </a:lnTo>
                  <a:lnTo>
                    <a:pt x="858915" y="351750"/>
                  </a:lnTo>
                  <a:lnTo>
                    <a:pt x="878413" y="351750"/>
                  </a:lnTo>
                  <a:lnTo>
                    <a:pt x="897934" y="351750"/>
                  </a:lnTo>
                  <a:lnTo>
                    <a:pt x="917454" y="371275"/>
                  </a:lnTo>
                  <a:lnTo>
                    <a:pt x="936953" y="371275"/>
                  </a:lnTo>
                  <a:lnTo>
                    <a:pt x="956473" y="371275"/>
                  </a:lnTo>
                  <a:lnTo>
                    <a:pt x="975971" y="371275"/>
                  </a:lnTo>
                  <a:lnTo>
                    <a:pt x="995491" y="371275"/>
                  </a:lnTo>
                  <a:lnTo>
                    <a:pt x="1014990" y="371275"/>
                  </a:lnTo>
                </a:path>
              </a:pathLst>
            </a:custGeom>
            <a:noFill/>
            <a:ln w="37286" cap="sq">
              <a:solidFill>
                <a:schemeClr val="accent6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0" name="Forma libre: forma 169">
              <a:extLst>
                <a:ext uri="{FF2B5EF4-FFF2-40B4-BE49-F238E27FC236}">
                  <a16:creationId xmlns:a16="http://schemas.microsoft.com/office/drawing/2014/main" id="{00000000-0008-0000-0400-0000AA000000}"/>
                </a:ext>
              </a:extLst>
            </xdr:cNvPr>
            <xdr:cNvSpPr/>
          </xdr:nvSpPr>
          <xdr:spPr>
            <a:xfrm>
              <a:off x="10103119" y="1773491"/>
              <a:ext cx="4885" cy="4672"/>
            </a:xfrm>
            <a:custGeom>
              <a:avLst/>
              <a:gdLst>
                <a:gd name="connsiteX0" fmla="*/ 442 w 19498"/>
                <a:gd name="connsiteY0" fmla="*/ 307 h 19525"/>
                <a:gd name="connsiteX1" fmla="*/ 19940 w 19498"/>
                <a:gd name="connsiteY1" fmla="*/ 19832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498" h="19525">
                  <a:moveTo>
                    <a:pt x="442" y="307"/>
                  </a:moveTo>
                  <a:lnTo>
                    <a:pt x="19940" y="19832"/>
                  </a:lnTo>
                </a:path>
              </a:pathLst>
            </a:custGeom>
            <a:noFill/>
            <a:ln w="3719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1" name="Forma libre: forma 170">
              <a:extLst>
                <a:ext uri="{FF2B5EF4-FFF2-40B4-BE49-F238E27FC236}">
                  <a16:creationId xmlns:a16="http://schemas.microsoft.com/office/drawing/2014/main" id="{00000000-0008-0000-0400-0000AB000000}"/>
                </a:ext>
              </a:extLst>
            </xdr:cNvPr>
            <xdr:cNvSpPr/>
          </xdr:nvSpPr>
          <xdr:spPr>
            <a:xfrm>
              <a:off x="10054240" y="1768820"/>
              <a:ext cx="48879" cy="4758"/>
            </a:xfrm>
            <a:custGeom>
              <a:avLst/>
              <a:gdLst>
                <a:gd name="connsiteX0" fmla="*/ 442 w 195114"/>
                <a:gd name="connsiteY0" fmla="*/ 307 h 19884"/>
                <a:gd name="connsiteX1" fmla="*/ 19940 w 195114"/>
                <a:gd name="connsiteY1" fmla="*/ 19830 h 19884"/>
                <a:gd name="connsiteX2" fmla="*/ 39460 w 195114"/>
                <a:gd name="connsiteY2" fmla="*/ 19830 h 19884"/>
                <a:gd name="connsiteX3" fmla="*/ 58981 w 195114"/>
                <a:gd name="connsiteY3" fmla="*/ 307 h 19884"/>
                <a:gd name="connsiteX4" fmla="*/ 78479 w 195114"/>
                <a:gd name="connsiteY4" fmla="*/ 307 h 19884"/>
                <a:gd name="connsiteX5" fmla="*/ 98000 w 195114"/>
                <a:gd name="connsiteY5" fmla="*/ 307 h 19884"/>
                <a:gd name="connsiteX6" fmla="*/ 117497 w 195114"/>
                <a:gd name="connsiteY6" fmla="*/ 307 h 19884"/>
                <a:gd name="connsiteX7" fmla="*/ 137018 w 195114"/>
                <a:gd name="connsiteY7" fmla="*/ 307 h 19884"/>
                <a:gd name="connsiteX8" fmla="*/ 156516 w 195114"/>
                <a:gd name="connsiteY8" fmla="*/ 307 h 19884"/>
                <a:gd name="connsiteX9" fmla="*/ 176036 w 195114"/>
                <a:gd name="connsiteY9" fmla="*/ 19830 h 19884"/>
                <a:gd name="connsiteX10" fmla="*/ 182816 w 195114"/>
                <a:gd name="connsiteY10" fmla="*/ 20191 h 19884"/>
                <a:gd name="connsiteX11" fmla="*/ 195556 w 195114"/>
                <a:gd name="connsiteY11" fmla="*/ 19830 h 1988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195114" h="19884">
                  <a:moveTo>
                    <a:pt x="442" y="307"/>
                  </a:moveTo>
                  <a:lnTo>
                    <a:pt x="19940" y="19830"/>
                  </a:lnTo>
                  <a:lnTo>
                    <a:pt x="39460" y="19830"/>
                  </a:lnTo>
                  <a:lnTo>
                    <a:pt x="58981" y="307"/>
                  </a:lnTo>
                  <a:lnTo>
                    <a:pt x="78479" y="307"/>
                  </a:lnTo>
                  <a:lnTo>
                    <a:pt x="98000" y="307"/>
                  </a:lnTo>
                  <a:lnTo>
                    <a:pt x="117497" y="307"/>
                  </a:lnTo>
                  <a:lnTo>
                    <a:pt x="137018" y="307"/>
                  </a:lnTo>
                  <a:lnTo>
                    <a:pt x="156516" y="307"/>
                  </a:lnTo>
                  <a:lnTo>
                    <a:pt x="176036" y="19830"/>
                  </a:lnTo>
                  <a:lnTo>
                    <a:pt x="182816" y="20191"/>
                  </a:lnTo>
                  <a:lnTo>
                    <a:pt x="195556" y="19830"/>
                  </a:lnTo>
                </a:path>
              </a:pathLst>
            </a:custGeom>
            <a:noFill/>
            <a:ln w="36917" cap="sq">
              <a:solidFill>
                <a:schemeClr val="accent6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2" name="Forma libre: forma 171">
              <a:extLst>
                <a:ext uri="{FF2B5EF4-FFF2-40B4-BE49-F238E27FC236}">
                  <a16:creationId xmlns:a16="http://schemas.microsoft.com/office/drawing/2014/main" id="{00000000-0008-0000-0400-0000AC000000}"/>
                </a:ext>
              </a:extLst>
            </xdr:cNvPr>
            <xdr:cNvSpPr/>
          </xdr:nvSpPr>
          <xdr:spPr>
            <a:xfrm>
              <a:off x="10034691" y="1768820"/>
              <a:ext cx="19549" cy="18686"/>
            </a:xfrm>
            <a:custGeom>
              <a:avLst/>
              <a:gdLst>
                <a:gd name="connsiteX0" fmla="*/ 442 w 78036"/>
                <a:gd name="connsiteY0" fmla="*/ 78404 h 78097"/>
                <a:gd name="connsiteX1" fmla="*/ 19940 w 78036"/>
                <a:gd name="connsiteY1" fmla="*/ 78404 h 78097"/>
                <a:gd name="connsiteX2" fmla="*/ 39460 w 78036"/>
                <a:gd name="connsiteY2" fmla="*/ 78404 h 78097"/>
                <a:gd name="connsiteX3" fmla="*/ 58959 w 78036"/>
                <a:gd name="connsiteY3" fmla="*/ 58881 h 78097"/>
                <a:gd name="connsiteX4" fmla="*/ 58959 w 78036"/>
                <a:gd name="connsiteY4" fmla="*/ 39355 h 78097"/>
                <a:gd name="connsiteX5" fmla="*/ 58959 w 78036"/>
                <a:gd name="connsiteY5" fmla="*/ 19830 h 78097"/>
                <a:gd name="connsiteX6" fmla="*/ 78479 w 78036"/>
                <a:gd name="connsiteY6" fmla="*/ 307 h 780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78036" h="78097">
                  <a:moveTo>
                    <a:pt x="442" y="78404"/>
                  </a:moveTo>
                  <a:lnTo>
                    <a:pt x="19940" y="78404"/>
                  </a:lnTo>
                  <a:lnTo>
                    <a:pt x="39460" y="78404"/>
                  </a:lnTo>
                  <a:lnTo>
                    <a:pt x="58959" y="58881"/>
                  </a:lnTo>
                  <a:lnTo>
                    <a:pt x="58959" y="39355"/>
                  </a:lnTo>
                  <a:lnTo>
                    <a:pt x="58959" y="19830"/>
                  </a:lnTo>
                  <a:lnTo>
                    <a:pt x="78479" y="307"/>
                  </a:lnTo>
                </a:path>
              </a:pathLst>
            </a:custGeom>
            <a:noFill/>
            <a:ln w="36638" cap="sq">
              <a:solidFill>
                <a:schemeClr val="accent6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3" name="Forma libre: forma 172">
              <a:extLst>
                <a:ext uri="{FF2B5EF4-FFF2-40B4-BE49-F238E27FC236}">
                  <a16:creationId xmlns:a16="http://schemas.microsoft.com/office/drawing/2014/main" id="{00000000-0008-0000-0400-0000AD000000}"/>
                </a:ext>
              </a:extLst>
            </xdr:cNvPr>
            <xdr:cNvSpPr/>
          </xdr:nvSpPr>
          <xdr:spPr>
            <a:xfrm>
              <a:off x="9999303" y="1778163"/>
              <a:ext cx="35388" cy="9343"/>
            </a:xfrm>
            <a:custGeom>
              <a:avLst/>
              <a:gdLst>
                <a:gd name="connsiteX0" fmla="*/ 442 w 136575"/>
                <a:gd name="connsiteY0" fmla="*/ 307 h 39048"/>
                <a:gd name="connsiteX1" fmla="*/ 19940 w 136575"/>
                <a:gd name="connsiteY1" fmla="*/ 307 h 39048"/>
                <a:gd name="connsiteX2" fmla="*/ 39460 w 136575"/>
                <a:gd name="connsiteY2" fmla="*/ 307 h 39048"/>
                <a:gd name="connsiteX3" fmla="*/ 58959 w 136575"/>
                <a:gd name="connsiteY3" fmla="*/ 19832 h 39048"/>
                <a:gd name="connsiteX4" fmla="*/ 78479 w 136575"/>
                <a:gd name="connsiteY4" fmla="*/ 39355 h 39048"/>
                <a:gd name="connsiteX5" fmla="*/ 97999 w 136575"/>
                <a:gd name="connsiteY5" fmla="*/ 39355 h 39048"/>
                <a:gd name="connsiteX6" fmla="*/ 117498 w 136575"/>
                <a:gd name="connsiteY6" fmla="*/ 39355 h 39048"/>
                <a:gd name="connsiteX7" fmla="*/ 137018 w 136575"/>
                <a:gd name="connsiteY7" fmla="*/ 39355 h 390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36575" h="39048">
                  <a:moveTo>
                    <a:pt x="442" y="307"/>
                  </a:moveTo>
                  <a:lnTo>
                    <a:pt x="19940" y="307"/>
                  </a:lnTo>
                  <a:lnTo>
                    <a:pt x="39460" y="307"/>
                  </a:lnTo>
                  <a:lnTo>
                    <a:pt x="58959" y="19832"/>
                  </a:lnTo>
                  <a:lnTo>
                    <a:pt x="78479" y="39355"/>
                  </a:lnTo>
                  <a:lnTo>
                    <a:pt x="97999" y="39355"/>
                  </a:lnTo>
                  <a:lnTo>
                    <a:pt x="117498" y="39355"/>
                  </a:lnTo>
                  <a:lnTo>
                    <a:pt x="137018" y="39355"/>
                  </a:lnTo>
                </a:path>
              </a:pathLst>
            </a:custGeom>
            <a:noFill/>
            <a:ln w="3654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4" name="Forma libre: forma 173">
              <a:extLst>
                <a:ext uri="{FF2B5EF4-FFF2-40B4-BE49-F238E27FC236}">
                  <a16:creationId xmlns:a16="http://schemas.microsoft.com/office/drawing/2014/main" id="{00000000-0008-0000-0400-0000AE000000}"/>
                </a:ext>
              </a:extLst>
            </xdr:cNvPr>
            <xdr:cNvSpPr/>
          </xdr:nvSpPr>
          <xdr:spPr>
            <a:xfrm>
              <a:off x="9994413" y="1778163"/>
              <a:ext cx="4890" cy="530"/>
            </a:xfrm>
            <a:custGeom>
              <a:avLst/>
              <a:gdLst>
                <a:gd name="connsiteX0" fmla="*/ 442 w 19520"/>
                <a:gd name="connsiteY0" fmla="*/ 307 h 2217"/>
                <a:gd name="connsiteX1" fmla="*/ 19962 w 19520"/>
                <a:gd name="connsiteY1" fmla="*/ 307 h 221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20" h="2217">
                  <a:moveTo>
                    <a:pt x="442" y="307"/>
                  </a:moveTo>
                  <a:lnTo>
                    <a:pt x="19962" y="307"/>
                  </a:lnTo>
                </a:path>
              </a:pathLst>
            </a:custGeom>
            <a:noFill/>
            <a:ln w="3645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5" name="Forma libre: forma 174">
              <a:extLst>
                <a:ext uri="{FF2B5EF4-FFF2-40B4-BE49-F238E27FC236}">
                  <a16:creationId xmlns:a16="http://schemas.microsoft.com/office/drawing/2014/main" id="{00000000-0008-0000-0400-0000AF000000}"/>
                </a:ext>
              </a:extLst>
            </xdr:cNvPr>
            <xdr:cNvSpPr/>
          </xdr:nvSpPr>
          <xdr:spPr>
            <a:xfrm>
              <a:off x="9969974" y="1744622"/>
              <a:ext cx="24439" cy="33541"/>
            </a:xfrm>
            <a:custGeom>
              <a:avLst/>
              <a:gdLst>
                <a:gd name="connsiteX0" fmla="*/ 442 w 97557"/>
                <a:gd name="connsiteY0" fmla="*/ 307 h 136671"/>
                <a:gd name="connsiteX1" fmla="*/ 442 w 97557"/>
                <a:gd name="connsiteY1" fmla="*/ 19830 h 136671"/>
                <a:gd name="connsiteX2" fmla="*/ 442 w 97557"/>
                <a:gd name="connsiteY2" fmla="*/ 39355 h 136671"/>
                <a:gd name="connsiteX3" fmla="*/ 442 w 97557"/>
                <a:gd name="connsiteY3" fmla="*/ 58879 h 136671"/>
                <a:gd name="connsiteX4" fmla="*/ 442 w 97557"/>
                <a:gd name="connsiteY4" fmla="*/ 78404 h 136671"/>
                <a:gd name="connsiteX5" fmla="*/ 442 w 97557"/>
                <a:gd name="connsiteY5" fmla="*/ 97930 h 136671"/>
                <a:gd name="connsiteX6" fmla="*/ 19962 w 97557"/>
                <a:gd name="connsiteY6" fmla="*/ 117453 h 136671"/>
                <a:gd name="connsiteX7" fmla="*/ 39460 w 97557"/>
                <a:gd name="connsiteY7" fmla="*/ 117453 h 136671"/>
                <a:gd name="connsiteX8" fmla="*/ 58981 w 97557"/>
                <a:gd name="connsiteY8" fmla="*/ 136978 h 136671"/>
                <a:gd name="connsiteX9" fmla="*/ 78501 w 97557"/>
                <a:gd name="connsiteY9" fmla="*/ 136978 h 136671"/>
                <a:gd name="connsiteX10" fmla="*/ 87164 w 97557"/>
                <a:gd name="connsiteY10" fmla="*/ 136599 h 136671"/>
                <a:gd name="connsiteX11" fmla="*/ 97999 w 97557"/>
                <a:gd name="connsiteY11" fmla="*/ 136978 h 1366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97557" h="136671">
                  <a:moveTo>
                    <a:pt x="442" y="307"/>
                  </a:moveTo>
                  <a:lnTo>
                    <a:pt x="442" y="19830"/>
                  </a:lnTo>
                  <a:lnTo>
                    <a:pt x="442" y="39355"/>
                  </a:lnTo>
                  <a:lnTo>
                    <a:pt x="442" y="58879"/>
                  </a:lnTo>
                  <a:lnTo>
                    <a:pt x="442" y="78404"/>
                  </a:lnTo>
                  <a:lnTo>
                    <a:pt x="442" y="97930"/>
                  </a:lnTo>
                  <a:lnTo>
                    <a:pt x="19962" y="117453"/>
                  </a:lnTo>
                  <a:lnTo>
                    <a:pt x="39460" y="117453"/>
                  </a:lnTo>
                  <a:lnTo>
                    <a:pt x="58981" y="136978"/>
                  </a:lnTo>
                  <a:lnTo>
                    <a:pt x="78501" y="136978"/>
                  </a:lnTo>
                  <a:lnTo>
                    <a:pt x="87164" y="136599"/>
                  </a:lnTo>
                  <a:lnTo>
                    <a:pt x="97999" y="136978"/>
                  </a:lnTo>
                </a:path>
              </a:pathLst>
            </a:custGeom>
            <a:noFill/>
            <a:ln w="35786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6" name="Forma libre: forma 175">
              <a:extLst>
                <a:ext uri="{FF2B5EF4-FFF2-40B4-BE49-F238E27FC236}">
                  <a16:creationId xmlns:a16="http://schemas.microsoft.com/office/drawing/2014/main" id="{00000000-0008-0000-0400-0000B0000000}"/>
                </a:ext>
              </a:extLst>
            </xdr:cNvPr>
            <xdr:cNvSpPr/>
          </xdr:nvSpPr>
          <xdr:spPr>
            <a:xfrm>
              <a:off x="9960199" y="1739950"/>
              <a:ext cx="9775" cy="4672"/>
            </a:xfrm>
            <a:custGeom>
              <a:avLst/>
              <a:gdLst>
                <a:gd name="connsiteX0" fmla="*/ 442 w 39018"/>
                <a:gd name="connsiteY0" fmla="*/ 307 h 19525"/>
                <a:gd name="connsiteX1" fmla="*/ 19962 w 39018"/>
                <a:gd name="connsiteY1" fmla="*/ 307 h 19525"/>
                <a:gd name="connsiteX2" fmla="*/ 39460 w 39018"/>
                <a:gd name="connsiteY2" fmla="*/ 19832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39018" h="19525">
                  <a:moveTo>
                    <a:pt x="442" y="307"/>
                  </a:moveTo>
                  <a:lnTo>
                    <a:pt x="19962" y="307"/>
                  </a:lnTo>
                  <a:lnTo>
                    <a:pt x="39460" y="19832"/>
                  </a:lnTo>
                </a:path>
              </a:pathLst>
            </a:custGeom>
            <a:noFill/>
            <a:ln w="35691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7" name="Forma libre: forma 176">
              <a:extLst>
                <a:ext uri="{FF2B5EF4-FFF2-40B4-BE49-F238E27FC236}">
                  <a16:creationId xmlns:a16="http://schemas.microsoft.com/office/drawing/2014/main" id="{00000000-0008-0000-0400-0000B1000000}"/>
                </a:ext>
              </a:extLst>
            </xdr:cNvPr>
            <xdr:cNvSpPr/>
          </xdr:nvSpPr>
          <xdr:spPr>
            <a:xfrm>
              <a:off x="9955314" y="1735279"/>
              <a:ext cx="4885" cy="4672"/>
            </a:xfrm>
            <a:custGeom>
              <a:avLst/>
              <a:gdLst>
                <a:gd name="connsiteX0" fmla="*/ 442 w 19498"/>
                <a:gd name="connsiteY0" fmla="*/ 307 h 19525"/>
                <a:gd name="connsiteX1" fmla="*/ 19940 w 19498"/>
                <a:gd name="connsiteY1" fmla="*/ 19832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498" h="19525">
                  <a:moveTo>
                    <a:pt x="442" y="307"/>
                  </a:moveTo>
                  <a:lnTo>
                    <a:pt x="19940" y="19832"/>
                  </a:lnTo>
                </a:path>
              </a:pathLst>
            </a:custGeom>
            <a:noFill/>
            <a:ln w="35594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8" name="Forma libre: forma 177">
              <a:extLst>
                <a:ext uri="{FF2B5EF4-FFF2-40B4-BE49-F238E27FC236}">
                  <a16:creationId xmlns:a16="http://schemas.microsoft.com/office/drawing/2014/main" id="{00000000-0008-0000-0400-0000B2000000}"/>
                </a:ext>
              </a:extLst>
            </xdr:cNvPr>
            <xdr:cNvSpPr/>
          </xdr:nvSpPr>
          <xdr:spPr>
            <a:xfrm>
              <a:off x="9901546" y="1715752"/>
              <a:ext cx="53769" cy="19707"/>
            </a:xfrm>
            <a:custGeom>
              <a:avLst/>
              <a:gdLst>
                <a:gd name="connsiteX0" fmla="*/ 442 w 214634"/>
                <a:gd name="connsiteY0" fmla="*/ 19830 h 78853"/>
                <a:gd name="connsiteX1" fmla="*/ 19962 w 214634"/>
                <a:gd name="connsiteY1" fmla="*/ 307 h 78853"/>
                <a:gd name="connsiteX2" fmla="*/ 39483 w 214634"/>
                <a:gd name="connsiteY2" fmla="*/ 19830 h 78853"/>
                <a:gd name="connsiteX3" fmla="*/ 58981 w 214634"/>
                <a:gd name="connsiteY3" fmla="*/ 39355 h 78853"/>
                <a:gd name="connsiteX4" fmla="*/ 78501 w 214634"/>
                <a:gd name="connsiteY4" fmla="*/ 58881 h 78853"/>
                <a:gd name="connsiteX5" fmla="*/ 97999 w 214634"/>
                <a:gd name="connsiteY5" fmla="*/ 39355 h 78853"/>
                <a:gd name="connsiteX6" fmla="*/ 117520 w 214634"/>
                <a:gd name="connsiteY6" fmla="*/ 39355 h 78853"/>
                <a:gd name="connsiteX7" fmla="*/ 137018 w 214634"/>
                <a:gd name="connsiteY7" fmla="*/ 39355 h 78853"/>
                <a:gd name="connsiteX8" fmla="*/ 156538 w 214634"/>
                <a:gd name="connsiteY8" fmla="*/ 58881 h 78853"/>
                <a:gd name="connsiteX9" fmla="*/ 176058 w 214634"/>
                <a:gd name="connsiteY9" fmla="*/ 58881 h 78853"/>
                <a:gd name="connsiteX10" fmla="*/ 195557 w 214634"/>
                <a:gd name="connsiteY10" fmla="*/ 78404 h 78853"/>
                <a:gd name="connsiteX11" fmla="*/ 203954 w 214634"/>
                <a:gd name="connsiteY11" fmla="*/ 79160 h 78853"/>
                <a:gd name="connsiteX12" fmla="*/ 215077 w 214634"/>
                <a:gd name="connsiteY12" fmla="*/ 78404 h 7885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14634" h="78853">
                  <a:moveTo>
                    <a:pt x="442" y="19830"/>
                  </a:moveTo>
                  <a:lnTo>
                    <a:pt x="19962" y="307"/>
                  </a:lnTo>
                  <a:lnTo>
                    <a:pt x="39483" y="19830"/>
                  </a:lnTo>
                  <a:lnTo>
                    <a:pt x="58981" y="39355"/>
                  </a:lnTo>
                  <a:lnTo>
                    <a:pt x="78501" y="58881"/>
                  </a:lnTo>
                  <a:lnTo>
                    <a:pt x="97999" y="39355"/>
                  </a:lnTo>
                  <a:lnTo>
                    <a:pt x="117520" y="39355"/>
                  </a:lnTo>
                  <a:lnTo>
                    <a:pt x="137018" y="39355"/>
                  </a:lnTo>
                  <a:lnTo>
                    <a:pt x="156538" y="58881"/>
                  </a:lnTo>
                  <a:lnTo>
                    <a:pt x="176058" y="58881"/>
                  </a:lnTo>
                  <a:lnTo>
                    <a:pt x="195557" y="78404"/>
                  </a:lnTo>
                  <a:lnTo>
                    <a:pt x="203954" y="79160"/>
                  </a:lnTo>
                  <a:lnTo>
                    <a:pt x="215077" y="78404"/>
                  </a:lnTo>
                </a:path>
              </a:pathLst>
            </a:custGeom>
            <a:noFill/>
            <a:ln w="35305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79" name="Forma libre: forma 178">
              <a:extLst>
                <a:ext uri="{FF2B5EF4-FFF2-40B4-BE49-F238E27FC236}">
                  <a16:creationId xmlns:a16="http://schemas.microsoft.com/office/drawing/2014/main" id="{00000000-0008-0000-0400-0000B3000000}"/>
                </a:ext>
              </a:extLst>
            </xdr:cNvPr>
            <xdr:cNvSpPr/>
          </xdr:nvSpPr>
          <xdr:spPr>
            <a:xfrm>
              <a:off x="9877112" y="1715752"/>
              <a:ext cx="24434" cy="4671"/>
            </a:xfrm>
            <a:custGeom>
              <a:avLst/>
              <a:gdLst>
                <a:gd name="connsiteX0" fmla="*/ 442 w 97535"/>
                <a:gd name="connsiteY0" fmla="*/ 19830 h 19523"/>
                <a:gd name="connsiteX1" fmla="*/ 19940 w 97535"/>
                <a:gd name="connsiteY1" fmla="*/ 19830 h 19523"/>
                <a:gd name="connsiteX2" fmla="*/ 39460 w 97535"/>
                <a:gd name="connsiteY2" fmla="*/ 19830 h 19523"/>
                <a:gd name="connsiteX3" fmla="*/ 58959 w 97535"/>
                <a:gd name="connsiteY3" fmla="*/ 307 h 19523"/>
                <a:gd name="connsiteX4" fmla="*/ 78479 w 97535"/>
                <a:gd name="connsiteY4" fmla="*/ 19830 h 19523"/>
                <a:gd name="connsiteX5" fmla="*/ 97977 w 97535"/>
                <a:gd name="connsiteY5" fmla="*/ 19830 h 195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97535" h="19523">
                  <a:moveTo>
                    <a:pt x="442" y="19830"/>
                  </a:moveTo>
                  <a:lnTo>
                    <a:pt x="19940" y="19830"/>
                  </a:lnTo>
                  <a:lnTo>
                    <a:pt x="39460" y="19830"/>
                  </a:lnTo>
                  <a:lnTo>
                    <a:pt x="58959" y="307"/>
                  </a:lnTo>
                  <a:lnTo>
                    <a:pt x="78479" y="19830"/>
                  </a:lnTo>
                  <a:lnTo>
                    <a:pt x="97977" y="19830"/>
                  </a:lnTo>
                </a:path>
              </a:pathLst>
            </a:custGeom>
            <a:noFill/>
            <a:ln w="3520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0" name="Forma libre: forma 179">
              <a:extLst>
                <a:ext uri="{FF2B5EF4-FFF2-40B4-BE49-F238E27FC236}">
                  <a16:creationId xmlns:a16="http://schemas.microsoft.com/office/drawing/2014/main" id="{00000000-0008-0000-0400-0000B4000000}"/>
                </a:ext>
              </a:extLst>
            </xdr:cNvPr>
            <xdr:cNvSpPr/>
          </xdr:nvSpPr>
          <xdr:spPr>
            <a:xfrm>
              <a:off x="9872222" y="1720423"/>
              <a:ext cx="4890" cy="530"/>
            </a:xfrm>
            <a:custGeom>
              <a:avLst/>
              <a:gdLst>
                <a:gd name="connsiteX0" fmla="*/ 442 w 19520"/>
                <a:gd name="connsiteY0" fmla="*/ 307 h 2217"/>
                <a:gd name="connsiteX1" fmla="*/ 19962 w 19520"/>
                <a:gd name="connsiteY1" fmla="*/ 307 h 221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20" h="2217">
                  <a:moveTo>
                    <a:pt x="442" y="307"/>
                  </a:moveTo>
                  <a:lnTo>
                    <a:pt x="19962" y="307"/>
                  </a:lnTo>
                </a:path>
              </a:pathLst>
            </a:custGeom>
            <a:noFill/>
            <a:ln w="3511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1" name="Forma libre: forma 180">
              <a:extLst>
                <a:ext uri="{FF2B5EF4-FFF2-40B4-BE49-F238E27FC236}">
                  <a16:creationId xmlns:a16="http://schemas.microsoft.com/office/drawing/2014/main" id="{00000000-0008-0000-0400-0000B5000000}"/>
                </a:ext>
              </a:extLst>
            </xdr:cNvPr>
            <xdr:cNvSpPr/>
          </xdr:nvSpPr>
          <xdr:spPr>
            <a:xfrm>
              <a:off x="9852672" y="1720423"/>
              <a:ext cx="19549" cy="14855"/>
            </a:xfrm>
            <a:custGeom>
              <a:avLst/>
              <a:gdLst>
                <a:gd name="connsiteX0" fmla="*/ 442 w 78036"/>
                <a:gd name="connsiteY0" fmla="*/ 58881 h 58574"/>
                <a:gd name="connsiteX1" fmla="*/ 19940 w 78036"/>
                <a:gd name="connsiteY1" fmla="*/ 39358 h 58574"/>
                <a:gd name="connsiteX2" fmla="*/ 39460 w 78036"/>
                <a:gd name="connsiteY2" fmla="*/ 19832 h 58574"/>
                <a:gd name="connsiteX3" fmla="*/ 58981 w 78036"/>
                <a:gd name="connsiteY3" fmla="*/ 19832 h 58574"/>
                <a:gd name="connsiteX4" fmla="*/ 66846 w 78036"/>
                <a:gd name="connsiteY4" fmla="*/ 11730 h 58574"/>
                <a:gd name="connsiteX5" fmla="*/ 78479 w 78036"/>
                <a:gd name="connsiteY5" fmla="*/ 307 h 5857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78036" h="58574">
                  <a:moveTo>
                    <a:pt x="442" y="58881"/>
                  </a:moveTo>
                  <a:lnTo>
                    <a:pt x="19940" y="39358"/>
                  </a:lnTo>
                  <a:lnTo>
                    <a:pt x="39460" y="19832"/>
                  </a:lnTo>
                  <a:lnTo>
                    <a:pt x="58981" y="19832"/>
                  </a:lnTo>
                  <a:lnTo>
                    <a:pt x="66846" y="11730"/>
                  </a:lnTo>
                  <a:lnTo>
                    <a:pt x="78479" y="307"/>
                  </a:lnTo>
                </a:path>
              </a:pathLst>
            </a:custGeom>
            <a:noFill/>
            <a:ln w="34816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2" name="Forma libre: forma 181">
              <a:extLst>
                <a:ext uri="{FF2B5EF4-FFF2-40B4-BE49-F238E27FC236}">
                  <a16:creationId xmlns:a16="http://schemas.microsoft.com/office/drawing/2014/main" id="{00000000-0008-0000-0400-0000B6000000}"/>
                </a:ext>
              </a:extLst>
            </xdr:cNvPr>
            <xdr:cNvSpPr/>
          </xdr:nvSpPr>
          <xdr:spPr>
            <a:xfrm>
              <a:off x="9828233" y="1735279"/>
              <a:ext cx="24439" cy="23357"/>
            </a:xfrm>
            <a:custGeom>
              <a:avLst/>
              <a:gdLst>
                <a:gd name="connsiteX0" fmla="*/ 442 w 97557"/>
                <a:gd name="connsiteY0" fmla="*/ 97930 h 97622"/>
                <a:gd name="connsiteX1" fmla="*/ 19962 w 97557"/>
                <a:gd name="connsiteY1" fmla="*/ 78406 h 97622"/>
                <a:gd name="connsiteX2" fmla="*/ 19962 w 97557"/>
                <a:gd name="connsiteY2" fmla="*/ 58881 h 97622"/>
                <a:gd name="connsiteX3" fmla="*/ 39460 w 97557"/>
                <a:gd name="connsiteY3" fmla="*/ 39358 h 97622"/>
                <a:gd name="connsiteX4" fmla="*/ 58981 w 97557"/>
                <a:gd name="connsiteY4" fmla="*/ 39358 h 97622"/>
                <a:gd name="connsiteX5" fmla="*/ 78479 w 97557"/>
                <a:gd name="connsiteY5" fmla="*/ 19832 h 97622"/>
                <a:gd name="connsiteX6" fmla="*/ 97999 w 97557"/>
                <a:gd name="connsiteY6" fmla="*/ 307 h 976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97557" h="97622">
                  <a:moveTo>
                    <a:pt x="442" y="97930"/>
                  </a:moveTo>
                  <a:lnTo>
                    <a:pt x="19962" y="78406"/>
                  </a:lnTo>
                  <a:lnTo>
                    <a:pt x="19962" y="58881"/>
                  </a:lnTo>
                  <a:lnTo>
                    <a:pt x="39460" y="39358"/>
                  </a:lnTo>
                  <a:lnTo>
                    <a:pt x="58981" y="39358"/>
                  </a:lnTo>
                  <a:lnTo>
                    <a:pt x="78479" y="19832"/>
                  </a:lnTo>
                  <a:lnTo>
                    <a:pt x="97999" y="307"/>
                  </a:lnTo>
                </a:path>
              </a:pathLst>
            </a:custGeom>
            <a:noFill/>
            <a:ln w="34520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7" name="Forma libre: forma 186">
              <a:extLst>
                <a:ext uri="{FF2B5EF4-FFF2-40B4-BE49-F238E27FC236}">
                  <a16:creationId xmlns:a16="http://schemas.microsoft.com/office/drawing/2014/main" id="{00000000-0008-0000-0400-0000BB000000}"/>
                </a:ext>
              </a:extLst>
            </xdr:cNvPr>
            <xdr:cNvSpPr/>
          </xdr:nvSpPr>
          <xdr:spPr>
            <a:xfrm>
              <a:off x="9026754" y="1580270"/>
              <a:ext cx="4887" cy="4672"/>
            </a:xfrm>
            <a:custGeom>
              <a:avLst/>
              <a:gdLst>
                <a:gd name="connsiteX0" fmla="*/ 442 w 19509"/>
                <a:gd name="connsiteY0" fmla="*/ 307 h 19525"/>
                <a:gd name="connsiteX1" fmla="*/ 19952 w 19509"/>
                <a:gd name="connsiteY1" fmla="*/ 19832 h 195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9509" h="19525">
                  <a:moveTo>
                    <a:pt x="442" y="307"/>
                  </a:moveTo>
                  <a:lnTo>
                    <a:pt x="19952" y="19832"/>
                  </a:lnTo>
                </a:path>
              </a:pathLst>
            </a:custGeom>
            <a:noFill/>
            <a:ln w="11407" cap="sq">
              <a:solidFill>
                <a:srgbClr val="1F78B4"/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8" name="Forma libre: forma 187">
              <a:extLst>
                <a:ext uri="{FF2B5EF4-FFF2-40B4-BE49-F238E27FC236}">
                  <a16:creationId xmlns:a16="http://schemas.microsoft.com/office/drawing/2014/main" id="{00000000-0008-0000-0400-0000BC000000}"/>
                </a:ext>
              </a:extLst>
            </xdr:cNvPr>
            <xdr:cNvSpPr/>
          </xdr:nvSpPr>
          <xdr:spPr>
            <a:xfrm>
              <a:off x="9012091" y="1532715"/>
              <a:ext cx="14663" cy="47556"/>
            </a:xfrm>
            <a:custGeom>
              <a:avLst/>
              <a:gdLst>
                <a:gd name="connsiteX0" fmla="*/ 442 w 58532"/>
                <a:gd name="connsiteY0" fmla="*/ 307 h 195245"/>
                <a:gd name="connsiteX1" fmla="*/ 442 w 58532"/>
                <a:gd name="connsiteY1" fmla="*/ 19830 h 195245"/>
                <a:gd name="connsiteX2" fmla="*/ 442 w 58532"/>
                <a:gd name="connsiteY2" fmla="*/ 39355 h 195245"/>
                <a:gd name="connsiteX3" fmla="*/ 19954 w 58532"/>
                <a:gd name="connsiteY3" fmla="*/ 58881 h 195245"/>
                <a:gd name="connsiteX4" fmla="*/ 39463 w 58532"/>
                <a:gd name="connsiteY4" fmla="*/ 78404 h 195245"/>
                <a:gd name="connsiteX5" fmla="*/ 58974 w 58532"/>
                <a:gd name="connsiteY5" fmla="*/ 97930 h 195245"/>
                <a:gd name="connsiteX6" fmla="*/ 58974 w 58532"/>
                <a:gd name="connsiteY6" fmla="*/ 117453 h 195245"/>
                <a:gd name="connsiteX7" fmla="*/ 58974 w 58532"/>
                <a:gd name="connsiteY7" fmla="*/ 136978 h 195245"/>
                <a:gd name="connsiteX8" fmla="*/ 58974 w 58532"/>
                <a:gd name="connsiteY8" fmla="*/ 156504 h 195245"/>
                <a:gd name="connsiteX9" fmla="*/ 58974 w 58532"/>
                <a:gd name="connsiteY9" fmla="*/ 176027 h 195245"/>
                <a:gd name="connsiteX10" fmla="*/ 58970 w 58532"/>
                <a:gd name="connsiteY10" fmla="*/ 179947 h 195245"/>
                <a:gd name="connsiteX11" fmla="*/ 58974 w 58532"/>
                <a:gd name="connsiteY11" fmla="*/ 195553 h 19524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58532" h="195245">
                  <a:moveTo>
                    <a:pt x="442" y="307"/>
                  </a:moveTo>
                  <a:lnTo>
                    <a:pt x="442" y="19830"/>
                  </a:lnTo>
                  <a:lnTo>
                    <a:pt x="442" y="39355"/>
                  </a:lnTo>
                  <a:lnTo>
                    <a:pt x="19954" y="58881"/>
                  </a:lnTo>
                  <a:lnTo>
                    <a:pt x="39463" y="78404"/>
                  </a:lnTo>
                  <a:lnTo>
                    <a:pt x="58974" y="97930"/>
                  </a:lnTo>
                  <a:lnTo>
                    <a:pt x="58974" y="117453"/>
                  </a:lnTo>
                  <a:lnTo>
                    <a:pt x="58974" y="136978"/>
                  </a:lnTo>
                  <a:lnTo>
                    <a:pt x="58974" y="156504"/>
                  </a:lnTo>
                  <a:lnTo>
                    <a:pt x="58974" y="176027"/>
                  </a:lnTo>
                  <a:lnTo>
                    <a:pt x="58970" y="179947"/>
                  </a:lnTo>
                  <a:lnTo>
                    <a:pt x="58974" y="195553"/>
                  </a:lnTo>
                </a:path>
              </a:pathLst>
            </a:custGeom>
            <a:noFill/>
            <a:ln w="8276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89" name="Forma libre: forma 188">
              <a:extLst>
                <a:ext uri="{FF2B5EF4-FFF2-40B4-BE49-F238E27FC236}">
                  <a16:creationId xmlns:a16="http://schemas.microsoft.com/office/drawing/2014/main" id="{00000000-0008-0000-0400-0000BD000000}"/>
                </a:ext>
              </a:extLst>
            </xdr:cNvPr>
            <xdr:cNvSpPr/>
          </xdr:nvSpPr>
          <xdr:spPr>
            <a:xfrm>
              <a:off x="8997428" y="1504685"/>
              <a:ext cx="14663" cy="28029"/>
            </a:xfrm>
            <a:custGeom>
              <a:avLst/>
              <a:gdLst>
                <a:gd name="connsiteX0" fmla="*/ 442 w 58532"/>
                <a:gd name="connsiteY0" fmla="*/ 307 h 117148"/>
                <a:gd name="connsiteX1" fmla="*/ 19954 w 58532"/>
                <a:gd name="connsiteY1" fmla="*/ 19832 h 117148"/>
                <a:gd name="connsiteX2" fmla="*/ 19954 w 58532"/>
                <a:gd name="connsiteY2" fmla="*/ 39356 h 117148"/>
                <a:gd name="connsiteX3" fmla="*/ 39463 w 58532"/>
                <a:gd name="connsiteY3" fmla="*/ 58881 h 117148"/>
                <a:gd name="connsiteX4" fmla="*/ 39463 w 58532"/>
                <a:gd name="connsiteY4" fmla="*/ 78404 h 117148"/>
                <a:gd name="connsiteX5" fmla="*/ 39463 w 58532"/>
                <a:gd name="connsiteY5" fmla="*/ 97930 h 117148"/>
                <a:gd name="connsiteX6" fmla="*/ 58975 w 58532"/>
                <a:gd name="connsiteY6" fmla="*/ 117455 h 1171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58532" h="117148">
                  <a:moveTo>
                    <a:pt x="442" y="307"/>
                  </a:moveTo>
                  <a:lnTo>
                    <a:pt x="19954" y="19832"/>
                  </a:lnTo>
                  <a:lnTo>
                    <a:pt x="19954" y="39356"/>
                  </a:lnTo>
                  <a:lnTo>
                    <a:pt x="39463" y="58881"/>
                  </a:lnTo>
                  <a:lnTo>
                    <a:pt x="39463" y="78404"/>
                  </a:lnTo>
                  <a:lnTo>
                    <a:pt x="39463" y="97930"/>
                  </a:lnTo>
                  <a:lnTo>
                    <a:pt x="58975" y="117455"/>
                  </a:lnTo>
                </a:path>
              </a:pathLst>
            </a:custGeom>
            <a:noFill/>
            <a:ln w="7851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  <xdr:sp macro="" textlink="">
          <xdr:nvSpPr>
            <xdr:cNvPr id="190" name="Forma libre: forma 189">
              <a:extLst>
                <a:ext uri="{FF2B5EF4-FFF2-40B4-BE49-F238E27FC236}">
                  <a16:creationId xmlns:a16="http://schemas.microsoft.com/office/drawing/2014/main" id="{00000000-0008-0000-0400-0000BE000000}"/>
                </a:ext>
              </a:extLst>
            </xdr:cNvPr>
            <xdr:cNvSpPr/>
          </xdr:nvSpPr>
          <xdr:spPr>
            <a:xfrm>
              <a:off x="8899674" y="1269645"/>
              <a:ext cx="97763" cy="235040"/>
            </a:xfrm>
            <a:custGeom>
              <a:avLst/>
              <a:gdLst>
                <a:gd name="connsiteX0" fmla="*/ 442 w 390250"/>
                <a:gd name="connsiteY0" fmla="*/ 307 h 961271"/>
                <a:gd name="connsiteX1" fmla="*/ 442 w 390250"/>
                <a:gd name="connsiteY1" fmla="*/ 4870 h 961271"/>
                <a:gd name="connsiteX2" fmla="*/ 19953 w 390250"/>
                <a:gd name="connsiteY2" fmla="*/ 24393 h 961271"/>
                <a:gd name="connsiteX3" fmla="*/ 39464 w 390250"/>
                <a:gd name="connsiteY3" fmla="*/ 43919 h 961271"/>
                <a:gd name="connsiteX4" fmla="*/ 58974 w 390250"/>
                <a:gd name="connsiteY4" fmla="*/ 63444 h 961271"/>
                <a:gd name="connsiteX5" fmla="*/ 78485 w 390250"/>
                <a:gd name="connsiteY5" fmla="*/ 82968 h 961271"/>
                <a:gd name="connsiteX6" fmla="*/ 97996 w 390250"/>
                <a:gd name="connsiteY6" fmla="*/ 102493 h 961271"/>
                <a:gd name="connsiteX7" fmla="*/ 97996 w 390250"/>
                <a:gd name="connsiteY7" fmla="*/ 122018 h 961271"/>
                <a:gd name="connsiteX8" fmla="*/ 97996 w 390250"/>
                <a:gd name="connsiteY8" fmla="*/ 141542 h 961271"/>
                <a:gd name="connsiteX9" fmla="*/ 117506 w 390250"/>
                <a:gd name="connsiteY9" fmla="*/ 161067 h 961271"/>
                <a:gd name="connsiteX10" fmla="*/ 117506 w 390250"/>
                <a:gd name="connsiteY10" fmla="*/ 180592 h 961271"/>
                <a:gd name="connsiteX11" fmla="*/ 137017 w 390250"/>
                <a:gd name="connsiteY11" fmla="*/ 200116 h 961271"/>
                <a:gd name="connsiteX12" fmla="*/ 137017 w 390250"/>
                <a:gd name="connsiteY12" fmla="*/ 219641 h 961271"/>
                <a:gd name="connsiteX13" fmla="*/ 137017 w 390250"/>
                <a:gd name="connsiteY13" fmla="*/ 239166 h 961271"/>
                <a:gd name="connsiteX14" fmla="*/ 137017 w 390250"/>
                <a:gd name="connsiteY14" fmla="*/ 258690 h 961271"/>
                <a:gd name="connsiteX15" fmla="*/ 137017 w 390250"/>
                <a:gd name="connsiteY15" fmla="*/ 278215 h 961271"/>
                <a:gd name="connsiteX16" fmla="*/ 156528 w 390250"/>
                <a:gd name="connsiteY16" fmla="*/ 297740 h 961271"/>
                <a:gd name="connsiteX17" fmla="*/ 156528 w 390250"/>
                <a:gd name="connsiteY17" fmla="*/ 317264 h 961271"/>
                <a:gd name="connsiteX18" fmla="*/ 176038 w 390250"/>
                <a:gd name="connsiteY18" fmla="*/ 336789 h 961271"/>
                <a:gd name="connsiteX19" fmla="*/ 176038 w 390250"/>
                <a:gd name="connsiteY19" fmla="*/ 356314 h 961271"/>
                <a:gd name="connsiteX20" fmla="*/ 176038 w 390250"/>
                <a:gd name="connsiteY20" fmla="*/ 375838 h 961271"/>
                <a:gd name="connsiteX21" fmla="*/ 176038 w 390250"/>
                <a:gd name="connsiteY21" fmla="*/ 395363 h 961271"/>
                <a:gd name="connsiteX22" fmla="*/ 176038 w 390250"/>
                <a:gd name="connsiteY22" fmla="*/ 414888 h 961271"/>
                <a:gd name="connsiteX23" fmla="*/ 176038 w 390250"/>
                <a:gd name="connsiteY23" fmla="*/ 434412 h 961271"/>
                <a:gd name="connsiteX24" fmla="*/ 176038 w 390250"/>
                <a:gd name="connsiteY24" fmla="*/ 453937 h 961271"/>
                <a:gd name="connsiteX25" fmla="*/ 195549 w 390250"/>
                <a:gd name="connsiteY25" fmla="*/ 473461 h 961271"/>
                <a:gd name="connsiteX26" fmla="*/ 215060 w 390250"/>
                <a:gd name="connsiteY26" fmla="*/ 492986 h 961271"/>
                <a:gd name="connsiteX27" fmla="*/ 215060 w 390250"/>
                <a:gd name="connsiteY27" fmla="*/ 512511 h 961271"/>
                <a:gd name="connsiteX28" fmla="*/ 215060 w 390250"/>
                <a:gd name="connsiteY28" fmla="*/ 532035 h 961271"/>
                <a:gd name="connsiteX29" fmla="*/ 234570 w 390250"/>
                <a:gd name="connsiteY29" fmla="*/ 551560 h 961271"/>
                <a:gd name="connsiteX30" fmla="*/ 234570 w 390250"/>
                <a:gd name="connsiteY30" fmla="*/ 571085 h 961271"/>
                <a:gd name="connsiteX31" fmla="*/ 254081 w 390250"/>
                <a:gd name="connsiteY31" fmla="*/ 590609 h 961271"/>
                <a:gd name="connsiteX32" fmla="*/ 254081 w 390250"/>
                <a:gd name="connsiteY32" fmla="*/ 610133 h 961271"/>
                <a:gd name="connsiteX33" fmla="*/ 273592 w 390250"/>
                <a:gd name="connsiteY33" fmla="*/ 629659 h 961271"/>
                <a:gd name="connsiteX34" fmla="*/ 273592 w 390250"/>
                <a:gd name="connsiteY34" fmla="*/ 649184 h 961271"/>
                <a:gd name="connsiteX35" fmla="*/ 273592 w 390250"/>
                <a:gd name="connsiteY35" fmla="*/ 668707 h 961271"/>
                <a:gd name="connsiteX36" fmla="*/ 293102 w 390250"/>
                <a:gd name="connsiteY36" fmla="*/ 688233 h 961271"/>
                <a:gd name="connsiteX37" fmla="*/ 293102 w 390250"/>
                <a:gd name="connsiteY37" fmla="*/ 707758 h 961271"/>
                <a:gd name="connsiteX38" fmla="*/ 293102 w 390250"/>
                <a:gd name="connsiteY38" fmla="*/ 727282 h 961271"/>
                <a:gd name="connsiteX39" fmla="*/ 293102 w 390250"/>
                <a:gd name="connsiteY39" fmla="*/ 746807 h 961271"/>
                <a:gd name="connsiteX40" fmla="*/ 312613 w 390250"/>
                <a:gd name="connsiteY40" fmla="*/ 766333 h 961271"/>
                <a:gd name="connsiteX41" fmla="*/ 312613 w 390250"/>
                <a:gd name="connsiteY41" fmla="*/ 785856 h 961271"/>
                <a:gd name="connsiteX42" fmla="*/ 332124 w 390250"/>
                <a:gd name="connsiteY42" fmla="*/ 805381 h 961271"/>
                <a:gd name="connsiteX43" fmla="*/ 351635 w 390250"/>
                <a:gd name="connsiteY43" fmla="*/ 824905 h 961271"/>
                <a:gd name="connsiteX44" fmla="*/ 371144 w 390250"/>
                <a:gd name="connsiteY44" fmla="*/ 844430 h 961271"/>
                <a:gd name="connsiteX45" fmla="*/ 390656 w 390250"/>
                <a:gd name="connsiteY45" fmla="*/ 863955 h 961271"/>
                <a:gd name="connsiteX46" fmla="*/ 390656 w 390250"/>
                <a:gd name="connsiteY46" fmla="*/ 883479 h 961271"/>
                <a:gd name="connsiteX47" fmla="*/ 390656 w 390250"/>
                <a:gd name="connsiteY47" fmla="*/ 903004 h 961271"/>
                <a:gd name="connsiteX48" fmla="*/ 390656 w 390250"/>
                <a:gd name="connsiteY48" fmla="*/ 922530 h 961271"/>
                <a:gd name="connsiteX49" fmla="*/ 390656 w 390250"/>
                <a:gd name="connsiteY49" fmla="*/ 942053 h 961271"/>
                <a:gd name="connsiteX50" fmla="*/ 390693 w 390250"/>
                <a:gd name="connsiteY50" fmla="*/ 950878 h 961271"/>
                <a:gd name="connsiteX51" fmla="*/ 390656 w 390250"/>
                <a:gd name="connsiteY51" fmla="*/ 961578 h 96127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</a:cxnLst>
              <a:rect l="l" t="t" r="r" b="b"/>
              <a:pathLst>
                <a:path w="390250" h="961271">
                  <a:moveTo>
                    <a:pt x="442" y="307"/>
                  </a:moveTo>
                  <a:lnTo>
                    <a:pt x="442" y="4870"/>
                  </a:lnTo>
                  <a:lnTo>
                    <a:pt x="19953" y="24393"/>
                  </a:lnTo>
                  <a:lnTo>
                    <a:pt x="39464" y="43919"/>
                  </a:lnTo>
                  <a:lnTo>
                    <a:pt x="58974" y="63444"/>
                  </a:lnTo>
                  <a:lnTo>
                    <a:pt x="78485" y="82968"/>
                  </a:lnTo>
                  <a:lnTo>
                    <a:pt x="97996" y="102493"/>
                  </a:lnTo>
                  <a:lnTo>
                    <a:pt x="97996" y="122018"/>
                  </a:lnTo>
                  <a:lnTo>
                    <a:pt x="97996" y="141542"/>
                  </a:lnTo>
                  <a:lnTo>
                    <a:pt x="117506" y="161067"/>
                  </a:lnTo>
                  <a:lnTo>
                    <a:pt x="117506" y="180592"/>
                  </a:lnTo>
                  <a:lnTo>
                    <a:pt x="137017" y="200116"/>
                  </a:lnTo>
                  <a:lnTo>
                    <a:pt x="137017" y="219641"/>
                  </a:lnTo>
                  <a:lnTo>
                    <a:pt x="137017" y="239166"/>
                  </a:lnTo>
                  <a:lnTo>
                    <a:pt x="137017" y="258690"/>
                  </a:lnTo>
                  <a:lnTo>
                    <a:pt x="137017" y="278215"/>
                  </a:lnTo>
                  <a:lnTo>
                    <a:pt x="156528" y="297740"/>
                  </a:lnTo>
                  <a:lnTo>
                    <a:pt x="156528" y="317264"/>
                  </a:lnTo>
                  <a:lnTo>
                    <a:pt x="176038" y="336789"/>
                  </a:lnTo>
                  <a:lnTo>
                    <a:pt x="176038" y="356314"/>
                  </a:lnTo>
                  <a:lnTo>
                    <a:pt x="176038" y="375838"/>
                  </a:lnTo>
                  <a:lnTo>
                    <a:pt x="176038" y="395363"/>
                  </a:lnTo>
                  <a:lnTo>
                    <a:pt x="176038" y="414888"/>
                  </a:lnTo>
                  <a:lnTo>
                    <a:pt x="176038" y="434412"/>
                  </a:lnTo>
                  <a:lnTo>
                    <a:pt x="176038" y="453937"/>
                  </a:lnTo>
                  <a:lnTo>
                    <a:pt x="195549" y="473461"/>
                  </a:lnTo>
                  <a:lnTo>
                    <a:pt x="215060" y="492986"/>
                  </a:lnTo>
                  <a:lnTo>
                    <a:pt x="215060" y="512511"/>
                  </a:lnTo>
                  <a:lnTo>
                    <a:pt x="215060" y="532035"/>
                  </a:lnTo>
                  <a:lnTo>
                    <a:pt x="234570" y="551560"/>
                  </a:lnTo>
                  <a:lnTo>
                    <a:pt x="234570" y="571085"/>
                  </a:lnTo>
                  <a:lnTo>
                    <a:pt x="254081" y="590609"/>
                  </a:lnTo>
                  <a:lnTo>
                    <a:pt x="254081" y="610133"/>
                  </a:lnTo>
                  <a:lnTo>
                    <a:pt x="273592" y="629659"/>
                  </a:lnTo>
                  <a:lnTo>
                    <a:pt x="273592" y="649184"/>
                  </a:lnTo>
                  <a:lnTo>
                    <a:pt x="273592" y="668707"/>
                  </a:lnTo>
                  <a:lnTo>
                    <a:pt x="293102" y="688233"/>
                  </a:lnTo>
                  <a:lnTo>
                    <a:pt x="293102" y="707758"/>
                  </a:lnTo>
                  <a:lnTo>
                    <a:pt x="293102" y="727282"/>
                  </a:lnTo>
                  <a:lnTo>
                    <a:pt x="293102" y="746807"/>
                  </a:lnTo>
                  <a:lnTo>
                    <a:pt x="312613" y="766333"/>
                  </a:lnTo>
                  <a:lnTo>
                    <a:pt x="312613" y="785856"/>
                  </a:lnTo>
                  <a:lnTo>
                    <a:pt x="332124" y="805381"/>
                  </a:lnTo>
                  <a:lnTo>
                    <a:pt x="351635" y="824905"/>
                  </a:lnTo>
                  <a:lnTo>
                    <a:pt x="371144" y="844430"/>
                  </a:lnTo>
                  <a:lnTo>
                    <a:pt x="390656" y="863955"/>
                  </a:lnTo>
                  <a:lnTo>
                    <a:pt x="390656" y="883479"/>
                  </a:lnTo>
                  <a:lnTo>
                    <a:pt x="390656" y="903004"/>
                  </a:lnTo>
                  <a:lnTo>
                    <a:pt x="390656" y="922530"/>
                  </a:lnTo>
                  <a:lnTo>
                    <a:pt x="390656" y="942053"/>
                  </a:lnTo>
                  <a:lnTo>
                    <a:pt x="390693" y="950878"/>
                  </a:lnTo>
                  <a:lnTo>
                    <a:pt x="390656" y="961578"/>
                  </a:lnTo>
                </a:path>
              </a:pathLst>
            </a:custGeom>
            <a:noFill/>
            <a:ln w="6410" cap="sq">
              <a:solidFill>
                <a:schemeClr val="accent4">
                  <a:lumMod val="60000"/>
                  <a:lumOff val="40000"/>
                </a:schemeClr>
              </a:solidFill>
              <a:prstDash val="solid"/>
              <a:bevel/>
            </a:ln>
          </xdr:spPr>
          <xdr:txBody>
            <a:bodyPr rtlCol="0" anchor="ctr"/>
            <a:lstStyle/>
            <a:p>
              <a:endParaRPr lang="es-CO"/>
            </a:p>
          </xdr:txBody>
        </xdr:sp>
      </xdr:grp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>
            <a:off x="9964326" y="1743989"/>
            <a:ext cx="79363" cy="75913"/>
          </a:xfrm>
          <a:prstGeom prst="ellipse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8" name="Elipse 287">
            <a:extLst>
              <a:ext uri="{FF2B5EF4-FFF2-40B4-BE49-F238E27FC236}">
                <a16:creationId xmlns:a16="http://schemas.microsoft.com/office/drawing/2014/main" id="{00000000-0008-0000-0400-000020010000}"/>
              </a:ext>
            </a:extLst>
          </xdr:cNvPr>
          <xdr:cNvSpPr/>
        </xdr:nvSpPr>
        <xdr:spPr>
          <a:xfrm>
            <a:off x="9585338" y="1879137"/>
            <a:ext cx="79363" cy="75913"/>
          </a:xfrm>
          <a:prstGeom prst="ellipse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89" name="Elipse 288">
            <a:extLst>
              <a:ext uri="{FF2B5EF4-FFF2-40B4-BE49-F238E27FC236}">
                <a16:creationId xmlns:a16="http://schemas.microsoft.com/office/drawing/2014/main" id="{00000000-0008-0000-0400-000021010000}"/>
              </a:ext>
            </a:extLst>
          </xdr:cNvPr>
          <xdr:cNvSpPr/>
        </xdr:nvSpPr>
        <xdr:spPr>
          <a:xfrm>
            <a:off x="9038181" y="1588047"/>
            <a:ext cx="79363" cy="75913"/>
          </a:xfrm>
          <a:prstGeom prst="ellipse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11</xdr:row>
          <xdr:rowOff>182880</xdr:rowOff>
        </xdr:from>
        <xdr:to>
          <xdr:col>15</xdr:col>
          <xdr:colOff>601980</xdr:colOff>
          <xdr:row>14</xdr:row>
          <xdr:rowOff>68580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4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Compilar Topologia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</xdr:row>
          <xdr:rowOff>45720</xdr:rowOff>
        </xdr:from>
        <xdr:to>
          <xdr:col>4</xdr:col>
          <xdr:colOff>1417320</xdr:colOff>
          <xdr:row>1</xdr:row>
          <xdr:rowOff>426720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WaTT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3</xdr:row>
          <xdr:rowOff>45720</xdr:rowOff>
        </xdr:from>
        <xdr:to>
          <xdr:col>4</xdr:col>
          <xdr:colOff>1417320</xdr:colOff>
          <xdr:row>4</xdr:row>
          <xdr:rowOff>259080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754380</xdr:colOff>
          <xdr:row>2</xdr:row>
          <xdr:rowOff>30480</xdr:rowOff>
        </xdr:from>
        <xdr:to>
          <xdr:col>8</xdr:col>
          <xdr:colOff>762000</xdr:colOff>
          <xdr:row>5</xdr:row>
          <xdr:rowOff>7620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1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Accumulation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10</xdr:col>
      <xdr:colOff>347117</xdr:colOff>
      <xdr:row>8</xdr:row>
      <xdr:rowOff>126965</xdr:rowOff>
    </xdr:to>
    <xdr:sp macro="" textlink="">
      <xdr:nvSpPr>
        <xdr:cNvPr id="2" name="EsriDoNotEdit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0" y="0"/>
          <a:ext cx="7967117" cy="16509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NO EDITAR </a:t>
          </a:r>
        </a:p>
        <a:p>
          <a:pPr algn="ctr"/>
          <a:r>
            <a:rPr lang="es-ES" sz="50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Verdana" panose="020B0604030504040204" pitchFamily="34" charset="0"/>
            </a:rPr>
            <a:t> Solo para uso de Esri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amilo González" id="{82084455-FA8B-4476-94B7-5560F5A92B1B}" userId="Camilo González" providerId="None"/>
  <person displayName="Hector Andres Angarita Corredor" id="{0C0BF8E3-C63B-4F9B-BDED-45AB7E15B647}" userId="Hector Andres Angarita Corredor" providerId="None"/>
  <person displayName="Chingaza (Device)" id="{0FF740B6-26E4-41CB-840D-14FF22305DC4}" userId="S::chingaza@sei.org::3d9b55fb-a598-4aed-92dc-59eff0fe8d9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milo Gonzalez" refreshedDate="45461.516149305557" createdVersion="3" refreshedVersion="8" minRefreshableVersion="3" recordCount="57" xr:uid="{C9430864-E8A5-4B73-B3EE-F064D61BDD43}">
  <cacheSource type="worksheet">
    <worksheetSource ref="A1:H58" sheet="WEAP_RAW"/>
  </cacheSource>
  <cacheFields count="8">
    <cacheField name="TypeOf Variable" numFmtId="0">
      <sharedItems/>
    </cacheField>
    <cacheField name="Object" numFmtId="0">
      <sharedItems count="2">
        <s v="Catchment"/>
        <s v="River Reach"/>
      </sharedItems>
    </cacheField>
    <cacheField name="Variable" numFmtId="0">
      <sharedItems count="6">
        <s v="Precipitation"/>
        <s v="Streamflow [CMS]"/>
        <s v="Base flow"/>
        <s v="Surface Runoff"/>
        <s v="Interflow"/>
        <s v="ET Actual"/>
      </sharedItems>
    </cacheField>
    <cacheField name="Tag" numFmtId="0">
      <sharedItems containsNonDate="0" containsString="0" containsBlank="1"/>
    </cacheField>
    <cacheField name="Stat" numFmtId="0">
      <sharedItems/>
    </cacheField>
    <cacheField name="Escenario" numFmtId="0">
      <sharedItems count="1">
        <s v="Reference"/>
      </sharedItems>
    </cacheField>
    <cacheField name="Branch" numFmtId="0">
      <sharedItems count="16">
        <s v="Demand Sites and Catchments\Catchment 1"/>
        <s v="Demand Sites and Catchments\Catchment 2"/>
        <s v="Demand Sites and Catchments\Catchment 3"/>
        <s v="Demand Sites and Catchments\Catchment 4"/>
        <s v="Demand Sites and Catchments\Catchment 5"/>
        <s v="Supply and Resources\River\Blue River\Reaches\Below Blue River Headflow"/>
        <s v="Supply and Resources\River\Blue River\Reaches\Below Blue River Runoff"/>
        <s v="Supply and Resources\River\Blue River\Reaches\Below Catchment 1 Runoff"/>
        <s v="Supply and Resources\River\Blue River\Reaches\Below Catchment 3 Runoff"/>
        <s v="Supply and Resources\River\Green River\Reaches\Below Green River Headflow"/>
        <s v="Supply and Resources\River\Blue River\Reaches\Below Green River Inflow"/>
        <s v="Supply and Resources\River\Green River\Reaches\Below Green River Runoff"/>
        <s v="Supply and Resources\River\Red River\Reaches\Below Red River Headflow"/>
        <s v="Supply and Resources\River\Blue River\Reaches\Below Red River Inflow"/>
        <s v="Supply and Resources\River\Red River\Reaches\Below Red River Runoff"/>
        <s v="Supply and Resources\River\Blue River\Reaches\Below Reservoir 1"/>
      </sharedItems>
    </cacheField>
    <cacheField name="Value" numFmtId="0">
      <sharedItems containsSemiMixedTypes="0" containsString="0" containsNumber="1" minValue="0" maxValue="279649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s v="DirectExport"/>
    <x v="0"/>
    <x v="0"/>
    <m/>
    <s v="Average"/>
    <x v="0"/>
    <x v="0"/>
    <n v="95.3292"/>
  </r>
  <r>
    <s v="DirectExport"/>
    <x v="0"/>
    <x v="0"/>
    <m/>
    <s v="Average"/>
    <x v="0"/>
    <x v="1"/>
    <n v="88.274299999999997"/>
  </r>
  <r>
    <s v="DirectExport"/>
    <x v="0"/>
    <x v="0"/>
    <m/>
    <s v="Average"/>
    <x v="0"/>
    <x v="2"/>
    <n v="88.976100000000002"/>
  </r>
  <r>
    <s v="DirectExport"/>
    <x v="0"/>
    <x v="0"/>
    <m/>
    <s v="Average"/>
    <x v="0"/>
    <x v="3"/>
    <n v="93.067400000000006"/>
  </r>
  <r>
    <s v="DirectExport"/>
    <x v="0"/>
    <x v="0"/>
    <m/>
    <s v="Average"/>
    <x v="0"/>
    <x v="4"/>
    <n v="105.947"/>
  </r>
  <r>
    <s v="DirectExport"/>
    <x v="0"/>
    <x v="0"/>
    <m/>
    <s v="Percentile 10"/>
    <x v="0"/>
    <x v="0"/>
    <n v="22.361999999999998"/>
  </r>
  <r>
    <s v="DirectExport"/>
    <x v="0"/>
    <x v="0"/>
    <m/>
    <s v="Percentile 10"/>
    <x v="0"/>
    <x v="1"/>
    <n v="21.995999999999999"/>
  </r>
  <r>
    <s v="DirectExport"/>
    <x v="0"/>
    <x v="0"/>
    <m/>
    <s v="Percentile 10"/>
    <x v="0"/>
    <x v="2"/>
    <n v="23.596"/>
  </r>
  <r>
    <s v="DirectExport"/>
    <x v="0"/>
    <x v="0"/>
    <m/>
    <s v="Percentile 10"/>
    <x v="0"/>
    <x v="3"/>
    <n v="30.039000000000001"/>
  </r>
  <r>
    <s v="DirectExport"/>
    <x v="0"/>
    <x v="0"/>
    <m/>
    <s v="Percentile 10"/>
    <x v="0"/>
    <x v="4"/>
    <n v="35.558999999999997"/>
  </r>
  <r>
    <s v="DirectExport"/>
    <x v="0"/>
    <x v="0"/>
    <m/>
    <s v="Percentile 90"/>
    <x v="0"/>
    <x v="0"/>
    <n v="161.01"/>
  </r>
  <r>
    <s v="DirectExport"/>
    <x v="0"/>
    <x v="0"/>
    <m/>
    <s v="Percentile 90"/>
    <x v="0"/>
    <x v="1"/>
    <n v="150.4"/>
  </r>
  <r>
    <s v="DirectExport"/>
    <x v="0"/>
    <x v="0"/>
    <m/>
    <s v="Percentile 90"/>
    <x v="0"/>
    <x v="2"/>
    <n v="151.97999999999999"/>
  </r>
  <r>
    <s v="DirectExport"/>
    <x v="0"/>
    <x v="0"/>
    <m/>
    <s v="Percentile 90"/>
    <x v="0"/>
    <x v="3"/>
    <n v="166.14"/>
  </r>
  <r>
    <s v="DirectExport"/>
    <x v="0"/>
    <x v="0"/>
    <m/>
    <s v="Percentile 90"/>
    <x v="0"/>
    <x v="4"/>
    <n v="188.35"/>
  </r>
  <r>
    <s v="DirectExport"/>
    <x v="1"/>
    <x v="1"/>
    <m/>
    <s v="Max"/>
    <x v="0"/>
    <x v="5"/>
    <n v="0"/>
  </r>
  <r>
    <s v="DirectExport"/>
    <x v="1"/>
    <x v="1"/>
    <m/>
    <s v="Max"/>
    <x v="0"/>
    <x v="6"/>
    <n v="29.999600000000001"/>
  </r>
  <r>
    <s v="DirectExport"/>
    <x v="1"/>
    <x v="1"/>
    <m/>
    <s v="Max"/>
    <x v="0"/>
    <x v="7"/>
    <n v="5.3686199999999999"/>
  </r>
  <r>
    <s v="DirectExport"/>
    <x v="1"/>
    <x v="1"/>
    <m/>
    <s v="Max"/>
    <x v="0"/>
    <x v="8"/>
    <n v="11.3711"/>
  </r>
  <r>
    <s v="DirectExport"/>
    <x v="1"/>
    <x v="1"/>
    <m/>
    <s v="Max"/>
    <x v="0"/>
    <x v="9"/>
    <n v="0"/>
  </r>
  <r>
    <s v="DirectExport"/>
    <x v="1"/>
    <x v="1"/>
    <m/>
    <s v="Max"/>
    <x v="0"/>
    <x v="10"/>
    <n v="22.549299999999999"/>
  </r>
  <r>
    <s v="DirectExport"/>
    <x v="1"/>
    <x v="1"/>
    <m/>
    <s v="Max"/>
    <x v="0"/>
    <x v="11"/>
    <n v="11.2547"/>
  </r>
  <r>
    <s v="DirectExport"/>
    <x v="1"/>
    <x v="1"/>
    <m/>
    <s v="Max"/>
    <x v="0"/>
    <x v="12"/>
    <n v="0"/>
  </r>
  <r>
    <s v="DirectExport"/>
    <x v="1"/>
    <x v="1"/>
    <m/>
    <s v="Max"/>
    <x v="0"/>
    <x v="13"/>
    <n v="8.2143999999999995"/>
  </r>
  <r>
    <s v="DirectExport"/>
    <x v="1"/>
    <x v="1"/>
    <m/>
    <s v="Max"/>
    <x v="0"/>
    <x v="14"/>
    <n v="2.84578"/>
  </r>
  <r>
    <s v="DirectExport"/>
    <x v="1"/>
    <x v="1"/>
    <m/>
    <s v="Max"/>
    <x v="0"/>
    <x v="15"/>
    <n v="22.549299999999999"/>
  </r>
  <r>
    <s v="DirectExport"/>
    <x v="1"/>
    <x v="1"/>
    <m/>
    <s v="Min"/>
    <x v="0"/>
    <x v="5"/>
    <n v="0"/>
  </r>
  <r>
    <s v="DirectExport"/>
    <x v="1"/>
    <x v="1"/>
    <m/>
    <s v="Min"/>
    <x v="0"/>
    <x v="6"/>
    <n v="1.6482399999999999"/>
  </r>
  <r>
    <s v="DirectExport"/>
    <x v="1"/>
    <x v="1"/>
    <m/>
    <s v="Min"/>
    <x v="0"/>
    <x v="7"/>
    <n v="0.30755500000000002"/>
  </r>
  <r>
    <s v="DirectExport"/>
    <x v="1"/>
    <x v="1"/>
    <m/>
    <s v="Min"/>
    <x v="0"/>
    <x v="8"/>
    <n v="0.65676999999999996"/>
  </r>
  <r>
    <s v="DirectExport"/>
    <x v="1"/>
    <x v="1"/>
    <m/>
    <s v="Min"/>
    <x v="0"/>
    <x v="9"/>
    <n v="0"/>
  </r>
  <r>
    <s v="DirectExport"/>
    <x v="1"/>
    <x v="1"/>
    <m/>
    <s v="Min"/>
    <x v="0"/>
    <x v="10"/>
    <n v="1.30199"/>
  </r>
  <r>
    <s v="DirectExport"/>
    <x v="1"/>
    <x v="1"/>
    <m/>
    <s v="Min"/>
    <x v="0"/>
    <x v="11"/>
    <n v="0.62904700000000002"/>
  </r>
  <r>
    <s v="DirectExport"/>
    <x v="1"/>
    <x v="1"/>
    <m/>
    <s v="Min"/>
    <x v="0"/>
    <x v="12"/>
    <n v="0"/>
  </r>
  <r>
    <s v="DirectExport"/>
    <x v="1"/>
    <x v="1"/>
    <m/>
    <s v="Min"/>
    <x v="0"/>
    <x v="13"/>
    <n v="0.472167"/>
  </r>
  <r>
    <s v="DirectExport"/>
    <x v="1"/>
    <x v="1"/>
    <m/>
    <s v="Min"/>
    <x v="0"/>
    <x v="14"/>
    <n v="0.16461200000000001"/>
  </r>
  <r>
    <s v="DirectExport"/>
    <x v="1"/>
    <x v="1"/>
    <m/>
    <s v="Min"/>
    <x v="0"/>
    <x v="15"/>
    <n v="1.30199"/>
  </r>
  <r>
    <s v="ACCUMULATION"/>
    <x v="0"/>
    <x v="2"/>
    <m/>
    <s v="Average"/>
    <x v="0"/>
    <x v="0"/>
    <n v="606774"/>
  </r>
  <r>
    <s v="ACCUMULATION"/>
    <x v="0"/>
    <x v="2"/>
    <m/>
    <s v="Average"/>
    <x v="0"/>
    <x v="1"/>
    <n v="330777"/>
  </r>
  <r>
    <s v="ACCUMULATION"/>
    <x v="0"/>
    <x v="2"/>
    <m/>
    <s v="Average"/>
    <x v="0"/>
    <x v="2"/>
    <n v="362652"/>
  </r>
  <r>
    <s v="ACCUMULATION"/>
    <x v="0"/>
    <x v="2"/>
    <m/>
    <s v="Average"/>
    <x v="0"/>
    <x v="3"/>
    <n v="1214750"/>
  </r>
  <r>
    <s v="ACCUMULATION"/>
    <x v="0"/>
    <x v="2"/>
    <m/>
    <s v="Average"/>
    <x v="0"/>
    <x v="4"/>
    <n v="659876"/>
  </r>
  <r>
    <s v="ACCUMULATION"/>
    <x v="0"/>
    <x v="3"/>
    <m/>
    <s v="Average"/>
    <x v="0"/>
    <x v="0"/>
    <n v="3974328"/>
  </r>
  <r>
    <s v="ACCUMULATION"/>
    <x v="0"/>
    <x v="3"/>
    <m/>
    <s v="Average"/>
    <x v="0"/>
    <x v="1"/>
    <n v="1977428"/>
  </r>
  <r>
    <s v="ACCUMULATION"/>
    <x v="0"/>
    <x v="3"/>
    <m/>
    <s v="Average"/>
    <x v="0"/>
    <x v="2"/>
    <n v="2188632"/>
  </r>
  <r>
    <s v="ACCUMULATION"/>
    <x v="0"/>
    <x v="3"/>
    <m/>
    <s v="Average"/>
    <x v="0"/>
    <x v="3"/>
    <n v="7771805"/>
  </r>
  <r>
    <s v="ACCUMULATION"/>
    <x v="0"/>
    <x v="3"/>
    <m/>
    <s v="Average"/>
    <x v="0"/>
    <x v="4"/>
    <n v="4813750"/>
  </r>
  <r>
    <s v="ACCUMULATION"/>
    <x v="0"/>
    <x v="4"/>
    <m/>
    <s v="Average"/>
    <x v="0"/>
    <x v="0"/>
    <n v="118504"/>
  </r>
  <r>
    <s v="ACCUMULATION"/>
    <x v="0"/>
    <x v="4"/>
    <m/>
    <s v="Average"/>
    <x v="0"/>
    <x v="1"/>
    <n v="63972.3"/>
  </r>
  <r>
    <s v="ACCUMULATION"/>
    <x v="0"/>
    <x v="4"/>
    <m/>
    <s v="Average"/>
    <x v="0"/>
    <x v="2"/>
    <n v="70382.100000000006"/>
  </r>
  <r>
    <s v="ACCUMULATION"/>
    <x v="0"/>
    <x v="4"/>
    <m/>
    <s v="Average"/>
    <x v="0"/>
    <x v="3"/>
    <n v="239120"/>
  </r>
  <r>
    <s v="ACCUMULATION"/>
    <x v="0"/>
    <x v="4"/>
    <m/>
    <s v="Average"/>
    <x v="0"/>
    <x v="4"/>
    <n v="130100"/>
  </r>
  <r>
    <s v="ACCUMULATION"/>
    <x v="0"/>
    <x v="5"/>
    <m/>
    <s v="Average"/>
    <x v="0"/>
    <x v="0"/>
    <n v="14044712"/>
  </r>
  <r>
    <s v="ACCUMULATION"/>
    <x v="0"/>
    <x v="5"/>
    <m/>
    <s v="Average"/>
    <x v="0"/>
    <x v="1"/>
    <n v="8125036"/>
  </r>
  <r>
    <s v="ACCUMULATION"/>
    <x v="0"/>
    <x v="5"/>
    <m/>
    <s v="Average"/>
    <x v="0"/>
    <x v="2"/>
    <n v="8803160"/>
  </r>
  <r>
    <s v="ACCUMULATION"/>
    <x v="0"/>
    <x v="5"/>
    <m/>
    <s v="Average"/>
    <x v="0"/>
    <x v="3"/>
    <n v="27964958"/>
  </r>
  <r>
    <s v="ACCUMULATION"/>
    <x v="0"/>
    <x v="5"/>
    <m/>
    <s v="Average"/>
    <x v="0"/>
    <x v="4"/>
    <n v="141211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5697A0-1538-4E59-AA30-9407E9125663}" name="TablaDiná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A3:N22" firstHeaderRow="1" firstDataRow="3" firstDataCol="1" rowPageCount="1" colPageCount="1"/>
  <pivotFields count="8">
    <pivotField showAll="0"/>
    <pivotField axis="axisPage" showAll="0">
      <items count="3">
        <item x="0"/>
        <item x="1"/>
        <item t="default"/>
      </items>
    </pivotField>
    <pivotField axis="axisCol" showAll="0">
      <items count="7">
        <item x="2"/>
        <item x="3"/>
        <item x="4"/>
        <item x="0"/>
        <item x="5"/>
        <item x="1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axis="axisRow"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</pivotFields>
  <rowFields count="1">
    <field x="6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2"/>
    <field x="5"/>
  </colFields>
  <colItems count="13">
    <i>
      <x/>
      <x/>
    </i>
    <i t="default">
      <x/>
    </i>
    <i>
      <x v="1"/>
      <x/>
    </i>
    <i t="default">
      <x v="1"/>
    </i>
    <i>
      <x v="2"/>
      <x/>
    </i>
    <i t="default">
      <x v="2"/>
    </i>
    <i>
      <x v="3"/>
      <x/>
    </i>
    <i t="default">
      <x v="3"/>
    </i>
    <i>
      <x v="4"/>
      <x/>
    </i>
    <i t="default">
      <x v="4"/>
    </i>
    <i>
      <x v="5"/>
      <x/>
    </i>
    <i t="default">
      <x v="5"/>
    </i>
    <i t="grand">
      <x/>
    </i>
  </colItems>
  <pageFields count="1">
    <pageField fld="1" hier="-1"/>
  </pageFields>
  <dataFields count="1">
    <dataField name="Suma de Valu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6" dT="2021-10-13T14:57:06.60" personId="{82084455-FA8B-4476-94B7-5560F5A92B1B}" id="{7696D0C7-F131-462F-BE43-CF3C5F317099}">
    <text>"1" If you want to read WEAP Data for all periods
"0" If you want to select Start and End years</text>
  </threadedComment>
  <threadedComment ref="H19" dT="2021-05-21T13:14:01.91" personId="{0C0BF8E3-C63B-4F9B-BDED-45AB7E15B647}" id="{0A0986A9-8041-49B7-B7AB-B61E8E900BE9}">
    <text>Use SemiColon (;) to separate scenarios</text>
  </threadedComment>
  <threadedComment ref="I19" dT="2021-05-21T13:14:01.91" personId="{0C0BF8E3-C63B-4F9B-BDED-45AB7E15B647}" id="{FF8080CA-BA7C-44AA-922C-52F7A4A089A3}">
    <text>Use SemiColon (;) to separate scenarios</text>
  </threadedComment>
  <threadedComment ref="I21" dT="2021-05-21T13:14:01.91" personId="{0C0BF8E3-C63B-4F9B-BDED-45AB7E15B647}" id="{9308DF0E-F5CA-4172-9ACD-901C7FF1A8EF}">
    <text>Use SemiColon (;) to separate scenarios</text>
  </threadedComment>
  <threadedComment ref="H39" dT="2021-05-21T13:14:01.91" personId="{0C0BF8E3-C63B-4F9B-BDED-45AB7E15B647}" id="{D0AE5345-08C0-4061-9FF3-3CF48F18AFB6}">
    <text>Use SemiColon (;) to separate scenarios</text>
  </threadedComment>
  <threadedComment ref="I39" dT="2021-05-21T13:14:01.91" personId="{0C0BF8E3-C63B-4F9B-BDED-45AB7E15B647}" id="{B258CF3D-B385-4CB3-B1A5-CD16789251A4}">
    <text>Use SemiColon (;) to separate scenarios</text>
  </threadedComment>
  <threadedComment ref="I41" dT="2021-05-21T13:14:01.91" personId="{0C0BF8E3-C63B-4F9B-BDED-45AB7E15B647}" id="{3C565153-DF31-4E3D-8437-4D706EE74943}">
    <text>Use SemiColon (;) to separate scenarios</text>
  </threadedComment>
  <threadedComment ref="H42" dT="2021-05-21T13:14:01.91" personId="{0C0BF8E3-C63B-4F9B-BDED-45AB7E15B647}" id="{8562721E-A539-47E1-92EA-C438A924145F}">
    <text>Use SemiColon (;) to separate scenarios</text>
  </threadedComment>
  <threadedComment ref="I42" dT="2021-05-21T13:14:01.91" personId="{0C0BF8E3-C63B-4F9B-BDED-45AB7E15B647}" id="{072D3DA9-4105-44F4-9CF8-36BF0235FA8E}">
    <text>Use SemiColon (;) to separate scenarios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" dT="2020-01-03T22:29:51.87" personId="{0FF740B6-26E4-41CB-840D-14FF22305DC4}" id="{B0FFB3B0-AEA5-4612-8929-A166AA228AB2}">
    <text>In this example, we are accumulating the number of cells of each catchment directly associated to the river reach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89A41-325B-4914-B352-1CC6770D7F04}">
  <sheetPr codeName="Hoja5"/>
  <dimension ref="A1:L214"/>
  <sheetViews>
    <sheetView workbookViewId="0">
      <selection activeCell="D13" sqref="D13"/>
    </sheetView>
  </sheetViews>
  <sheetFormatPr baseColWidth="10" defaultColWidth="11.5546875" defaultRowHeight="14.4"/>
  <cols>
    <col min="1" max="1" width="12.88671875" bestFit="1" customWidth="1"/>
    <col min="2" max="2" width="11.109375" bestFit="1" customWidth="1"/>
    <col min="3" max="3" width="17.109375" bestFit="1" customWidth="1"/>
    <col min="4" max="4" width="18.88671875" bestFit="1" customWidth="1"/>
    <col min="5" max="5" width="16.88671875" bestFit="1" customWidth="1"/>
    <col min="6" max="6" width="11.109375" customWidth="1"/>
    <col min="7" max="7" width="47.88671875" bestFit="1" customWidth="1"/>
    <col min="8" max="8" width="30.109375" customWidth="1"/>
    <col min="9" max="9" width="17.109375" customWidth="1"/>
    <col min="10" max="10" width="16.88671875" customWidth="1"/>
    <col min="11" max="11" width="16.109375" bestFit="1" customWidth="1"/>
    <col min="12" max="12" width="16.109375" customWidth="1"/>
  </cols>
  <sheetData>
    <row r="1" spans="1:12" ht="15.6">
      <c r="A1" s="1" t="s">
        <v>13</v>
      </c>
      <c r="B1" s="1" t="s">
        <v>19</v>
      </c>
      <c r="C1" s="22" t="s">
        <v>56</v>
      </c>
      <c r="D1" s="22" t="s">
        <v>44</v>
      </c>
      <c r="E1" s="22" t="s">
        <v>45</v>
      </c>
      <c r="F1" s="1" t="s">
        <v>46</v>
      </c>
      <c r="G1" s="21" t="s">
        <v>60</v>
      </c>
    </row>
    <row r="2" spans="1:12">
      <c r="A2">
        <v>66</v>
      </c>
      <c r="B2">
        <v>0</v>
      </c>
      <c r="G2" t="str">
        <f>"- Long term averages"</f>
        <v>- Long term averages</v>
      </c>
    </row>
    <row r="3" spans="1:12">
      <c r="A3">
        <v>68</v>
      </c>
      <c r="B3">
        <v>0</v>
      </c>
      <c r="G3" t="str">
        <f>"-Dry year"</f>
        <v>-Dry year</v>
      </c>
    </row>
    <row r="4" spans="1:12">
      <c r="A4">
        <v>372</v>
      </c>
      <c r="B4">
        <v>0</v>
      </c>
      <c r="G4" t="str">
        <f>"-Wet year"</f>
        <v>-Wet year</v>
      </c>
    </row>
    <row r="5" spans="1:12">
      <c r="A5">
        <v>87</v>
      </c>
      <c r="B5">
        <v>0</v>
      </c>
      <c r="I5" s="1" t="s">
        <v>41</v>
      </c>
      <c r="J5" s="15" t="s">
        <v>26</v>
      </c>
      <c r="K5" s="15" t="s">
        <v>27</v>
      </c>
      <c r="L5" s="15" t="s">
        <v>28</v>
      </c>
    </row>
    <row r="6" spans="1:12">
      <c r="A6">
        <v>3190</v>
      </c>
      <c r="B6">
        <v>0</v>
      </c>
      <c r="G6" s="20" t="s">
        <v>21</v>
      </c>
      <c r="H6" s="1" t="s">
        <v>22</v>
      </c>
      <c r="I6" s="1" t="s">
        <v>42</v>
      </c>
      <c r="J6" s="23" t="s">
        <v>29</v>
      </c>
      <c r="K6" s="22" t="s">
        <v>31</v>
      </c>
      <c r="L6" s="22" t="s">
        <v>33</v>
      </c>
    </row>
    <row r="7" spans="1:12">
      <c r="A7">
        <v>85</v>
      </c>
      <c r="B7">
        <v>0</v>
      </c>
      <c r="G7" s="20" t="s">
        <v>21</v>
      </c>
      <c r="H7" t="s">
        <v>23</v>
      </c>
      <c r="I7" s="1" t="s">
        <v>42</v>
      </c>
      <c r="J7" s="27" t="s">
        <v>30</v>
      </c>
      <c r="K7" s="26" t="s">
        <v>32</v>
      </c>
      <c r="L7" s="24" t="s">
        <v>34</v>
      </c>
    </row>
    <row r="8" spans="1:12">
      <c r="A8">
        <v>303</v>
      </c>
      <c r="B8">
        <v>0</v>
      </c>
      <c r="G8" s="19" t="s">
        <v>25</v>
      </c>
      <c r="H8" t="s">
        <v>22</v>
      </c>
      <c r="I8" s="1" t="s">
        <v>42</v>
      </c>
      <c r="J8" s="22" t="s">
        <v>36</v>
      </c>
      <c r="K8" s="22"/>
      <c r="L8" s="22"/>
    </row>
    <row r="9" spans="1:12">
      <c r="A9">
        <v>257</v>
      </c>
      <c r="B9">
        <v>0</v>
      </c>
      <c r="G9" s="19" t="s">
        <v>25</v>
      </c>
      <c r="H9" t="s">
        <v>23</v>
      </c>
      <c r="I9" s="1" t="s">
        <v>42</v>
      </c>
      <c r="J9" s="22" t="s">
        <v>37</v>
      </c>
      <c r="K9" s="22"/>
      <c r="L9" s="22"/>
    </row>
    <row r="10" spans="1:12">
      <c r="A10">
        <v>324</v>
      </c>
      <c r="B10">
        <v>0</v>
      </c>
      <c r="G10" s="18" t="s">
        <v>24</v>
      </c>
      <c r="H10" t="s">
        <v>22</v>
      </c>
      <c r="I10" s="1" t="s">
        <v>42</v>
      </c>
      <c r="J10" s="22" t="s">
        <v>38</v>
      </c>
      <c r="K10" s="22"/>
      <c r="L10" s="22"/>
    </row>
    <row r="11" spans="1:12">
      <c r="A11">
        <v>251</v>
      </c>
      <c r="B11">
        <v>0</v>
      </c>
      <c r="G11" s="18" t="s">
        <v>24</v>
      </c>
      <c r="H11" t="s">
        <v>23</v>
      </c>
      <c r="I11" s="1" t="s">
        <v>42</v>
      </c>
      <c r="J11" s="22" t="s">
        <v>39</v>
      </c>
      <c r="K11" s="22"/>
      <c r="L11" s="22"/>
    </row>
    <row r="12" spans="1:12">
      <c r="A12">
        <v>1651</v>
      </c>
      <c r="B12">
        <v>0</v>
      </c>
      <c r="G12" s="28" t="s">
        <v>52</v>
      </c>
      <c r="H12" t="s">
        <v>22</v>
      </c>
      <c r="I12" s="1" t="s">
        <v>42</v>
      </c>
      <c r="J12" s="22" t="s">
        <v>53</v>
      </c>
      <c r="K12" s="22"/>
      <c r="L12" s="22"/>
    </row>
    <row r="13" spans="1:12">
      <c r="A13">
        <v>276</v>
      </c>
      <c r="B13">
        <v>0</v>
      </c>
      <c r="G13" s="28" t="s">
        <v>52</v>
      </c>
      <c r="H13" t="s">
        <v>23</v>
      </c>
      <c r="I13" s="1" t="s">
        <v>42</v>
      </c>
      <c r="J13" s="22" t="s">
        <v>54</v>
      </c>
      <c r="K13" s="22"/>
      <c r="L13" s="22"/>
    </row>
    <row r="14" spans="1:12">
      <c r="A14">
        <v>1695</v>
      </c>
      <c r="B14">
        <v>0</v>
      </c>
    </row>
    <row r="15" spans="1:12">
      <c r="A15">
        <v>245</v>
      </c>
      <c r="B15">
        <v>0</v>
      </c>
      <c r="G15" s="1" t="s">
        <v>35</v>
      </c>
      <c r="I15" s="1" t="s">
        <v>43</v>
      </c>
      <c r="J15" s="22" t="s">
        <v>40</v>
      </c>
      <c r="K15" s="22"/>
      <c r="L15" s="22"/>
    </row>
    <row r="16" spans="1:12">
      <c r="A16">
        <v>225</v>
      </c>
      <c r="B16">
        <v>0</v>
      </c>
      <c r="G16" s="1" t="s">
        <v>63</v>
      </c>
      <c r="I16" s="1" t="s">
        <v>64</v>
      </c>
      <c r="J16" s="22" t="s">
        <v>65</v>
      </c>
      <c r="K16" s="22" t="s">
        <v>66</v>
      </c>
      <c r="L16" s="22" t="s">
        <v>67</v>
      </c>
    </row>
    <row r="17" spans="1:10">
      <c r="A17">
        <v>1704</v>
      </c>
      <c r="B17">
        <v>0</v>
      </c>
      <c r="G17" t="s">
        <v>69</v>
      </c>
      <c r="I17" s="1" t="s">
        <v>64</v>
      </c>
    </row>
    <row r="18" spans="1:10">
      <c r="A18">
        <v>353</v>
      </c>
      <c r="B18">
        <v>0</v>
      </c>
      <c r="G18" t="s">
        <v>72</v>
      </c>
      <c r="I18" s="1" t="s">
        <v>64</v>
      </c>
    </row>
    <row r="19" spans="1:10">
      <c r="A19">
        <v>2022</v>
      </c>
      <c r="B19">
        <v>0</v>
      </c>
    </row>
    <row r="20" spans="1:10">
      <c r="A20">
        <v>3714</v>
      </c>
      <c r="B20">
        <v>0</v>
      </c>
    </row>
    <row r="21" spans="1:10" ht="15.6">
      <c r="A21">
        <v>1674</v>
      </c>
      <c r="B21">
        <v>0</v>
      </c>
      <c r="G21" s="21" t="s">
        <v>61</v>
      </c>
    </row>
    <row r="22" spans="1:10">
      <c r="A22">
        <v>204</v>
      </c>
      <c r="B22">
        <v>0</v>
      </c>
    </row>
    <row r="23" spans="1:10" ht="15.6">
      <c r="A23">
        <v>2064</v>
      </c>
      <c r="B23">
        <v>0</v>
      </c>
      <c r="G23" s="21" t="s">
        <v>62</v>
      </c>
    </row>
    <row r="24" spans="1:10">
      <c r="A24">
        <v>239</v>
      </c>
      <c r="B24">
        <v>0</v>
      </c>
      <c r="G24" t="s">
        <v>47</v>
      </c>
      <c r="H24" t="s">
        <v>57</v>
      </c>
      <c r="J24" t="s">
        <v>48</v>
      </c>
    </row>
    <row r="25" spans="1:10" ht="28.8">
      <c r="A25">
        <v>1853</v>
      </c>
      <c r="B25">
        <v>0</v>
      </c>
      <c r="H25" s="25" t="s">
        <v>58</v>
      </c>
      <c r="J25" t="s">
        <v>49</v>
      </c>
    </row>
    <row r="26" spans="1:10">
      <c r="A26">
        <v>1617</v>
      </c>
      <c r="B26">
        <v>0</v>
      </c>
      <c r="G26" t="s">
        <v>50</v>
      </c>
      <c r="H26" s="2" t="s">
        <v>51</v>
      </c>
    </row>
    <row r="27" spans="1:10">
      <c r="A27">
        <v>162</v>
      </c>
      <c r="B27">
        <v>0</v>
      </c>
      <c r="G27" t="s">
        <v>55</v>
      </c>
      <c r="H27" s="1" t="s">
        <v>59</v>
      </c>
    </row>
    <row r="28" spans="1:10">
      <c r="A28">
        <v>183</v>
      </c>
      <c r="B28">
        <v>0</v>
      </c>
    </row>
    <row r="29" spans="1:10" ht="15.6">
      <c r="A29">
        <v>122</v>
      </c>
      <c r="B29">
        <v>0</v>
      </c>
      <c r="G29" s="21" t="s">
        <v>68</v>
      </c>
    </row>
    <row r="30" spans="1:10">
      <c r="A30">
        <v>1686</v>
      </c>
      <c r="B30">
        <v>0</v>
      </c>
    </row>
    <row r="31" spans="1:10">
      <c r="A31">
        <v>1535</v>
      </c>
      <c r="B31">
        <v>0</v>
      </c>
      <c r="G31" t="s">
        <v>70</v>
      </c>
      <c r="H31" t="s">
        <v>73</v>
      </c>
    </row>
    <row r="32" spans="1:10">
      <c r="A32">
        <v>1550</v>
      </c>
      <c r="B32">
        <v>0</v>
      </c>
    </row>
    <row r="33" spans="1:8" ht="15.6">
      <c r="A33">
        <v>141</v>
      </c>
      <c r="B33">
        <v>0</v>
      </c>
      <c r="G33" s="21" t="s">
        <v>71</v>
      </c>
    </row>
    <row r="34" spans="1:8">
      <c r="A34">
        <v>2621</v>
      </c>
      <c r="B34">
        <v>0</v>
      </c>
      <c r="H34" t="s">
        <v>74</v>
      </c>
    </row>
    <row r="35" spans="1:8">
      <c r="A35">
        <v>95</v>
      </c>
      <c r="B35">
        <v>0</v>
      </c>
      <c r="H35" t="s">
        <v>75</v>
      </c>
    </row>
    <row r="36" spans="1:8">
      <c r="A36">
        <v>1552</v>
      </c>
      <c r="B36">
        <v>0</v>
      </c>
    </row>
    <row r="37" spans="1:8">
      <c r="A37">
        <v>1567</v>
      </c>
      <c r="B37">
        <v>0</v>
      </c>
    </row>
    <row r="38" spans="1:8">
      <c r="A38">
        <v>114</v>
      </c>
      <c r="B38">
        <v>0</v>
      </c>
    </row>
    <row r="39" spans="1:8">
      <c r="A39">
        <v>2968</v>
      </c>
      <c r="B39">
        <v>0</v>
      </c>
    </row>
    <row r="40" spans="1:8">
      <c r="A40">
        <v>89</v>
      </c>
      <c r="B40">
        <v>0</v>
      </c>
    </row>
    <row r="41" spans="1:8">
      <c r="A41">
        <v>112</v>
      </c>
      <c r="B41">
        <v>0</v>
      </c>
    </row>
    <row r="42" spans="1:8">
      <c r="A42">
        <v>116</v>
      </c>
      <c r="B42">
        <v>0</v>
      </c>
    </row>
    <row r="43" spans="1:8">
      <c r="A43">
        <v>3207</v>
      </c>
      <c r="B43">
        <v>0</v>
      </c>
    </row>
    <row r="44" spans="1:8">
      <c r="A44">
        <v>139</v>
      </c>
      <c r="B44">
        <v>0</v>
      </c>
    </row>
    <row r="45" spans="1:8">
      <c r="A45">
        <v>1533</v>
      </c>
      <c r="B45">
        <v>0</v>
      </c>
    </row>
    <row r="46" spans="1:8">
      <c r="A46">
        <v>143</v>
      </c>
      <c r="B46">
        <v>0</v>
      </c>
    </row>
    <row r="47" spans="1:8">
      <c r="A47">
        <v>1518</v>
      </c>
      <c r="B47">
        <v>0</v>
      </c>
    </row>
    <row r="48" spans="1:8">
      <c r="A48">
        <v>3224</v>
      </c>
      <c r="B48">
        <v>0</v>
      </c>
    </row>
    <row r="49" spans="1:2">
      <c r="A49">
        <v>160</v>
      </c>
      <c r="B49">
        <v>0</v>
      </c>
    </row>
    <row r="50" spans="1:2">
      <c r="A50">
        <v>2121</v>
      </c>
      <c r="B50">
        <v>0</v>
      </c>
    </row>
    <row r="51" spans="1:2">
      <c r="A51">
        <v>2600</v>
      </c>
      <c r="B51">
        <v>0</v>
      </c>
    </row>
    <row r="52" spans="1:2">
      <c r="A52">
        <v>3632</v>
      </c>
      <c r="B52">
        <v>0</v>
      </c>
    </row>
    <row r="53" spans="1:2">
      <c r="A53">
        <v>3391</v>
      </c>
      <c r="B53">
        <v>0</v>
      </c>
    </row>
    <row r="54" spans="1:2">
      <c r="A54">
        <v>2605</v>
      </c>
      <c r="B54">
        <v>0</v>
      </c>
    </row>
    <row r="55" spans="1:2">
      <c r="A55">
        <v>1653</v>
      </c>
      <c r="B55">
        <v>0</v>
      </c>
    </row>
    <row r="56" spans="1:2">
      <c r="A56">
        <v>164</v>
      </c>
      <c r="B56">
        <v>0</v>
      </c>
    </row>
    <row r="57" spans="1:2">
      <c r="A57">
        <v>181</v>
      </c>
      <c r="B57">
        <v>0</v>
      </c>
    </row>
    <row r="58" spans="1:2">
      <c r="A58">
        <v>2030</v>
      </c>
      <c r="B58">
        <v>0</v>
      </c>
    </row>
    <row r="59" spans="1:2">
      <c r="A59">
        <v>1872</v>
      </c>
      <c r="B59">
        <v>0</v>
      </c>
    </row>
    <row r="60" spans="1:2">
      <c r="A60">
        <v>2067</v>
      </c>
      <c r="B60">
        <v>0</v>
      </c>
    </row>
    <row r="61" spans="1:2">
      <c r="A61">
        <v>185</v>
      </c>
      <c r="B61">
        <v>0</v>
      </c>
    </row>
    <row r="62" spans="1:2">
      <c r="A62">
        <v>202</v>
      </c>
      <c r="B62">
        <v>0</v>
      </c>
    </row>
    <row r="63" spans="1:2">
      <c r="A63">
        <v>206</v>
      </c>
      <c r="B63">
        <v>0</v>
      </c>
    </row>
    <row r="64" spans="1:2">
      <c r="A64">
        <v>3258</v>
      </c>
      <c r="B64">
        <v>0</v>
      </c>
    </row>
    <row r="65" spans="1:2">
      <c r="A65">
        <v>3568</v>
      </c>
      <c r="B65">
        <v>0</v>
      </c>
    </row>
    <row r="66" spans="1:2">
      <c r="A66">
        <v>3683</v>
      </c>
      <c r="B66">
        <v>0</v>
      </c>
    </row>
    <row r="67" spans="1:2">
      <c r="A67">
        <v>3614</v>
      </c>
      <c r="B67">
        <v>0</v>
      </c>
    </row>
    <row r="68" spans="1:2">
      <c r="A68">
        <v>3302</v>
      </c>
      <c r="B68">
        <v>0</v>
      </c>
    </row>
    <row r="69" spans="1:2">
      <c r="A69">
        <v>3323</v>
      </c>
      <c r="B69">
        <v>0</v>
      </c>
    </row>
    <row r="70" spans="1:2">
      <c r="A70">
        <v>3587</v>
      </c>
      <c r="B70">
        <v>0</v>
      </c>
    </row>
    <row r="71" spans="1:2">
      <c r="A71">
        <v>3262</v>
      </c>
      <c r="B71">
        <v>0</v>
      </c>
    </row>
    <row r="72" spans="1:2">
      <c r="A72">
        <v>223</v>
      </c>
      <c r="B72">
        <v>0</v>
      </c>
    </row>
    <row r="73" spans="1:2">
      <c r="A73">
        <v>233</v>
      </c>
      <c r="B73">
        <v>0</v>
      </c>
    </row>
    <row r="74" spans="1:2">
      <c r="A74">
        <v>1510</v>
      </c>
      <c r="B74">
        <v>0</v>
      </c>
    </row>
    <row r="75" spans="1:2">
      <c r="A75">
        <v>227</v>
      </c>
      <c r="B75">
        <v>0</v>
      </c>
    </row>
    <row r="76" spans="1:2">
      <c r="A76">
        <v>3279</v>
      </c>
      <c r="B76">
        <v>0</v>
      </c>
    </row>
    <row r="77" spans="1:2">
      <c r="A77">
        <v>3352</v>
      </c>
      <c r="B77">
        <v>0</v>
      </c>
    </row>
    <row r="78" spans="1:2">
      <c r="A78">
        <v>3445</v>
      </c>
      <c r="B78">
        <v>0</v>
      </c>
    </row>
    <row r="79" spans="1:2">
      <c r="A79">
        <v>3389</v>
      </c>
      <c r="B79">
        <v>0</v>
      </c>
    </row>
    <row r="80" spans="1:2">
      <c r="A80">
        <v>3371</v>
      </c>
      <c r="B80">
        <v>0</v>
      </c>
    </row>
    <row r="81" spans="1:2">
      <c r="A81">
        <v>3344</v>
      </c>
      <c r="B81">
        <v>0</v>
      </c>
    </row>
    <row r="82" spans="1:2">
      <c r="A82">
        <v>3283</v>
      </c>
      <c r="B82">
        <v>0</v>
      </c>
    </row>
    <row r="83" spans="1:2">
      <c r="A83">
        <v>3300</v>
      </c>
      <c r="B83">
        <v>0</v>
      </c>
    </row>
    <row r="84" spans="1:2">
      <c r="A84">
        <v>3304</v>
      </c>
      <c r="B84">
        <v>0</v>
      </c>
    </row>
    <row r="85" spans="1:2">
      <c r="A85">
        <v>3700</v>
      </c>
      <c r="B85">
        <v>0</v>
      </c>
    </row>
    <row r="86" spans="1:2">
      <c r="A86">
        <v>274</v>
      </c>
      <c r="B86">
        <v>0</v>
      </c>
    </row>
    <row r="87" spans="1:2">
      <c r="A87">
        <v>284</v>
      </c>
      <c r="B87">
        <v>0</v>
      </c>
    </row>
    <row r="88" spans="1:2">
      <c r="A88">
        <v>1516</v>
      </c>
      <c r="B88">
        <v>0</v>
      </c>
    </row>
    <row r="89" spans="1:2">
      <c r="A89">
        <v>1692</v>
      </c>
      <c r="B89">
        <v>0</v>
      </c>
    </row>
    <row r="90" spans="1:2">
      <c r="A90">
        <v>345</v>
      </c>
      <c r="B90">
        <v>0</v>
      </c>
    </row>
    <row r="91" spans="1:2">
      <c r="A91">
        <v>278</v>
      </c>
      <c r="B91">
        <v>0</v>
      </c>
    </row>
    <row r="92" spans="1:2">
      <c r="A92">
        <v>301</v>
      </c>
      <c r="B92">
        <v>0</v>
      </c>
    </row>
    <row r="93" spans="1:2">
      <c r="A93">
        <v>305</v>
      </c>
      <c r="B93">
        <v>0</v>
      </c>
    </row>
    <row r="94" spans="1:2">
      <c r="A94">
        <v>1514</v>
      </c>
      <c r="B94">
        <v>0</v>
      </c>
    </row>
    <row r="95" spans="1:2">
      <c r="A95">
        <v>3321</v>
      </c>
      <c r="B95">
        <v>0</v>
      </c>
    </row>
    <row r="96" spans="1:2">
      <c r="A96">
        <v>3325</v>
      </c>
      <c r="B96">
        <v>0</v>
      </c>
    </row>
    <row r="97" spans="1:2">
      <c r="A97">
        <v>322</v>
      </c>
      <c r="B97">
        <v>0</v>
      </c>
    </row>
    <row r="98" spans="1:2">
      <c r="A98">
        <v>326</v>
      </c>
      <c r="B98">
        <v>0</v>
      </c>
    </row>
    <row r="99" spans="1:2">
      <c r="A99">
        <v>1512</v>
      </c>
      <c r="B99">
        <v>0</v>
      </c>
    </row>
    <row r="100" spans="1:2">
      <c r="A100">
        <v>343</v>
      </c>
      <c r="B100">
        <v>0</v>
      </c>
    </row>
    <row r="101" spans="1:2">
      <c r="A101">
        <v>347</v>
      </c>
      <c r="B101">
        <v>0</v>
      </c>
    </row>
    <row r="102" spans="1:2">
      <c r="A102">
        <v>3342</v>
      </c>
      <c r="B102">
        <v>0</v>
      </c>
    </row>
    <row r="103" spans="1:2">
      <c r="A103">
        <v>3346</v>
      </c>
      <c r="B103">
        <v>0</v>
      </c>
    </row>
    <row r="104" spans="1:2">
      <c r="A104">
        <v>3479</v>
      </c>
      <c r="B104">
        <v>0</v>
      </c>
    </row>
    <row r="105" spans="1:2">
      <c r="A105">
        <v>370</v>
      </c>
      <c r="B105">
        <v>0</v>
      </c>
    </row>
    <row r="106" spans="1:2">
      <c r="A106">
        <v>1738</v>
      </c>
      <c r="B106">
        <v>0</v>
      </c>
    </row>
    <row r="107" spans="1:2">
      <c r="A107">
        <v>986</v>
      </c>
      <c r="B107">
        <v>0</v>
      </c>
    </row>
    <row r="108" spans="1:2">
      <c r="A108">
        <v>1007</v>
      </c>
      <c r="B108">
        <v>0</v>
      </c>
    </row>
    <row r="109" spans="1:2">
      <c r="A109">
        <v>374</v>
      </c>
      <c r="B109">
        <v>0</v>
      </c>
    </row>
    <row r="110" spans="1:2">
      <c r="A110">
        <v>902</v>
      </c>
      <c r="B110">
        <v>0</v>
      </c>
    </row>
    <row r="111" spans="1:2">
      <c r="A111">
        <v>904</v>
      </c>
      <c r="B111">
        <v>0</v>
      </c>
    </row>
    <row r="112" spans="1:2">
      <c r="A112">
        <v>923</v>
      </c>
      <c r="B112">
        <v>0</v>
      </c>
    </row>
    <row r="113" spans="1:2">
      <c r="A113">
        <v>3369</v>
      </c>
      <c r="B113">
        <v>0</v>
      </c>
    </row>
    <row r="114" spans="1:2">
      <c r="A114">
        <v>3373</v>
      </c>
      <c r="B114">
        <v>0</v>
      </c>
    </row>
    <row r="115" spans="1:2">
      <c r="A115">
        <v>3462</v>
      </c>
      <c r="B115">
        <v>0</v>
      </c>
    </row>
    <row r="116" spans="1:2">
      <c r="A116">
        <v>921</v>
      </c>
      <c r="B116">
        <v>0</v>
      </c>
    </row>
    <row r="117" spans="1:2">
      <c r="A117">
        <v>944</v>
      </c>
      <c r="B117">
        <v>0</v>
      </c>
    </row>
    <row r="118" spans="1:2">
      <c r="A118">
        <v>965</v>
      </c>
      <c r="B118">
        <v>0</v>
      </c>
    </row>
    <row r="119" spans="1:2">
      <c r="A119">
        <v>2208</v>
      </c>
      <c r="B119">
        <v>0</v>
      </c>
    </row>
    <row r="120" spans="1:2">
      <c r="A120">
        <v>925</v>
      </c>
      <c r="B120">
        <v>0</v>
      </c>
    </row>
    <row r="121" spans="1:2">
      <c r="A121">
        <v>942</v>
      </c>
      <c r="B121">
        <v>0</v>
      </c>
    </row>
    <row r="122" spans="1:2">
      <c r="A122">
        <v>2113</v>
      </c>
      <c r="B122">
        <v>0</v>
      </c>
    </row>
    <row r="123" spans="1:2">
      <c r="A123">
        <v>2092</v>
      </c>
      <c r="B123">
        <v>0</v>
      </c>
    </row>
    <row r="124" spans="1:2">
      <c r="A124">
        <v>2455</v>
      </c>
      <c r="B124">
        <v>0</v>
      </c>
    </row>
    <row r="125" spans="1:2">
      <c r="A125">
        <v>3281</v>
      </c>
      <c r="B125">
        <v>0</v>
      </c>
    </row>
    <row r="126" spans="1:2">
      <c r="A126">
        <v>3260</v>
      </c>
      <c r="B126">
        <v>0</v>
      </c>
    </row>
    <row r="127" spans="1:2">
      <c r="A127">
        <v>3241</v>
      </c>
      <c r="B127">
        <v>0</v>
      </c>
    </row>
    <row r="128" spans="1:2">
      <c r="A128">
        <v>1027</v>
      </c>
      <c r="B128">
        <v>0</v>
      </c>
    </row>
    <row r="129" spans="1:2">
      <c r="A129">
        <v>946</v>
      </c>
      <c r="B129">
        <v>0</v>
      </c>
    </row>
    <row r="130" spans="1:2">
      <c r="A130">
        <v>963</v>
      </c>
      <c r="B130">
        <v>0</v>
      </c>
    </row>
    <row r="131" spans="1:2">
      <c r="A131">
        <v>2467</v>
      </c>
      <c r="B131">
        <v>0</v>
      </c>
    </row>
    <row r="132" spans="1:2">
      <c r="A132">
        <v>2391</v>
      </c>
      <c r="B132">
        <v>0</v>
      </c>
    </row>
    <row r="133" spans="1:2">
      <c r="A133">
        <v>1033</v>
      </c>
      <c r="B133">
        <v>0</v>
      </c>
    </row>
    <row r="134" spans="1:2">
      <c r="A134">
        <v>967</v>
      </c>
      <c r="B134">
        <v>0</v>
      </c>
    </row>
    <row r="135" spans="1:2">
      <c r="A135">
        <v>3387</v>
      </c>
      <c r="B135">
        <v>0</v>
      </c>
    </row>
    <row r="136" spans="1:2">
      <c r="A136">
        <v>3443</v>
      </c>
      <c r="B136">
        <v>0</v>
      </c>
    </row>
    <row r="137" spans="1:2">
      <c r="A137">
        <v>3460</v>
      </c>
      <c r="B137">
        <v>0</v>
      </c>
    </row>
    <row r="138" spans="1:2">
      <c r="A138">
        <v>3477</v>
      </c>
      <c r="B138">
        <v>0</v>
      </c>
    </row>
    <row r="139" spans="1:2">
      <c r="A139">
        <v>984</v>
      </c>
      <c r="B139">
        <v>0</v>
      </c>
    </row>
    <row r="140" spans="1:2">
      <c r="A140">
        <v>1809</v>
      </c>
      <c r="B140">
        <v>0</v>
      </c>
    </row>
    <row r="141" spans="1:2">
      <c r="A141">
        <v>988</v>
      </c>
      <c r="B141">
        <v>0</v>
      </c>
    </row>
    <row r="142" spans="1:2">
      <c r="A142">
        <v>1005</v>
      </c>
      <c r="B142">
        <v>0</v>
      </c>
    </row>
    <row r="143" spans="1:2">
      <c r="A143">
        <v>1788</v>
      </c>
      <c r="B143">
        <v>0</v>
      </c>
    </row>
    <row r="144" spans="1:2">
      <c r="A144">
        <v>1009</v>
      </c>
      <c r="B144">
        <v>0</v>
      </c>
    </row>
    <row r="145" spans="1:2">
      <c r="A145">
        <v>1531</v>
      </c>
      <c r="B145">
        <v>0</v>
      </c>
    </row>
    <row r="146" spans="1:2">
      <c r="A146">
        <v>1548</v>
      </c>
      <c r="B146">
        <v>0</v>
      </c>
    </row>
    <row r="147" spans="1:2">
      <c r="A147">
        <v>2570</v>
      </c>
      <c r="B147">
        <v>0</v>
      </c>
    </row>
    <row r="148" spans="1:2">
      <c r="A148">
        <v>1565</v>
      </c>
      <c r="B148">
        <v>0</v>
      </c>
    </row>
    <row r="149" spans="1:2">
      <c r="A149">
        <v>2568</v>
      </c>
      <c r="B149">
        <v>0</v>
      </c>
    </row>
    <row r="150" spans="1:2">
      <c r="A150">
        <v>1580</v>
      </c>
      <c r="B150">
        <v>0</v>
      </c>
    </row>
    <row r="151" spans="1:2">
      <c r="A151">
        <v>2458</v>
      </c>
      <c r="B151">
        <v>0</v>
      </c>
    </row>
    <row r="152" spans="1:2">
      <c r="A152">
        <v>2504</v>
      </c>
      <c r="B152">
        <v>0</v>
      </c>
    </row>
    <row r="153" spans="1:2">
      <c r="A153">
        <v>2460</v>
      </c>
      <c r="B153">
        <v>0</v>
      </c>
    </row>
    <row r="154" spans="1:2">
      <c r="A154">
        <v>2462</v>
      </c>
      <c r="B154">
        <v>0</v>
      </c>
    </row>
    <row r="155" spans="1:2">
      <c r="A155">
        <v>1632</v>
      </c>
      <c r="B155">
        <v>0</v>
      </c>
    </row>
    <row r="156" spans="1:2">
      <c r="A156">
        <v>2619</v>
      </c>
      <c r="B156">
        <v>0</v>
      </c>
    </row>
    <row r="157" spans="1:2">
      <c r="A157">
        <v>1615</v>
      </c>
      <c r="B157">
        <v>0</v>
      </c>
    </row>
    <row r="158" spans="1:2">
      <c r="A158">
        <v>1649</v>
      </c>
      <c r="B158">
        <v>0</v>
      </c>
    </row>
    <row r="159" spans="1:2">
      <c r="A159">
        <v>1634</v>
      </c>
      <c r="B159">
        <v>0</v>
      </c>
    </row>
    <row r="160" spans="1:2">
      <c r="A160">
        <v>1670</v>
      </c>
      <c r="B160">
        <v>0</v>
      </c>
    </row>
    <row r="161" spans="1:2">
      <c r="A161">
        <v>1668</v>
      </c>
      <c r="B161">
        <v>0</v>
      </c>
    </row>
    <row r="162" spans="1:2">
      <c r="A162">
        <v>1850</v>
      </c>
      <c r="B162">
        <v>0</v>
      </c>
    </row>
    <row r="163" spans="1:2">
      <c r="A163">
        <v>1680</v>
      </c>
      <c r="B163">
        <v>0</v>
      </c>
    </row>
    <row r="164" spans="1:2">
      <c r="A164">
        <v>1630</v>
      </c>
      <c r="B164">
        <v>0</v>
      </c>
    </row>
    <row r="165" spans="1:2">
      <c r="A165">
        <v>1647</v>
      </c>
      <c r="B165">
        <v>0</v>
      </c>
    </row>
    <row r="166" spans="1:2">
      <c r="A166">
        <v>1701</v>
      </c>
      <c r="B166">
        <v>0</v>
      </c>
    </row>
    <row r="167" spans="1:2">
      <c r="A167">
        <v>3441</v>
      </c>
      <c r="B167">
        <v>0</v>
      </c>
    </row>
    <row r="168" spans="1:2">
      <c r="A168">
        <v>1666</v>
      </c>
      <c r="B168">
        <v>0</v>
      </c>
    </row>
    <row r="169" spans="1:2">
      <c r="A169">
        <v>3458</v>
      </c>
      <c r="B169">
        <v>0</v>
      </c>
    </row>
    <row r="170" spans="1:2">
      <c r="A170">
        <v>1736</v>
      </c>
      <c r="B170">
        <v>0</v>
      </c>
    </row>
    <row r="171" spans="1:2">
      <c r="A171">
        <v>1763</v>
      </c>
      <c r="B171">
        <v>0</v>
      </c>
    </row>
    <row r="172" spans="1:2">
      <c r="A172">
        <v>1740</v>
      </c>
      <c r="B172">
        <v>0</v>
      </c>
    </row>
    <row r="173" spans="1:2">
      <c r="A173">
        <v>3475</v>
      </c>
      <c r="B173">
        <v>0</v>
      </c>
    </row>
    <row r="174" spans="1:2">
      <c r="A174">
        <v>1786</v>
      </c>
      <c r="B174">
        <v>0</v>
      </c>
    </row>
    <row r="175" spans="1:2">
      <c r="A175">
        <v>1825</v>
      </c>
      <c r="B175">
        <v>0</v>
      </c>
    </row>
    <row r="176" spans="1:2">
      <c r="A176">
        <v>1790</v>
      </c>
      <c r="B176">
        <v>0</v>
      </c>
    </row>
    <row r="177" spans="1:2">
      <c r="A177">
        <v>1807</v>
      </c>
      <c r="B177">
        <v>0</v>
      </c>
    </row>
    <row r="178" spans="1:2">
      <c r="A178">
        <v>1817</v>
      </c>
      <c r="B178">
        <v>0</v>
      </c>
    </row>
    <row r="179" spans="1:2">
      <c r="A179">
        <v>1811</v>
      </c>
      <c r="B179">
        <v>0</v>
      </c>
    </row>
    <row r="180" spans="1:2">
      <c r="A180">
        <v>3498</v>
      </c>
      <c r="B180">
        <v>0</v>
      </c>
    </row>
    <row r="181" spans="1:2">
      <c r="A181">
        <v>3502</v>
      </c>
      <c r="B181">
        <v>0</v>
      </c>
    </row>
    <row r="182" spans="1:2">
      <c r="A182">
        <v>3563</v>
      </c>
      <c r="B182">
        <v>0</v>
      </c>
    </row>
    <row r="183" spans="1:2">
      <c r="A183">
        <v>3519</v>
      </c>
      <c r="B183">
        <v>0</v>
      </c>
    </row>
    <row r="184" spans="1:2">
      <c r="A184">
        <v>3523</v>
      </c>
      <c r="B184">
        <v>0</v>
      </c>
    </row>
    <row r="185" spans="1:2">
      <c r="A185">
        <v>3546</v>
      </c>
      <c r="B185">
        <v>0</v>
      </c>
    </row>
    <row r="186" spans="1:2">
      <c r="A186">
        <v>1870</v>
      </c>
      <c r="B186">
        <v>0</v>
      </c>
    </row>
    <row r="187" spans="1:2">
      <c r="A187">
        <v>2584</v>
      </c>
      <c r="B187">
        <v>0</v>
      </c>
    </row>
    <row r="188" spans="1:2">
      <c r="A188">
        <v>2575</v>
      </c>
      <c r="B188">
        <v>0</v>
      </c>
    </row>
    <row r="189" spans="1:2">
      <c r="A189">
        <v>2578</v>
      </c>
      <c r="B189">
        <v>0</v>
      </c>
    </row>
    <row r="190" spans="1:2">
      <c r="A190">
        <v>1874</v>
      </c>
      <c r="B190">
        <v>0</v>
      </c>
    </row>
    <row r="191" spans="1:2">
      <c r="A191">
        <v>2020</v>
      </c>
      <c r="B191">
        <v>0</v>
      </c>
    </row>
    <row r="192" spans="1:2">
      <c r="A192">
        <v>2024</v>
      </c>
      <c r="B192">
        <v>0</v>
      </c>
    </row>
    <row r="193" spans="1:2">
      <c r="A193">
        <v>3542</v>
      </c>
      <c r="B193">
        <v>0</v>
      </c>
    </row>
    <row r="194" spans="1:2">
      <c r="A194">
        <v>2090</v>
      </c>
      <c r="B194">
        <v>0</v>
      </c>
    </row>
    <row r="195" spans="1:2">
      <c r="A195">
        <v>2094</v>
      </c>
      <c r="B195">
        <v>0</v>
      </c>
    </row>
    <row r="196" spans="1:2">
      <c r="A196">
        <v>2416</v>
      </c>
      <c r="B196">
        <v>0</v>
      </c>
    </row>
    <row r="197" spans="1:2">
      <c r="A197">
        <v>2486</v>
      </c>
      <c r="B197">
        <v>0</v>
      </c>
    </row>
    <row r="198" spans="1:2">
      <c r="A198">
        <v>2140</v>
      </c>
      <c r="B198">
        <v>0</v>
      </c>
    </row>
    <row r="199" spans="1:2">
      <c r="A199">
        <v>2111</v>
      </c>
      <c r="B199">
        <v>0</v>
      </c>
    </row>
    <row r="200" spans="1:2">
      <c r="A200">
        <v>2115</v>
      </c>
      <c r="B200">
        <v>0</v>
      </c>
    </row>
    <row r="201" spans="1:2">
      <c r="A201">
        <v>2450</v>
      </c>
      <c r="B201">
        <v>0</v>
      </c>
    </row>
    <row r="202" spans="1:2">
      <c r="A202">
        <v>3559</v>
      </c>
      <c r="B202">
        <v>0</v>
      </c>
    </row>
    <row r="203" spans="1:2">
      <c r="A203">
        <v>2138</v>
      </c>
      <c r="B203">
        <v>0</v>
      </c>
    </row>
    <row r="204" spans="1:2">
      <c r="A204">
        <v>2142</v>
      </c>
      <c r="B204">
        <v>0</v>
      </c>
    </row>
    <row r="205" spans="1:2">
      <c r="A205">
        <v>2433</v>
      </c>
      <c r="B205">
        <v>0</v>
      </c>
    </row>
    <row r="206" spans="1:2">
      <c r="A206">
        <v>2206</v>
      </c>
      <c r="B206">
        <v>0</v>
      </c>
    </row>
    <row r="207" spans="1:2">
      <c r="A207">
        <v>2229</v>
      </c>
      <c r="B207">
        <v>0</v>
      </c>
    </row>
    <row r="208" spans="1:2">
      <c r="A208">
        <v>2210</v>
      </c>
      <c r="B208">
        <v>0</v>
      </c>
    </row>
    <row r="209" spans="1:2">
      <c r="A209">
        <v>3585</v>
      </c>
      <c r="B209">
        <v>0</v>
      </c>
    </row>
    <row r="210" spans="1:2">
      <c r="A210">
        <v>3595</v>
      </c>
      <c r="B210">
        <v>0</v>
      </c>
    </row>
    <row r="211" spans="1:2">
      <c r="A211">
        <v>3634</v>
      </c>
      <c r="B211">
        <v>0</v>
      </c>
    </row>
    <row r="212" spans="1:2">
      <c r="A212">
        <v>3589</v>
      </c>
      <c r="B212">
        <v>0</v>
      </c>
    </row>
    <row r="213" spans="1:2">
      <c r="A213">
        <v>2227</v>
      </c>
      <c r="B213">
        <v>0</v>
      </c>
    </row>
    <row r="214" spans="1:2">
      <c r="A214">
        <v>3153</v>
      </c>
      <c r="B21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EC4AF-3FA0-422B-9125-277963173D23}">
  <sheetPr codeName="Sheet3">
    <tabColor rgb="FF00B050"/>
  </sheetPr>
  <dimension ref="A1:B14"/>
  <sheetViews>
    <sheetView workbookViewId="0">
      <selection activeCell="B6" sqref="B6"/>
    </sheetView>
  </sheetViews>
  <sheetFormatPr baseColWidth="10" defaultColWidth="8.88671875" defaultRowHeight="14.4"/>
  <cols>
    <col min="1" max="1" width="3.88671875" customWidth="1"/>
  </cols>
  <sheetData>
    <row r="1" spans="1:2">
      <c r="A1" s="1" t="s">
        <v>778</v>
      </c>
    </row>
    <row r="3" spans="1:2">
      <c r="A3">
        <v>1</v>
      </c>
      <c r="B3" t="s">
        <v>779</v>
      </c>
    </row>
    <row r="4" spans="1:2">
      <c r="A4">
        <v>2</v>
      </c>
      <c r="B4" t="s">
        <v>780</v>
      </c>
    </row>
    <row r="5" spans="1:2">
      <c r="A5">
        <v>3</v>
      </c>
      <c r="B5" t="s">
        <v>789</v>
      </c>
    </row>
    <row r="6" spans="1:2">
      <c r="A6">
        <v>4</v>
      </c>
      <c r="B6" t="s">
        <v>787</v>
      </c>
    </row>
    <row r="7" spans="1:2">
      <c r="A7">
        <v>5</v>
      </c>
      <c r="B7" t="s">
        <v>782</v>
      </c>
    </row>
    <row r="8" spans="1:2">
      <c r="A8">
        <v>6</v>
      </c>
      <c r="B8" t="s">
        <v>783</v>
      </c>
    </row>
    <row r="10" spans="1:2">
      <c r="A10" s="1" t="s">
        <v>777</v>
      </c>
    </row>
    <row r="12" spans="1:2">
      <c r="A12">
        <v>1</v>
      </c>
      <c r="B12" t="s">
        <v>784</v>
      </c>
    </row>
    <row r="13" spans="1:2">
      <c r="A13">
        <v>2</v>
      </c>
      <c r="B13" t="s">
        <v>785</v>
      </c>
    </row>
    <row r="14" spans="1:2">
      <c r="A14">
        <v>3</v>
      </c>
      <c r="B14" t="s">
        <v>786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4A533-C67F-4759-824E-A071455F4344}">
  <sheetPr codeName="Hoja6"/>
  <dimension ref="A1:A6"/>
  <sheetViews>
    <sheetView workbookViewId="0">
      <selection activeCell="A4" sqref="A4"/>
    </sheetView>
  </sheetViews>
  <sheetFormatPr baseColWidth="10" defaultColWidth="11.5546875" defaultRowHeight="14.4"/>
  <cols>
    <col min="1" max="1" width="92.88671875" style="30" bestFit="1" customWidth="1"/>
  </cols>
  <sheetData>
    <row r="1" spans="1:1" ht="24.6">
      <c r="A1" s="29" t="s">
        <v>93</v>
      </c>
    </row>
    <row r="2" spans="1:1">
      <c r="A2" s="30" t="s">
        <v>90</v>
      </c>
    </row>
    <row r="4" spans="1:1" ht="82.8">
      <c r="A4" s="40" t="s">
        <v>92</v>
      </c>
    </row>
    <row r="6" spans="1:1">
      <c r="A6" s="39" t="s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44C62-7B20-44A1-8DCC-DF4EF1ED2C86}">
  <sheetPr codeName="Hoja7">
    <tabColor theme="8" tint="0.59999389629810485"/>
  </sheetPr>
  <dimension ref="A1:M59"/>
  <sheetViews>
    <sheetView showGridLines="0" tabSelected="1" zoomScale="85" zoomScaleNormal="85" workbookViewId="0">
      <selection activeCell="D22" sqref="D22"/>
    </sheetView>
  </sheetViews>
  <sheetFormatPr baseColWidth="10" defaultColWidth="11.5546875" defaultRowHeight="14.4"/>
  <cols>
    <col min="1" max="1" width="4.109375" customWidth="1"/>
    <col min="2" max="2" width="11" style="41" customWidth="1"/>
    <col min="3" max="3" width="83" bestFit="1" customWidth="1"/>
    <col min="4" max="4" width="28.88671875" bestFit="1" customWidth="1"/>
    <col min="5" max="5" width="11.44140625" customWidth="1"/>
    <col min="7" max="7" width="6.109375" bestFit="1" customWidth="1"/>
    <col min="8" max="8" width="26.109375" bestFit="1" customWidth="1"/>
    <col min="9" max="9" width="17.109375" style="61" bestFit="1" customWidth="1"/>
    <col min="13" max="13" width="7.109375" customWidth="1"/>
  </cols>
  <sheetData>
    <row r="1" spans="1:13" ht="15" customHeight="1"/>
    <row r="2" spans="1:13" ht="33.9" customHeight="1" thickBot="1">
      <c r="C2" s="43" t="s">
        <v>529</v>
      </c>
    </row>
    <row r="3" spans="1:13">
      <c r="A3" s="64"/>
      <c r="B3" s="65"/>
      <c r="C3" s="66"/>
      <c r="D3" s="66"/>
      <c r="E3" s="66"/>
      <c r="F3" s="66"/>
      <c r="G3" s="66"/>
      <c r="H3" s="66"/>
      <c r="I3" s="92"/>
      <c r="J3" s="66"/>
      <c r="K3" s="66"/>
      <c r="L3" s="66"/>
      <c r="M3" s="67"/>
    </row>
    <row r="4" spans="1:13" ht="18">
      <c r="A4" s="68"/>
      <c r="C4" s="69" t="s">
        <v>77</v>
      </c>
      <c r="M4" s="70"/>
    </row>
    <row r="5" spans="1:13">
      <c r="A5" s="68"/>
      <c r="C5" s="31" t="s">
        <v>76</v>
      </c>
      <c r="D5" s="35" t="s">
        <v>958</v>
      </c>
      <c r="M5" s="70"/>
    </row>
    <row r="6" spans="1:13">
      <c r="A6" s="68"/>
      <c r="C6" s="100" t="s">
        <v>948</v>
      </c>
      <c r="D6" s="101">
        <v>1</v>
      </c>
      <c r="M6" s="70"/>
    </row>
    <row r="7" spans="1:13">
      <c r="A7" s="68"/>
      <c r="C7" s="100" t="s">
        <v>790</v>
      </c>
      <c r="D7" s="101"/>
      <c r="M7" s="70"/>
    </row>
    <row r="8" spans="1:13">
      <c r="A8" s="68"/>
      <c r="C8" s="100" t="s">
        <v>791</v>
      </c>
      <c r="D8" s="101"/>
      <c r="M8" s="70"/>
    </row>
    <row r="9" spans="1:13">
      <c r="A9" s="68"/>
      <c r="C9" s="33"/>
      <c r="D9" s="34"/>
      <c r="M9" s="70"/>
    </row>
    <row r="10" spans="1:13" ht="18">
      <c r="A10" s="68"/>
      <c r="B10" s="41" t="s">
        <v>82</v>
      </c>
      <c r="C10" s="69" t="s">
        <v>101</v>
      </c>
      <c r="M10" s="70"/>
    </row>
    <row r="11" spans="1:13">
      <c r="A11" s="68"/>
      <c r="C11" s="32" t="s">
        <v>78</v>
      </c>
      <c r="M11" s="70"/>
    </row>
    <row r="12" spans="1:13">
      <c r="A12" s="68"/>
      <c r="C12" s="36" t="s">
        <v>959</v>
      </c>
      <c r="M12" s="70"/>
    </row>
    <row r="13" spans="1:13">
      <c r="A13" s="68"/>
      <c r="C13" s="36"/>
      <c r="M13" s="70"/>
    </row>
    <row r="14" spans="1:13">
      <c r="A14" s="68"/>
      <c r="C14" s="36"/>
      <c r="M14" s="70"/>
    </row>
    <row r="15" spans="1:13">
      <c r="A15" s="68"/>
      <c r="C15" s="36"/>
      <c r="M15" s="70"/>
    </row>
    <row r="16" spans="1:13">
      <c r="A16" s="68"/>
      <c r="M16" s="70"/>
    </row>
    <row r="17" spans="1:13" ht="18">
      <c r="A17" s="68"/>
      <c r="B17" s="41" t="s">
        <v>769</v>
      </c>
      <c r="C17" s="69" t="s">
        <v>518</v>
      </c>
      <c r="M17" s="70"/>
    </row>
    <row r="18" spans="1:13">
      <c r="A18" s="68"/>
      <c r="C18" s="32" t="s">
        <v>79</v>
      </c>
      <c r="D18" s="32" t="s">
        <v>81</v>
      </c>
      <c r="E18" s="32" t="s">
        <v>87</v>
      </c>
      <c r="F18" s="32" t="s">
        <v>85</v>
      </c>
      <c r="G18" s="32" t="s">
        <v>89</v>
      </c>
      <c r="H18" s="32" t="s">
        <v>766</v>
      </c>
      <c r="I18" s="93" t="s">
        <v>788</v>
      </c>
      <c r="M18" s="70"/>
    </row>
    <row r="19" spans="1:13">
      <c r="A19" s="68"/>
      <c r="C19" s="36" t="s">
        <v>80</v>
      </c>
      <c r="D19" s="36" t="s">
        <v>949</v>
      </c>
      <c r="E19" s="36"/>
      <c r="F19" s="36" t="s">
        <v>936</v>
      </c>
      <c r="G19" s="36">
        <v>1</v>
      </c>
      <c r="H19" s="83" t="s">
        <v>531</v>
      </c>
      <c r="I19" s="94"/>
      <c r="M19" s="70"/>
    </row>
    <row r="20" spans="1:13">
      <c r="A20" s="68"/>
      <c r="C20" s="36" t="s">
        <v>80</v>
      </c>
      <c r="D20" s="36" t="s">
        <v>949</v>
      </c>
      <c r="E20" s="36"/>
      <c r="F20" s="36" t="s">
        <v>953</v>
      </c>
      <c r="G20" s="36">
        <v>2</v>
      </c>
      <c r="H20" s="83" t="s">
        <v>531</v>
      </c>
      <c r="I20" s="94"/>
      <c r="M20" s="70"/>
    </row>
    <row r="21" spans="1:13">
      <c r="A21" s="68"/>
      <c r="C21" s="36" t="s">
        <v>80</v>
      </c>
      <c r="D21" s="36" t="s">
        <v>949</v>
      </c>
      <c r="E21" s="36"/>
      <c r="F21" s="36" t="s">
        <v>960</v>
      </c>
      <c r="G21" s="36">
        <v>3</v>
      </c>
      <c r="H21" s="83" t="s">
        <v>531</v>
      </c>
      <c r="I21" s="94"/>
      <c r="M21" s="70"/>
    </row>
    <row r="22" spans="1:13">
      <c r="A22" s="68"/>
      <c r="C22" s="36" t="s">
        <v>88</v>
      </c>
      <c r="D22" s="36" t="s">
        <v>1004</v>
      </c>
      <c r="E22" s="36"/>
      <c r="F22" s="36" t="s">
        <v>947</v>
      </c>
      <c r="G22" s="36">
        <v>4</v>
      </c>
      <c r="H22" s="83" t="s">
        <v>531</v>
      </c>
      <c r="I22" s="94"/>
      <c r="M22" s="70"/>
    </row>
    <row r="23" spans="1:13">
      <c r="A23" s="68"/>
      <c r="C23" s="36" t="s">
        <v>88</v>
      </c>
      <c r="D23" s="36" t="s">
        <v>1004</v>
      </c>
      <c r="E23" s="36"/>
      <c r="F23" s="36" t="s">
        <v>946</v>
      </c>
      <c r="G23" s="36">
        <v>5</v>
      </c>
      <c r="H23" s="83" t="s">
        <v>531</v>
      </c>
      <c r="I23" s="94"/>
      <c r="M23" s="70"/>
    </row>
    <row r="24" spans="1:13">
      <c r="A24" s="68"/>
      <c r="C24" s="36"/>
      <c r="D24" s="36"/>
      <c r="E24" s="36"/>
      <c r="F24" s="36"/>
      <c r="G24" s="36"/>
      <c r="H24" s="83"/>
      <c r="I24" s="94"/>
      <c r="M24" s="70"/>
    </row>
    <row r="25" spans="1:13">
      <c r="A25" s="68"/>
      <c r="C25" s="87"/>
      <c r="D25" s="87"/>
      <c r="E25" s="87"/>
      <c r="F25" s="87"/>
      <c r="G25" s="87"/>
      <c r="H25" s="88"/>
      <c r="I25" s="95"/>
      <c r="M25" s="70"/>
    </row>
    <row r="26" spans="1:13" hidden="1">
      <c r="A26" s="68"/>
      <c r="C26" s="36" t="s">
        <v>88</v>
      </c>
      <c r="D26" s="36" t="s">
        <v>99</v>
      </c>
      <c r="E26" s="36"/>
      <c r="F26" s="36" t="s">
        <v>94</v>
      </c>
      <c r="G26" s="36">
        <v>3</v>
      </c>
      <c r="H26" s="83" t="s">
        <v>771</v>
      </c>
      <c r="I26" s="94" t="s">
        <v>771</v>
      </c>
      <c r="M26" s="70"/>
    </row>
    <row r="27" spans="1:13" hidden="1">
      <c r="A27" s="68"/>
      <c r="C27" s="36" t="s">
        <v>80</v>
      </c>
      <c r="D27" s="36" t="s">
        <v>96</v>
      </c>
      <c r="E27" s="36"/>
      <c r="F27" s="36"/>
      <c r="G27" s="36">
        <v>4</v>
      </c>
      <c r="H27" s="83" t="s">
        <v>772</v>
      </c>
      <c r="I27" s="94" t="s">
        <v>772</v>
      </c>
      <c r="M27" s="70"/>
    </row>
    <row r="28" spans="1:13">
      <c r="A28" s="68"/>
      <c r="C28" s="38"/>
      <c r="D28" s="38"/>
      <c r="E28" s="38"/>
      <c r="M28" s="70"/>
    </row>
    <row r="29" spans="1:13" ht="18">
      <c r="A29" s="68"/>
      <c r="B29" s="41" t="s">
        <v>84</v>
      </c>
      <c r="C29" s="69" t="s">
        <v>519</v>
      </c>
      <c r="M29" s="70"/>
    </row>
    <row r="30" spans="1:13">
      <c r="A30" s="68"/>
      <c r="C30" s="32" t="s">
        <v>79</v>
      </c>
      <c r="D30" s="32"/>
      <c r="E30" s="32" t="s">
        <v>87</v>
      </c>
      <c r="M30" s="70"/>
    </row>
    <row r="31" spans="1:13">
      <c r="A31" s="68"/>
      <c r="C31" s="36" t="s">
        <v>961</v>
      </c>
      <c r="D31" s="36"/>
      <c r="E31" s="36"/>
      <c r="M31" s="70"/>
    </row>
    <row r="32" spans="1:13">
      <c r="A32" s="68"/>
      <c r="C32" s="36"/>
      <c r="D32" s="36"/>
      <c r="E32" s="36"/>
      <c r="M32" s="70"/>
    </row>
    <row r="33" spans="1:13">
      <c r="A33" s="68"/>
      <c r="C33" s="36"/>
      <c r="D33" s="36"/>
      <c r="E33" s="36"/>
      <c r="M33" s="70"/>
    </row>
    <row r="34" spans="1:13">
      <c r="A34" s="68"/>
      <c r="C34" s="36"/>
      <c r="D34" s="36"/>
      <c r="E34" s="36"/>
      <c r="M34" s="70"/>
    </row>
    <row r="35" spans="1:13">
      <c r="A35" s="68"/>
      <c r="M35" s="70"/>
    </row>
    <row r="36" spans="1:13" ht="18">
      <c r="A36" s="68"/>
      <c r="B36" s="41" t="s">
        <v>83</v>
      </c>
      <c r="C36" s="69" t="s">
        <v>520</v>
      </c>
      <c r="M36" s="70"/>
    </row>
    <row r="37" spans="1:13">
      <c r="A37" s="68"/>
      <c r="C37" s="32" t="s">
        <v>79</v>
      </c>
      <c r="D37" s="32" t="s">
        <v>81</v>
      </c>
      <c r="E37" s="32" t="s">
        <v>87</v>
      </c>
      <c r="F37" s="32" t="s">
        <v>85</v>
      </c>
      <c r="G37" s="32" t="s">
        <v>89</v>
      </c>
      <c r="H37" s="32" t="s">
        <v>766</v>
      </c>
      <c r="I37" s="93" t="s">
        <v>766</v>
      </c>
      <c r="M37" s="70"/>
    </row>
    <row r="38" spans="1:13">
      <c r="A38" s="68"/>
      <c r="C38" s="36" t="s">
        <v>80</v>
      </c>
      <c r="D38" s="36" t="s">
        <v>937</v>
      </c>
      <c r="E38" s="36"/>
      <c r="F38" s="36" t="s">
        <v>936</v>
      </c>
      <c r="G38" s="36">
        <v>6</v>
      </c>
      <c r="H38" s="83" t="s">
        <v>531</v>
      </c>
      <c r="I38" s="94" t="s">
        <v>770</v>
      </c>
      <c r="M38" s="70"/>
    </row>
    <row r="39" spans="1:13">
      <c r="A39" s="68"/>
      <c r="C39" s="36" t="s">
        <v>80</v>
      </c>
      <c r="D39" s="36" t="s">
        <v>938</v>
      </c>
      <c r="E39" s="36"/>
      <c r="F39" s="36" t="s">
        <v>936</v>
      </c>
      <c r="G39" s="36">
        <v>7</v>
      </c>
      <c r="H39" s="83" t="s">
        <v>531</v>
      </c>
      <c r="I39" s="94" t="s">
        <v>770</v>
      </c>
      <c r="M39" s="70"/>
    </row>
    <row r="40" spans="1:13">
      <c r="A40" s="68"/>
      <c r="C40" s="36" t="s">
        <v>80</v>
      </c>
      <c r="D40" s="36" t="s">
        <v>939</v>
      </c>
      <c r="E40" s="36"/>
      <c r="F40" s="36" t="s">
        <v>936</v>
      </c>
      <c r="G40" s="36">
        <v>8</v>
      </c>
      <c r="H40" s="83" t="s">
        <v>531</v>
      </c>
      <c r="I40" s="94" t="s">
        <v>770</v>
      </c>
      <c r="M40" s="70"/>
    </row>
    <row r="41" spans="1:13">
      <c r="A41" s="68"/>
      <c r="C41" s="36" t="s">
        <v>80</v>
      </c>
      <c r="D41" s="36" t="s">
        <v>935</v>
      </c>
      <c r="E41" s="36"/>
      <c r="F41" s="36" t="s">
        <v>936</v>
      </c>
      <c r="G41" s="36">
        <v>9</v>
      </c>
      <c r="H41" s="83" t="s">
        <v>531</v>
      </c>
      <c r="I41" s="94"/>
      <c r="K41" t="s">
        <v>945</v>
      </c>
      <c r="M41" s="70"/>
    </row>
    <row r="42" spans="1:13">
      <c r="A42" s="68"/>
      <c r="C42" s="36"/>
      <c r="D42" s="36"/>
      <c r="E42" s="36"/>
      <c r="F42" s="36"/>
      <c r="G42" s="36"/>
      <c r="H42" s="83"/>
      <c r="I42" s="94"/>
      <c r="K42" t="s">
        <v>936</v>
      </c>
      <c r="M42" s="70"/>
    </row>
    <row r="43" spans="1:13">
      <c r="A43" s="68"/>
      <c r="C43" s="36"/>
      <c r="D43" s="36"/>
      <c r="E43" s="36"/>
      <c r="F43" s="36"/>
      <c r="G43" s="36"/>
      <c r="H43" s="83"/>
      <c r="I43" s="94"/>
      <c r="K43" t="s">
        <v>950</v>
      </c>
      <c r="M43" s="70"/>
    </row>
    <row r="44" spans="1:13">
      <c r="A44" s="68"/>
      <c r="C44" s="36"/>
      <c r="D44" s="36"/>
      <c r="E44" s="36"/>
      <c r="F44" s="36"/>
      <c r="G44" s="36"/>
      <c r="H44" s="83"/>
      <c r="I44" s="94"/>
      <c r="K44" t="s">
        <v>946</v>
      </c>
      <c r="M44" s="70"/>
    </row>
    <row r="45" spans="1:13">
      <c r="A45" s="68"/>
      <c r="C45" s="38"/>
      <c r="D45" s="38"/>
      <c r="E45" s="38"/>
      <c r="K45" t="s">
        <v>947</v>
      </c>
      <c r="M45" s="70"/>
    </row>
    <row r="46" spans="1:13" ht="18">
      <c r="A46" s="68"/>
      <c r="B46" s="41" t="s">
        <v>95</v>
      </c>
      <c r="C46" s="69" t="s">
        <v>521</v>
      </c>
      <c r="M46" s="70"/>
    </row>
    <row r="47" spans="1:13">
      <c r="A47" s="68"/>
      <c r="C47" s="32" t="s">
        <v>79</v>
      </c>
      <c r="D47" s="32" t="s">
        <v>81</v>
      </c>
      <c r="E47" s="32" t="s">
        <v>87</v>
      </c>
      <c r="F47" s="32" t="s">
        <v>85</v>
      </c>
      <c r="G47" s="32" t="s">
        <v>89</v>
      </c>
      <c r="H47" s="32" t="s">
        <v>97</v>
      </c>
      <c r="I47" s="93" t="s">
        <v>97</v>
      </c>
      <c r="M47" s="70"/>
    </row>
    <row r="48" spans="1:13" hidden="1">
      <c r="A48" s="68"/>
      <c r="C48" s="36" t="s">
        <v>80</v>
      </c>
      <c r="D48" s="36" t="s">
        <v>98</v>
      </c>
      <c r="E48" s="36"/>
      <c r="F48" s="36" t="s">
        <v>86</v>
      </c>
      <c r="G48" s="36">
        <v>12</v>
      </c>
      <c r="H48" s="36">
        <v>3</v>
      </c>
      <c r="I48" s="79">
        <v>3</v>
      </c>
      <c r="M48" s="70"/>
    </row>
    <row r="49" spans="1:13">
      <c r="A49" s="68"/>
      <c r="C49" s="36"/>
      <c r="D49" s="36"/>
      <c r="E49" s="36"/>
      <c r="F49" s="36"/>
      <c r="G49" s="36"/>
      <c r="H49" s="36"/>
      <c r="I49" s="79"/>
      <c r="M49" s="70"/>
    </row>
    <row r="50" spans="1:13">
      <c r="A50" s="68"/>
      <c r="C50" s="36"/>
      <c r="D50" s="36"/>
      <c r="E50" s="36"/>
      <c r="F50" s="36"/>
      <c r="G50" s="36"/>
      <c r="H50" s="36"/>
      <c r="I50" s="79"/>
      <c r="M50" s="70"/>
    </row>
    <row r="51" spans="1:13">
      <c r="A51" s="68"/>
      <c r="C51" s="37"/>
      <c r="D51" s="37"/>
      <c r="E51" s="37"/>
      <c r="F51" s="37"/>
      <c r="G51" s="36"/>
      <c r="H51" s="36"/>
      <c r="I51" s="79"/>
      <c r="M51" s="70"/>
    </row>
    <row r="52" spans="1:13">
      <c r="A52" s="68"/>
      <c r="C52" s="37"/>
      <c r="D52" s="37"/>
      <c r="E52" s="37"/>
      <c r="F52" s="37"/>
      <c r="G52" s="36"/>
      <c r="H52" s="36"/>
      <c r="I52" s="79"/>
      <c r="M52" s="70"/>
    </row>
    <row r="53" spans="1:13">
      <c r="A53" s="68"/>
      <c r="M53" s="70"/>
    </row>
    <row r="54" spans="1:13" ht="18">
      <c r="A54" s="68"/>
      <c r="B54" s="41" t="s">
        <v>767</v>
      </c>
      <c r="C54" s="69" t="s">
        <v>100</v>
      </c>
      <c r="M54" s="70"/>
    </row>
    <row r="55" spans="1:13">
      <c r="A55" s="68"/>
      <c r="C55" s="32" t="s">
        <v>79</v>
      </c>
      <c r="D55" s="32" t="s">
        <v>81</v>
      </c>
      <c r="E55" s="32" t="s">
        <v>87</v>
      </c>
      <c r="M55" s="70"/>
    </row>
    <row r="56" spans="1:13">
      <c r="A56" s="68"/>
      <c r="C56" s="36"/>
      <c r="D56" s="36"/>
      <c r="E56" s="36"/>
      <c r="M56" s="70"/>
    </row>
    <row r="57" spans="1:13">
      <c r="A57" s="68"/>
      <c r="C57" s="36"/>
      <c r="D57" s="36"/>
      <c r="E57" s="36"/>
      <c r="M57" s="70"/>
    </row>
    <row r="58" spans="1:13">
      <c r="A58" s="68"/>
      <c r="M58" s="70"/>
    </row>
    <row r="59" spans="1:13" ht="15" thickBot="1">
      <c r="A59" s="71"/>
      <c r="B59" s="72"/>
      <c r="C59" s="73"/>
      <c r="D59" s="73"/>
      <c r="E59" s="73"/>
      <c r="F59" s="73"/>
      <c r="G59" s="73"/>
      <c r="H59" s="73"/>
      <c r="I59" s="96"/>
      <c r="J59" s="73"/>
      <c r="K59" s="73"/>
      <c r="L59" s="73"/>
      <c r="M59" s="74"/>
    </row>
  </sheetData>
  <phoneticPr fontId="3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GetWEAP_WattQuery">
                <anchor moveWithCells="1" sizeWithCells="1">
                  <from>
                    <xdr:col>9</xdr:col>
                    <xdr:colOff>0</xdr:colOff>
                    <xdr:row>10</xdr:row>
                    <xdr:rowOff>30480</xdr:rowOff>
                  </from>
                  <to>
                    <xdr:col>11</xdr:col>
                    <xdr:colOff>754380</xdr:colOff>
                    <xdr:row>13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68B7D-2633-45C0-ABDC-E0CDEBE0FAE3}">
  <sheetPr codeName="Hoja8">
    <tabColor theme="8" tint="0.59999389629810485"/>
  </sheetPr>
  <dimension ref="B1:B11"/>
  <sheetViews>
    <sheetView showGridLines="0" showRowColHeaders="0" zoomScale="115" zoomScaleNormal="115" workbookViewId="0">
      <selection activeCell="K25" sqref="K25"/>
    </sheetView>
  </sheetViews>
  <sheetFormatPr baseColWidth="10" defaultColWidth="11" defaultRowHeight="13.8"/>
  <cols>
    <col min="1" max="1" width="5.88671875" style="44" customWidth="1"/>
    <col min="2" max="4" width="11" style="44"/>
    <col min="5" max="5" width="3" style="44" customWidth="1"/>
    <col min="6" max="7" width="11" style="44"/>
    <col min="8" max="8" width="9.88671875" style="44" customWidth="1"/>
    <col min="9" max="9" width="3.109375" style="44" customWidth="1"/>
    <col min="10" max="12" width="11" style="44"/>
    <col min="13" max="13" width="2.109375" style="44" customWidth="1"/>
    <col min="14" max="16384" width="11" style="44"/>
  </cols>
  <sheetData>
    <row r="1" spans="2:2" ht="48.9" customHeight="1">
      <c r="B1" s="43" t="s">
        <v>530</v>
      </c>
    </row>
    <row r="2" spans="2:2" ht="35.1" customHeight="1"/>
    <row r="3" spans="2:2" ht="50.25" customHeight="1"/>
    <row r="11" spans="2:2">
      <c r="B11" s="8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WaTT_WEAP_Query.getWEAP_Rivers2UsersTopology">
                <anchor moveWithCells="1" sizeWithCells="1">
                  <from>
                    <xdr:col>9</xdr:col>
                    <xdr:colOff>0</xdr:colOff>
                    <xdr:row>6</xdr:row>
                    <xdr:rowOff>160020</xdr:rowOff>
                  </from>
                  <to>
                    <xdr:col>11</xdr:col>
                    <xdr:colOff>754380</xdr:colOff>
                    <xdr:row>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WaTT_WEAP_Query.getWEAP_CatchmentsRiverTopology">
                <anchor moveWithCells="1" sizeWithCells="1">
                  <from>
                    <xdr:col>0</xdr:col>
                    <xdr:colOff>411480</xdr:colOff>
                    <xdr:row>7</xdr:row>
                    <xdr:rowOff>7620</xdr:rowOff>
                  </from>
                  <to>
                    <xdr:col>4</xdr:col>
                    <xdr:colOff>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getWEAP_RiverReachTopology">
                <anchor moveWithCells="1" sizeWithCells="1">
                  <from>
                    <xdr:col>4</xdr:col>
                    <xdr:colOff>373380</xdr:colOff>
                    <xdr:row>6</xdr:row>
                    <xdr:rowOff>160020</xdr:rowOff>
                  </from>
                  <to>
                    <xdr:col>7</xdr:col>
                    <xdr:colOff>685800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Update_WEAP_Topologies">
                <anchor moveWithCells="1" sizeWithCells="1">
                  <from>
                    <xdr:col>0</xdr:col>
                    <xdr:colOff>411480</xdr:colOff>
                    <xdr:row>0</xdr:row>
                    <xdr:rowOff>609600</xdr:rowOff>
                  </from>
                  <to>
                    <xdr:col>15</xdr:col>
                    <xdr:colOff>647700</xdr:colOff>
                    <xdr:row>1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getWEAP_Barriers">
                <anchor moveWithCells="1" sizeWithCells="1">
                  <from>
                    <xdr:col>13</xdr:col>
                    <xdr:colOff>0</xdr:colOff>
                    <xdr:row>6</xdr:row>
                    <xdr:rowOff>152400</xdr:rowOff>
                  </from>
                  <to>
                    <xdr:col>15</xdr:col>
                    <xdr:colOff>563880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utton 6">
              <controlPr defaultSize="0" print="0" autoFill="0" autoPict="0" macro="[0]!CompileTopology">
                <anchor moveWithCells="1" sizeWithCells="1">
                  <from>
                    <xdr:col>1</xdr:col>
                    <xdr:colOff>30480</xdr:colOff>
                    <xdr:row>11</xdr:row>
                    <xdr:rowOff>182880</xdr:rowOff>
                  </from>
                  <to>
                    <xdr:col>15</xdr:col>
                    <xdr:colOff>601980</xdr:colOff>
                    <xdr:row>14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4F6FF-C298-4FFE-A7C1-96F15959A7E1}">
  <sheetPr codeName="Hoja13">
    <tabColor theme="8" tint="0.59999389629810485"/>
  </sheetPr>
  <dimension ref="A1:O1032"/>
  <sheetViews>
    <sheetView zoomScale="85" zoomScaleNormal="85" workbookViewId="0">
      <selection activeCell="H15" sqref="H15"/>
    </sheetView>
  </sheetViews>
  <sheetFormatPr baseColWidth="10" defaultColWidth="11.5546875" defaultRowHeight="14.4"/>
  <cols>
    <col min="1" max="1" width="14.77734375" style="3" customWidth="1"/>
    <col min="2" max="2" width="16.44140625" style="3" customWidth="1"/>
    <col min="3" max="3" width="38.109375" style="3" bestFit="1" customWidth="1"/>
    <col min="4" max="4" width="19" style="15" bestFit="1" customWidth="1"/>
    <col min="5" max="5" width="23" style="15" customWidth="1"/>
    <col min="6" max="6" width="24.44140625" style="15" customWidth="1"/>
    <col min="7" max="7" width="17" style="15" bestFit="1" customWidth="1"/>
    <col min="8" max="8" width="27.44140625" style="15" bestFit="1" customWidth="1"/>
    <col min="9" max="9" width="27.44140625" style="5" bestFit="1" customWidth="1"/>
    <col min="10" max="10" width="27.44140625" style="5" customWidth="1"/>
    <col min="11" max="11" width="27.109375" style="5" customWidth="1"/>
    <col min="12" max="12" width="27.109375" customWidth="1"/>
  </cols>
  <sheetData>
    <row r="1" spans="1:15">
      <c r="A1"/>
      <c r="B1"/>
      <c r="C1"/>
      <c r="H1" s="15" t="s">
        <v>531</v>
      </c>
      <c r="I1" s="15" t="s">
        <v>531</v>
      </c>
      <c r="J1" s="15" t="s">
        <v>531</v>
      </c>
      <c r="K1" s="15" t="s">
        <v>531</v>
      </c>
      <c r="L1" s="15" t="s">
        <v>531</v>
      </c>
    </row>
    <row r="2" spans="1:15" s="49" customFormat="1" ht="38.85" customHeight="1">
      <c r="A2" s="53" t="s">
        <v>13</v>
      </c>
      <c r="B2" s="53" t="s">
        <v>8</v>
      </c>
      <c r="C2" s="53" t="s">
        <v>114</v>
      </c>
      <c r="D2" s="53" t="s">
        <v>80</v>
      </c>
      <c r="E2" s="62"/>
      <c r="F2" s="53"/>
      <c r="G2" s="50" t="s">
        <v>515</v>
      </c>
      <c r="H2" s="52" t="s">
        <v>937</v>
      </c>
      <c r="I2" s="52" t="s">
        <v>938</v>
      </c>
      <c r="J2" s="52" t="s">
        <v>939</v>
      </c>
      <c r="K2" s="52" t="s">
        <v>935</v>
      </c>
      <c r="L2" s="52" t="s">
        <v>949</v>
      </c>
    </row>
    <row r="3" spans="1:15">
      <c r="A3" s="3">
        <v>66</v>
      </c>
      <c r="B3" s="3">
        <v>116</v>
      </c>
      <c r="C3" s="3" t="s">
        <v>987</v>
      </c>
      <c r="D3" s="53" t="str">
        <f>IF(ISERROR(VLOOKUP(C3,WEAP_Catchment_Topology!$A$2:$B$6,2,FALSE)),"",VLOOKUP(C3,WEAP_Catchment_Topology!$A$2:$B$6,2,FALSE))</f>
        <v/>
      </c>
      <c r="E3" s="42"/>
      <c r="F3" s="42"/>
      <c r="G3" s="51"/>
      <c r="H3" s="99">
        <f>IFERROR(GETPIVOTDATA("Value",TD_WEAP_RAW!$A$3,"Variable",H$2,"Escenario",H$1,"Branch","Demand Sites and Catchments\"&amp;$D3),0)</f>
        <v>0</v>
      </c>
      <c r="I3" s="99">
        <f>IFERROR(GETPIVOTDATA("Value",TD_WEAP_RAW!$A$3,"Variable",I$2,"Escenario",I$1,"Branch","Demand Sites and Catchments\"&amp;$D3),0)</f>
        <v>0</v>
      </c>
      <c r="J3" s="99">
        <f>IFERROR(GETPIVOTDATA("Value",TD_WEAP_RAW!$A$3,"Variable",J$2,"Escenario",J$1,"Branch","Demand Sites and Catchments\"&amp;$D3),0)</f>
        <v>0</v>
      </c>
      <c r="K3" s="99">
        <f>IFERROR(GETPIVOTDATA("Value",TD_WEAP_RAW!$A$3,"Variable",K$2,"Escenario",K$1,"Branch","Demand Sites and Catchments\"&amp;$D3),0)</f>
        <v>0</v>
      </c>
      <c r="L3" s="99">
        <f>IFERROR(GETPIVOTDATA("Value",TD_WEAP_RAW!$A$3,"Variable",L$2,"Escenario",L$1,"Branch","Demand Sites and Catchments\"&amp;$D3),0)</f>
        <v>0</v>
      </c>
    </row>
    <row r="4" spans="1:15">
      <c r="A4" s="3">
        <v>116</v>
      </c>
      <c r="B4" s="3">
        <v>108</v>
      </c>
      <c r="C4" s="3" t="s">
        <v>984</v>
      </c>
      <c r="D4" s="53" t="str">
        <f>IF(ISERROR(VLOOKUP(C4,WEAP_Catchment_Topology!$A$2:$B$6,2,FALSE)),"",VLOOKUP(C4,WEAP_Catchment_Topology!$A$2:$B$6,2,FALSE))</f>
        <v>Catchment 1</v>
      </c>
      <c r="E4" s="42"/>
      <c r="F4" s="42"/>
      <c r="G4" s="51"/>
      <c r="H4" s="99">
        <f>IFERROR(GETPIVOTDATA("Value",TD_WEAP_RAW!$A$3,"Variable",H$2,"Escenario",H$1,"Branch","Demand Sites and Catchments\"&amp;$D4),0)</f>
        <v>606774</v>
      </c>
      <c r="I4" s="99">
        <f>IFERROR(GETPIVOTDATA("Value",TD_WEAP_RAW!$A$3,"Variable",I$2,"Escenario",I$1,"Branch","Demand Sites and Catchments\"&amp;$D4),0)</f>
        <v>3974328</v>
      </c>
      <c r="J4" s="99">
        <f>IFERROR(GETPIVOTDATA("Value",TD_WEAP_RAW!$A$3,"Variable",J$2,"Escenario",J$1,"Branch","Demand Sites and Catchments\"&amp;$D4),0)</f>
        <v>118504</v>
      </c>
      <c r="K4" s="99">
        <f>IFERROR(GETPIVOTDATA("Value",TD_WEAP_RAW!$A$3,"Variable",K$2,"Escenario",K$1,"Branch","Demand Sites and Catchments\"&amp;$D4),0)</f>
        <v>14044712</v>
      </c>
      <c r="L4" s="99">
        <f>IFERROR(GETPIVOTDATA("Value",TD_WEAP_RAW!$A$3,"Variable",L$2,"Escenario",L$1,"Branch","Demand Sites and Catchments\"&amp;$D4),0)</f>
        <v>278.70119999999997</v>
      </c>
    </row>
    <row r="5" spans="1:15">
      <c r="A5" s="3">
        <v>108</v>
      </c>
      <c r="B5" s="3">
        <v>122</v>
      </c>
      <c r="C5" s="3" t="s">
        <v>990</v>
      </c>
      <c r="D5" s="53" t="str">
        <f>IF(ISERROR(VLOOKUP(C5,WEAP_Catchment_Topology!$A$2:$B$6,2,FALSE)),"",VLOOKUP(C5,WEAP_Catchment_Topology!$A$2:$B$6,2,FALSE))</f>
        <v/>
      </c>
      <c r="E5" s="42"/>
      <c r="F5" s="42"/>
      <c r="G5" s="51"/>
      <c r="H5" s="99">
        <f>IFERROR(GETPIVOTDATA("Value",TD_WEAP_RAW!$A$3,"Variable",H$2,"Escenario",H$1,"Branch","Demand Sites and Catchments\"&amp;$D5),0)</f>
        <v>0</v>
      </c>
      <c r="I5" s="99">
        <f>IFERROR(GETPIVOTDATA("Value",TD_WEAP_RAW!$A$3,"Variable",I$2,"Escenario",I$1,"Branch","Demand Sites and Catchments\"&amp;$D5),0)</f>
        <v>0</v>
      </c>
      <c r="J5" s="99">
        <f>IFERROR(GETPIVOTDATA("Value",TD_WEAP_RAW!$A$3,"Variable",J$2,"Escenario",J$1,"Branch","Demand Sites and Catchments\"&amp;$D5),0)</f>
        <v>0</v>
      </c>
      <c r="K5" s="99">
        <f>IFERROR(GETPIVOTDATA("Value",TD_WEAP_RAW!$A$3,"Variable",K$2,"Escenario",K$1,"Branch","Demand Sites and Catchments\"&amp;$D5),0)</f>
        <v>0</v>
      </c>
      <c r="L5" s="99">
        <f>IFERROR(GETPIVOTDATA("Value",TD_WEAP_RAW!$A$3,"Variable",L$2,"Escenario",L$1,"Branch","Demand Sites and Catchments\"&amp;$D5),0)</f>
        <v>0</v>
      </c>
      <c r="M5" s="38"/>
      <c r="N5" s="38"/>
      <c r="O5" s="38"/>
    </row>
    <row r="6" spans="1:15">
      <c r="A6" s="3">
        <v>122</v>
      </c>
      <c r="B6" s="3">
        <v>87</v>
      </c>
      <c r="C6" s="3" t="s">
        <v>986</v>
      </c>
      <c r="D6" s="53" t="str">
        <f>IF(ISERROR(VLOOKUP(C6,WEAP_Catchment_Topology!$A$2:$B$6,2,FALSE)),"",VLOOKUP(C6,WEAP_Catchment_Topology!$A$2:$B$6,2,FALSE))</f>
        <v>Catchment 3</v>
      </c>
      <c r="E6" s="42"/>
      <c r="F6" s="42"/>
      <c r="G6" s="51"/>
      <c r="H6" s="99">
        <f>IFERROR(GETPIVOTDATA("Value",TD_WEAP_RAW!$A$3,"Variable",H$2,"Escenario",H$1,"Branch","Demand Sites and Catchments\"&amp;$D6),0)</f>
        <v>362652</v>
      </c>
      <c r="I6" s="99">
        <f>IFERROR(GETPIVOTDATA("Value",TD_WEAP_RAW!$A$3,"Variable",I$2,"Escenario",I$1,"Branch","Demand Sites and Catchments\"&amp;$D6),0)</f>
        <v>2188632</v>
      </c>
      <c r="J6" s="99">
        <f>IFERROR(GETPIVOTDATA("Value",TD_WEAP_RAW!$A$3,"Variable",J$2,"Escenario",J$1,"Branch","Demand Sites and Catchments\"&amp;$D6),0)</f>
        <v>70382.100000000006</v>
      </c>
      <c r="K6" s="99">
        <f>IFERROR(GETPIVOTDATA("Value",TD_WEAP_RAW!$A$3,"Variable",K$2,"Escenario",K$1,"Branch","Demand Sites and Catchments\"&amp;$D6),0)</f>
        <v>8803160</v>
      </c>
      <c r="L6" s="99">
        <f>IFERROR(GETPIVOTDATA("Value",TD_WEAP_RAW!$A$3,"Variable",L$2,"Escenario",L$1,"Branch","Demand Sites and Catchments\"&amp;$D6),0)</f>
        <v>264.5521</v>
      </c>
    </row>
    <row r="7" spans="1:15">
      <c r="A7" s="3">
        <v>87</v>
      </c>
      <c r="B7" s="3">
        <v>125</v>
      </c>
      <c r="C7" s="3" t="s">
        <v>993</v>
      </c>
      <c r="D7" s="53" t="str">
        <f>IF(ISERROR(VLOOKUP(C7,WEAP_Catchment_Topology!$A$2:$B$6,2,FALSE)),"",VLOOKUP(C7,WEAP_Catchment_Topology!$A$2:$B$6,2,FALSE))</f>
        <v/>
      </c>
      <c r="E7" s="42"/>
      <c r="F7" s="42"/>
      <c r="G7" s="51"/>
      <c r="H7" s="99">
        <f>IFERROR(GETPIVOTDATA("Value",TD_WEAP_RAW!$A$3,"Variable",H$2,"Escenario",H$1,"Branch","Demand Sites and Catchments\"&amp;$D7),0)</f>
        <v>0</v>
      </c>
      <c r="I7" s="99">
        <f>IFERROR(GETPIVOTDATA("Value",TD_WEAP_RAW!$A$3,"Variable",I$2,"Escenario",I$1,"Branch","Demand Sites and Catchments\"&amp;$D7),0)</f>
        <v>0</v>
      </c>
      <c r="J7" s="99">
        <f>IFERROR(GETPIVOTDATA("Value",TD_WEAP_RAW!$A$3,"Variable",J$2,"Escenario",J$1,"Branch","Demand Sites and Catchments\"&amp;$D7),0)</f>
        <v>0</v>
      </c>
      <c r="K7" s="99">
        <f>IFERROR(GETPIVOTDATA("Value",TD_WEAP_RAW!$A$3,"Variable",K$2,"Escenario",K$1,"Branch","Demand Sites and Catchments\"&amp;$D7),0)</f>
        <v>0</v>
      </c>
      <c r="L7" s="99">
        <f>IFERROR(GETPIVOTDATA("Value",TD_WEAP_RAW!$A$3,"Variable",L$2,"Escenario",L$1,"Branch","Demand Sites and Catchments\"&amp;$D7),0)</f>
        <v>0</v>
      </c>
    </row>
    <row r="8" spans="1:15">
      <c r="A8" s="3">
        <v>125</v>
      </c>
      <c r="B8" s="3">
        <v>68</v>
      </c>
      <c r="C8" s="3" t="s">
        <v>995</v>
      </c>
      <c r="D8" s="53" t="str">
        <f>IF(ISERROR(VLOOKUP(C8,WEAP_Catchment_Topology!$A$2:$B$6,2,FALSE)),"",VLOOKUP(C8,WEAP_Catchment_Topology!$A$2:$B$6,2,FALSE))</f>
        <v/>
      </c>
      <c r="E8" s="42"/>
      <c r="F8" s="42"/>
      <c r="G8" s="51"/>
      <c r="H8" s="99">
        <f>IFERROR(GETPIVOTDATA("Value",TD_WEAP_RAW!$A$3,"Variable",H$2,"Escenario",H$1,"Branch","Demand Sites and Catchments\"&amp;$D8),0)</f>
        <v>0</v>
      </c>
      <c r="I8" s="99">
        <f>IFERROR(GETPIVOTDATA("Value",TD_WEAP_RAW!$A$3,"Variable",I$2,"Escenario",I$1,"Branch","Demand Sites and Catchments\"&amp;$D8),0)</f>
        <v>0</v>
      </c>
      <c r="J8" s="99">
        <f>IFERROR(GETPIVOTDATA("Value",TD_WEAP_RAW!$A$3,"Variable",J$2,"Escenario",J$1,"Branch","Demand Sites and Catchments\"&amp;$D8),0)</f>
        <v>0</v>
      </c>
      <c r="K8" s="99">
        <f>IFERROR(GETPIVOTDATA("Value",TD_WEAP_RAW!$A$3,"Variable",K$2,"Escenario",K$1,"Branch","Demand Sites and Catchments\"&amp;$D8),0)</f>
        <v>0</v>
      </c>
      <c r="L8" s="99">
        <f>IFERROR(GETPIVOTDATA("Value",TD_WEAP_RAW!$A$3,"Variable",L$2,"Escenario",L$1,"Branch","Demand Sites and Catchments\"&amp;$D8),0)</f>
        <v>0</v>
      </c>
    </row>
    <row r="9" spans="1:15">
      <c r="A9" s="3">
        <v>68</v>
      </c>
      <c r="C9" s="3" t="s">
        <v>978</v>
      </c>
      <c r="D9" s="53" t="str">
        <f>IF(ISERROR(VLOOKUP(C9,WEAP_Catchment_Topology!$A$2:$B$6,2,FALSE)),"",VLOOKUP(C9,WEAP_Catchment_Topology!$A$2:$B$6,2,FALSE))</f>
        <v>Catchment 5</v>
      </c>
      <c r="E9" s="42"/>
      <c r="F9" s="42"/>
      <c r="G9" s="51"/>
      <c r="H9" s="99">
        <f>IFERROR(GETPIVOTDATA("Value",TD_WEAP_RAW!$A$3,"Variable",H$2,"Escenario",H$1,"Branch","Demand Sites and Catchments\"&amp;$D9),0)</f>
        <v>659876</v>
      </c>
      <c r="I9" s="99">
        <f>IFERROR(GETPIVOTDATA("Value",TD_WEAP_RAW!$A$3,"Variable",I$2,"Escenario",I$1,"Branch","Demand Sites and Catchments\"&amp;$D9),0)</f>
        <v>4813750</v>
      </c>
      <c r="J9" s="99">
        <f>IFERROR(GETPIVOTDATA("Value",TD_WEAP_RAW!$A$3,"Variable",J$2,"Escenario",J$1,"Branch","Demand Sites and Catchments\"&amp;$D9),0)</f>
        <v>130100</v>
      </c>
      <c r="K9" s="99">
        <f>IFERROR(GETPIVOTDATA("Value",TD_WEAP_RAW!$A$3,"Variable",K$2,"Escenario",K$1,"Branch","Demand Sites and Catchments\"&amp;$D9),0)</f>
        <v>14121162</v>
      </c>
      <c r="L9" s="99">
        <f>IFERROR(GETPIVOTDATA("Value",TD_WEAP_RAW!$A$3,"Variable",L$2,"Escenario",L$1,"Branch","Demand Sites and Catchments\"&amp;$D9),0)</f>
        <v>329.85599999999999</v>
      </c>
    </row>
    <row r="10" spans="1:15">
      <c r="A10" s="3">
        <v>85</v>
      </c>
      <c r="B10" s="3">
        <v>89</v>
      </c>
      <c r="C10" s="3" t="s">
        <v>997</v>
      </c>
      <c r="D10" s="53" t="str">
        <f>IF(ISERROR(VLOOKUP(C10,WEAP_Catchment_Topology!$A$2:$B$6,2,FALSE)),"",VLOOKUP(C10,WEAP_Catchment_Topology!$A$2:$B$6,2,FALSE))</f>
        <v/>
      </c>
      <c r="E10" s="42"/>
      <c r="F10" s="42"/>
      <c r="G10" s="51"/>
      <c r="H10" s="99">
        <f>IFERROR(GETPIVOTDATA("Value",TD_WEAP_RAW!$A$3,"Variable",H$2,"Escenario",H$1,"Branch","Demand Sites and Catchments\"&amp;$D10),0)</f>
        <v>0</v>
      </c>
      <c r="I10" s="99">
        <f>IFERROR(GETPIVOTDATA("Value",TD_WEAP_RAW!$A$3,"Variable",I$2,"Escenario",I$1,"Branch","Demand Sites and Catchments\"&amp;$D10),0)</f>
        <v>0</v>
      </c>
      <c r="J10" s="99">
        <f>IFERROR(GETPIVOTDATA("Value",TD_WEAP_RAW!$A$3,"Variable",J$2,"Escenario",J$1,"Branch","Demand Sites and Catchments\"&amp;$D10),0)</f>
        <v>0</v>
      </c>
      <c r="K10" s="99">
        <f>IFERROR(GETPIVOTDATA("Value",TD_WEAP_RAW!$A$3,"Variable",K$2,"Escenario",K$1,"Branch","Demand Sites and Catchments\"&amp;$D10),0)</f>
        <v>0</v>
      </c>
      <c r="L10" s="99">
        <f>IFERROR(GETPIVOTDATA("Value",TD_WEAP_RAW!$A$3,"Variable",L$2,"Escenario",L$1,"Branch","Demand Sites and Catchments\"&amp;$D10),0)</f>
        <v>0</v>
      </c>
    </row>
    <row r="11" spans="1:15">
      <c r="A11" s="3">
        <v>89</v>
      </c>
      <c r="B11" s="3">
        <v>87</v>
      </c>
      <c r="C11" s="3" t="s">
        <v>980</v>
      </c>
      <c r="D11" s="53" t="str">
        <f>IF(ISERROR(VLOOKUP(C11,WEAP_Catchment_Topology!$A$2:$B$6,2,FALSE)),"",VLOOKUP(C11,WEAP_Catchment_Topology!$A$2:$B$6,2,FALSE))</f>
        <v>Catchment 4</v>
      </c>
      <c r="E11" s="42"/>
      <c r="F11" s="42"/>
      <c r="G11" s="51"/>
      <c r="H11" s="99">
        <f>IFERROR(GETPIVOTDATA("Value",TD_WEAP_RAW!$A$3,"Variable",H$2,"Escenario",H$1,"Branch","Demand Sites and Catchments\"&amp;$D11),0)</f>
        <v>1214750</v>
      </c>
      <c r="I11" s="99">
        <f>IFERROR(GETPIVOTDATA("Value",TD_WEAP_RAW!$A$3,"Variable",I$2,"Escenario",I$1,"Branch","Demand Sites and Catchments\"&amp;$D11),0)</f>
        <v>7771805</v>
      </c>
      <c r="J11" s="99">
        <f>IFERROR(GETPIVOTDATA("Value",TD_WEAP_RAW!$A$3,"Variable",J$2,"Escenario",J$1,"Branch","Demand Sites and Catchments\"&amp;$D11),0)</f>
        <v>239120</v>
      </c>
      <c r="K11" s="99">
        <f>IFERROR(GETPIVOTDATA("Value",TD_WEAP_RAW!$A$3,"Variable",K$2,"Escenario",K$1,"Branch","Demand Sites and Catchments\"&amp;$D11),0)</f>
        <v>27964958</v>
      </c>
      <c r="L11" s="99">
        <f>IFERROR(GETPIVOTDATA("Value",TD_WEAP_RAW!$A$3,"Variable",L$2,"Escenario",L$1,"Branch","Demand Sites and Catchments\"&amp;$D11),0)</f>
        <v>289.24639999999999</v>
      </c>
    </row>
    <row r="12" spans="1:15">
      <c r="A12" s="3">
        <v>106</v>
      </c>
      <c r="B12" s="3">
        <v>110</v>
      </c>
      <c r="C12" s="3" t="s">
        <v>999</v>
      </c>
      <c r="D12" s="53" t="str">
        <f>IF(ISERROR(VLOOKUP(C12,WEAP_Catchment_Topology!$A$2:$B$6,2,FALSE)),"",VLOOKUP(C12,WEAP_Catchment_Topology!$A$2:$B$6,2,FALSE))</f>
        <v/>
      </c>
      <c r="E12" s="42"/>
      <c r="F12" s="42"/>
      <c r="G12" s="51"/>
      <c r="H12" s="99">
        <f>IFERROR(GETPIVOTDATA("Value",TD_WEAP_RAW!$A$3,"Variable",H$2,"Escenario",H$1,"Branch","Demand Sites and Catchments\"&amp;$D12),0)</f>
        <v>0</v>
      </c>
      <c r="I12" s="99">
        <f>IFERROR(GETPIVOTDATA("Value",TD_WEAP_RAW!$A$3,"Variable",I$2,"Escenario",I$1,"Branch","Demand Sites and Catchments\"&amp;$D12),0)</f>
        <v>0</v>
      </c>
      <c r="J12" s="99">
        <f>IFERROR(GETPIVOTDATA("Value",TD_WEAP_RAW!$A$3,"Variable",J$2,"Escenario",J$1,"Branch","Demand Sites and Catchments\"&amp;$D12),0)</f>
        <v>0</v>
      </c>
      <c r="K12" s="99">
        <f>IFERROR(GETPIVOTDATA("Value",TD_WEAP_RAW!$A$3,"Variable",K$2,"Escenario",K$1,"Branch","Demand Sites and Catchments\"&amp;$D12),0)</f>
        <v>0</v>
      </c>
      <c r="L12" s="99">
        <f>IFERROR(GETPIVOTDATA("Value",TD_WEAP_RAW!$A$3,"Variable",L$2,"Escenario",L$1,"Branch","Demand Sites and Catchments\"&amp;$D12),0)</f>
        <v>0</v>
      </c>
    </row>
    <row r="13" spans="1:15">
      <c r="A13" s="3">
        <v>110</v>
      </c>
      <c r="B13" s="3">
        <v>108</v>
      </c>
      <c r="C13" s="3" t="s">
        <v>982</v>
      </c>
      <c r="D13" s="53" t="str">
        <f>IF(ISERROR(VLOOKUP(C13,WEAP_Catchment_Topology!$A$2:$B$6,2,FALSE)),"",VLOOKUP(C13,WEAP_Catchment_Topology!$A$2:$B$6,2,FALSE))</f>
        <v>Catchment 2</v>
      </c>
      <c r="E13" s="42"/>
      <c r="F13" s="42"/>
      <c r="G13" s="51"/>
      <c r="H13" s="99">
        <f>IFERROR(GETPIVOTDATA("Value",TD_WEAP_RAW!$A$3,"Variable",H$2,"Escenario",H$1,"Branch","Demand Sites and Catchments\"&amp;$D13),0)</f>
        <v>330777</v>
      </c>
      <c r="I13" s="99">
        <f>IFERROR(GETPIVOTDATA("Value",TD_WEAP_RAW!$A$3,"Variable",I$2,"Escenario",I$1,"Branch","Demand Sites and Catchments\"&amp;$D13),0)</f>
        <v>1977428</v>
      </c>
      <c r="J13" s="99">
        <f>IFERROR(GETPIVOTDATA("Value",TD_WEAP_RAW!$A$3,"Variable",J$2,"Escenario",J$1,"Branch","Demand Sites and Catchments\"&amp;$D13),0)</f>
        <v>63972.3</v>
      </c>
      <c r="K13" s="99">
        <f>IFERROR(GETPIVOTDATA("Value",TD_WEAP_RAW!$A$3,"Variable",K$2,"Escenario",K$1,"Branch","Demand Sites and Catchments\"&amp;$D13),0)</f>
        <v>8125036</v>
      </c>
      <c r="L13" s="99">
        <f>IFERROR(GETPIVOTDATA("Value",TD_WEAP_RAW!$A$3,"Variable",L$2,"Escenario",L$1,"Branch","Demand Sites and Catchments\"&amp;$D13),0)</f>
        <v>260.6703</v>
      </c>
    </row>
    <row r="14" spans="1:15">
      <c r="D14" s="53"/>
      <c r="E14" s="42"/>
      <c r="F14" s="42"/>
      <c r="G14" s="51"/>
      <c r="H14" s="99">
        <f>IFERROR(GETPIVOTDATA("Value",TD_WEAP_RAW!$A$3,"Variable",H$2,"Escenario",H$1,"Branch","Demand Sites and Catchments\"&amp;$D14),0)</f>
        <v>0</v>
      </c>
      <c r="I14" s="99">
        <f>IFERROR(GETPIVOTDATA("Value",TD_WEAP_RAW!$A$3,"Variable",I$2,"Escenario",I$1,"Branch","Demand Sites and Catchments\"&amp;$D14),0)</f>
        <v>0</v>
      </c>
      <c r="J14" s="99">
        <f>IFERROR(GETPIVOTDATA("Value",TD_WEAP_RAW!$A$3,"Variable",J$2,"Escenario",J$1,"Branch","Demand Sites and Catchments\"&amp;$D14),0)</f>
        <v>0</v>
      </c>
      <c r="K14" s="99">
        <f>IFERROR(GETPIVOTDATA("Value",TD_WEAP_RAW!$A$3,"Variable",K$2,"Escenario",K$1,"Branch","Demand Sites and Catchments\"&amp;$D14),0)</f>
        <v>0</v>
      </c>
      <c r="L14" s="99">
        <f>IFERROR(GETPIVOTDATA("Value",TD_WEAP_RAW!$A$3,"Variable",L$2,"Escenario",L$1,"Branch","Demand Sites and Catchments\"&amp;$D14),0)</f>
        <v>0</v>
      </c>
    </row>
    <row r="15" spans="1:15">
      <c r="D15" s="53"/>
      <c r="E15" s="42"/>
      <c r="F15" s="42"/>
      <c r="G15" s="51"/>
      <c r="H15" s="99">
        <f>IFERROR(GETPIVOTDATA("Value",TD_WEAP_RAW!$A$3,"Variable",H$2,"Escenario",H$1,"Branch","Demand Sites and Catchments\"&amp;$D15),0)</f>
        <v>0</v>
      </c>
      <c r="I15" s="99">
        <f>IFERROR(GETPIVOTDATA("Value",TD_WEAP_RAW!$A$3,"Variable",I$2,"Escenario",I$1,"Branch","Demand Sites and Catchments\"&amp;$D15),0)</f>
        <v>0</v>
      </c>
      <c r="J15" s="99">
        <f>IFERROR(GETPIVOTDATA("Value",TD_WEAP_RAW!$A$3,"Variable",J$2,"Escenario",J$1,"Branch","Demand Sites and Catchments\"&amp;$D15),0)</f>
        <v>0</v>
      </c>
      <c r="K15" s="99">
        <f>IFERROR(GETPIVOTDATA("Value",TD_WEAP_RAW!$A$3,"Variable",K$2,"Escenario",K$1,"Branch","Demand Sites and Catchments\"&amp;$D15),0)</f>
        <v>0</v>
      </c>
      <c r="L15" s="99">
        <f>IFERROR(GETPIVOTDATA("Value",TD_WEAP_RAW!$A$3,"Variable",L$2,"Escenario",L$1,"Branch","Demand Sites and Catchments\"&amp;$D15),0)</f>
        <v>0</v>
      </c>
    </row>
    <row r="16" spans="1:15">
      <c r="D16" s="53"/>
      <c r="E16" s="42"/>
      <c r="F16" s="42"/>
      <c r="G16" s="51"/>
      <c r="H16" s="99">
        <f>IFERROR(GETPIVOTDATA("Value",TD_WEAP_RAW!$A$3,"Variable",H$2,"Escenario",H$1,"Branch","Demand Sites and Catchments\"&amp;$D16),0)</f>
        <v>0</v>
      </c>
      <c r="I16" s="99">
        <f>IFERROR(GETPIVOTDATA("Value",TD_WEAP_RAW!$A$3,"Variable",I$2,"Escenario",I$1,"Branch","Demand Sites and Catchments\"&amp;$D16),0)</f>
        <v>0</v>
      </c>
      <c r="J16" s="99">
        <f>IFERROR(GETPIVOTDATA("Value",TD_WEAP_RAW!$A$3,"Variable",J$2,"Escenario",J$1,"Branch","Demand Sites and Catchments\"&amp;$D16),0)</f>
        <v>0</v>
      </c>
      <c r="K16" s="99">
        <f>IFERROR(GETPIVOTDATA("Value",TD_WEAP_RAW!$A$3,"Variable",K$2,"Escenario",K$1,"Branch","Demand Sites and Catchments\"&amp;$D16),0)</f>
        <v>0</v>
      </c>
      <c r="L16" s="99">
        <f>IFERROR(GETPIVOTDATA("Value",TD_WEAP_RAW!$A$3,"Variable",L$2,"Escenario",L$1,"Branch","Demand Sites and Catchments\"&amp;$D16),0)</f>
        <v>0</v>
      </c>
    </row>
    <row r="17" spans="4:12">
      <c r="D17" s="53"/>
      <c r="E17" s="42"/>
      <c r="F17" s="42"/>
      <c r="G17" s="51"/>
      <c r="H17" s="99">
        <f>IFERROR(GETPIVOTDATA("Value",TD_WEAP_RAW!$A$3,"Variable",H$2,"Escenario",H$1,"Branch","Demand Sites and Catchments\"&amp;$D17),0)</f>
        <v>0</v>
      </c>
      <c r="I17" s="99">
        <f>IFERROR(GETPIVOTDATA("Value",TD_WEAP_RAW!$A$3,"Variable",I$2,"Escenario",I$1,"Branch","Demand Sites and Catchments\"&amp;$D17),0)</f>
        <v>0</v>
      </c>
      <c r="J17" s="99">
        <f>IFERROR(GETPIVOTDATA("Value",TD_WEAP_RAW!$A$3,"Variable",J$2,"Escenario",J$1,"Branch","Demand Sites and Catchments\"&amp;$D17),0)</f>
        <v>0</v>
      </c>
      <c r="K17" s="99">
        <f>IFERROR(GETPIVOTDATA("Value",TD_WEAP_RAW!$A$3,"Variable",K$2,"Escenario",K$1,"Branch","Demand Sites and Catchments\"&amp;$D17),0)</f>
        <v>0</v>
      </c>
      <c r="L17" s="99">
        <f>IFERROR(GETPIVOTDATA("Value",TD_WEAP_RAW!$A$3,"Variable",L$2,"Escenario",L$1,"Branch","Demand Sites and Catchments\"&amp;$D17),0)</f>
        <v>0</v>
      </c>
    </row>
    <row r="18" spans="4:12">
      <c r="D18" s="53"/>
      <c r="E18" s="42"/>
      <c r="F18" s="42"/>
      <c r="G18" s="51"/>
      <c r="H18" s="99">
        <f>IFERROR(GETPIVOTDATA("Value",TD_WEAP_RAW!$A$3,"Variable",H$2,"Escenario",H$1,"Branch","Demand Sites and Catchments\"&amp;$D18),0)</f>
        <v>0</v>
      </c>
      <c r="I18" s="99">
        <f>IFERROR(GETPIVOTDATA("Value",TD_WEAP_RAW!$A$3,"Variable",I$2,"Escenario",I$1,"Branch","Demand Sites and Catchments\"&amp;$D18),0)</f>
        <v>0</v>
      </c>
      <c r="J18" s="99">
        <f>IFERROR(GETPIVOTDATA("Value",TD_WEAP_RAW!$A$3,"Variable",J$2,"Escenario",J$1,"Branch","Demand Sites and Catchments\"&amp;$D18),0)</f>
        <v>0</v>
      </c>
      <c r="K18" s="99">
        <f>IFERROR(GETPIVOTDATA("Value",TD_WEAP_RAW!$A$3,"Variable",K$2,"Escenario",K$1,"Branch","Demand Sites and Catchments\"&amp;$D18),0)</f>
        <v>0</v>
      </c>
      <c r="L18" s="99">
        <f>IFERROR(GETPIVOTDATA("Value",TD_WEAP_RAW!$A$3,"Variable",L$2,"Escenario",L$1,"Branch","Demand Sites and Catchments\"&amp;$D18),0)</f>
        <v>0</v>
      </c>
    </row>
    <row r="19" spans="4:12">
      <c r="D19" s="53"/>
      <c r="E19" s="42"/>
      <c r="F19" s="42"/>
      <c r="G19" s="51"/>
      <c r="H19" s="99">
        <f>IFERROR(GETPIVOTDATA("Value",TD_WEAP_RAW!$A$3,"Variable",H$2,"Escenario",H$1,"Branch","Demand Sites and Catchments\"&amp;$D19),0)</f>
        <v>0</v>
      </c>
      <c r="I19" s="99">
        <f>IFERROR(GETPIVOTDATA("Value",TD_WEAP_RAW!$A$3,"Variable",I$2,"Escenario",I$1,"Branch","Demand Sites and Catchments\"&amp;$D19),0)</f>
        <v>0</v>
      </c>
      <c r="J19" s="99">
        <f>IFERROR(GETPIVOTDATA("Value",TD_WEAP_RAW!$A$3,"Variable",J$2,"Escenario",J$1,"Branch","Demand Sites and Catchments\"&amp;$D19),0)</f>
        <v>0</v>
      </c>
      <c r="K19" s="99">
        <f>IFERROR(GETPIVOTDATA("Value",TD_WEAP_RAW!$A$3,"Variable",K$2,"Escenario",K$1,"Branch","Demand Sites and Catchments\"&amp;$D19),0)</f>
        <v>0</v>
      </c>
      <c r="L19" s="99">
        <f>IFERROR(GETPIVOTDATA("Value",TD_WEAP_RAW!$A$3,"Variable",L$2,"Escenario",L$1,"Branch","Demand Sites and Catchments\"&amp;$D19),0)</f>
        <v>0</v>
      </c>
    </row>
    <row r="20" spans="4:12">
      <c r="D20" s="53"/>
      <c r="E20" s="42"/>
      <c r="F20" s="42"/>
      <c r="G20" s="51"/>
      <c r="H20" s="99">
        <f>IFERROR(GETPIVOTDATA("Value",TD_WEAP_RAW!$A$3,"Variable",H$2,"Escenario",H$1,"Branch","Demand Sites and Catchments\"&amp;$D20),0)</f>
        <v>0</v>
      </c>
      <c r="I20" s="99">
        <f>IFERROR(GETPIVOTDATA("Value",TD_WEAP_RAW!$A$3,"Variable",I$2,"Escenario",I$1,"Branch","Demand Sites and Catchments\"&amp;$D20),0)</f>
        <v>0</v>
      </c>
      <c r="J20" s="99">
        <f>IFERROR(GETPIVOTDATA("Value",TD_WEAP_RAW!$A$3,"Variable",J$2,"Escenario",J$1,"Branch","Demand Sites and Catchments\"&amp;$D20),0)</f>
        <v>0</v>
      </c>
      <c r="K20" s="99">
        <f>IFERROR(GETPIVOTDATA("Value",TD_WEAP_RAW!$A$3,"Variable",K$2,"Escenario",K$1,"Branch","Demand Sites and Catchments\"&amp;$D20),0)</f>
        <v>0</v>
      </c>
      <c r="L20" s="99">
        <f>IFERROR(GETPIVOTDATA("Value",TD_WEAP_RAW!$A$3,"Variable",L$2,"Escenario",L$1,"Branch","Demand Sites and Catchments\"&amp;$D20),0)</f>
        <v>0</v>
      </c>
    </row>
    <row r="21" spans="4:12">
      <c r="D21" s="53"/>
      <c r="E21" s="42"/>
      <c r="F21" s="42"/>
      <c r="G21" s="51"/>
      <c r="H21" s="99">
        <f>IFERROR(GETPIVOTDATA("Value",TD_WEAP_RAW!$A$3,"Variable",H$2,"Escenario",H$1,"Branch","Demand Sites and Catchments\"&amp;$D21),0)</f>
        <v>0</v>
      </c>
      <c r="I21" s="99">
        <f>IFERROR(GETPIVOTDATA("Value",TD_WEAP_RAW!$A$3,"Variable",I$2,"Escenario",I$1,"Branch","Demand Sites and Catchments\"&amp;$D21),0)</f>
        <v>0</v>
      </c>
      <c r="J21" s="99">
        <f>IFERROR(GETPIVOTDATA("Value",TD_WEAP_RAW!$A$3,"Variable",J$2,"Escenario",J$1,"Branch","Demand Sites and Catchments\"&amp;$D21),0)</f>
        <v>0</v>
      </c>
      <c r="K21" s="99">
        <f>IFERROR(GETPIVOTDATA("Value",TD_WEAP_RAW!$A$3,"Variable",K$2,"Escenario",K$1,"Branch","Demand Sites and Catchments\"&amp;$D21),0)</f>
        <v>0</v>
      </c>
      <c r="L21" s="99">
        <f>IFERROR(GETPIVOTDATA("Value",TD_WEAP_RAW!$A$3,"Variable",L$2,"Escenario",L$1,"Branch","Demand Sites and Catchments\"&amp;$D21),0)</f>
        <v>0</v>
      </c>
    </row>
    <row r="22" spans="4:12">
      <c r="D22" s="53"/>
      <c r="E22" s="42"/>
      <c r="F22" s="42"/>
      <c r="G22" s="51"/>
      <c r="H22" s="99">
        <f>IFERROR(GETPIVOTDATA("Value",TD_WEAP_RAW!$A$3,"Variable",H$2,"Escenario",H$1,"Branch","Demand Sites and Catchments\"&amp;$D22),0)</f>
        <v>0</v>
      </c>
      <c r="I22" s="99">
        <f>IFERROR(GETPIVOTDATA("Value",TD_WEAP_RAW!$A$3,"Variable",I$2,"Escenario",I$1,"Branch","Demand Sites and Catchments\"&amp;$D22),0)</f>
        <v>0</v>
      </c>
      <c r="J22" s="99">
        <f>IFERROR(GETPIVOTDATA("Value",TD_WEAP_RAW!$A$3,"Variable",J$2,"Escenario",J$1,"Branch","Demand Sites and Catchments\"&amp;$D22),0)</f>
        <v>0</v>
      </c>
      <c r="K22" s="99">
        <f>IFERROR(GETPIVOTDATA("Value",TD_WEAP_RAW!$A$3,"Variable",K$2,"Escenario",K$1,"Branch","Demand Sites and Catchments\"&amp;$D22),0)</f>
        <v>0</v>
      </c>
      <c r="L22" s="99">
        <f>IFERROR(GETPIVOTDATA("Value",TD_WEAP_RAW!$A$3,"Variable",L$2,"Escenario",L$1,"Branch","Demand Sites and Catchments\"&amp;$D22),0)</f>
        <v>0</v>
      </c>
    </row>
    <row r="23" spans="4:12">
      <c r="D23" s="53"/>
      <c r="E23" s="42"/>
      <c r="F23" s="42"/>
      <c r="G23" s="51"/>
      <c r="H23" s="99">
        <f>IFERROR(GETPIVOTDATA("Value",TD_WEAP_RAW!$A$3,"Variable",H$2,"Escenario",H$1,"Branch","Demand Sites and Catchments\"&amp;$D23),0)</f>
        <v>0</v>
      </c>
      <c r="I23" s="99">
        <f>IFERROR(GETPIVOTDATA("Value",TD_WEAP_RAW!$A$3,"Variable",I$2,"Escenario",I$1,"Branch","Demand Sites and Catchments\"&amp;$D23),0)</f>
        <v>0</v>
      </c>
      <c r="J23" s="99">
        <f>IFERROR(GETPIVOTDATA("Value",TD_WEAP_RAW!$A$3,"Variable",J$2,"Escenario",J$1,"Branch","Demand Sites and Catchments\"&amp;$D23),0)</f>
        <v>0</v>
      </c>
      <c r="K23" s="99">
        <f>IFERROR(GETPIVOTDATA("Value",TD_WEAP_RAW!$A$3,"Variable",K$2,"Escenario",K$1,"Branch","Demand Sites and Catchments\"&amp;$D23),0)</f>
        <v>0</v>
      </c>
      <c r="L23" s="99">
        <f>IFERROR(GETPIVOTDATA("Value",TD_WEAP_RAW!$A$3,"Variable",L$2,"Escenario",L$1,"Branch","Demand Sites and Catchments\"&amp;$D23),0)</f>
        <v>0</v>
      </c>
    </row>
    <row r="24" spans="4:12">
      <c r="D24" s="53"/>
      <c r="E24" s="42"/>
      <c r="F24" s="42"/>
      <c r="G24" s="51"/>
      <c r="H24" s="99">
        <f>IFERROR(GETPIVOTDATA("Value",TD_WEAP_RAW!$A$3,"Variable",H$2,"Escenario",H$1,"Branch","Demand Sites and Catchments\"&amp;$D24),0)</f>
        <v>0</v>
      </c>
      <c r="I24" s="99">
        <f>IFERROR(GETPIVOTDATA("Value",TD_WEAP_RAW!$A$3,"Variable",I$2,"Escenario",I$1,"Branch","Demand Sites and Catchments\"&amp;$D24),0)</f>
        <v>0</v>
      </c>
      <c r="J24" s="99">
        <f>IFERROR(GETPIVOTDATA("Value",TD_WEAP_RAW!$A$3,"Variable",J$2,"Escenario",J$1,"Branch","Demand Sites and Catchments\"&amp;$D24),0)</f>
        <v>0</v>
      </c>
      <c r="K24" s="99">
        <f>IFERROR(GETPIVOTDATA("Value",TD_WEAP_RAW!$A$3,"Variable",K$2,"Escenario",K$1,"Branch","Demand Sites and Catchments\"&amp;$D24),0)</f>
        <v>0</v>
      </c>
      <c r="L24" s="99">
        <f>IFERROR(GETPIVOTDATA("Value",TD_WEAP_RAW!$A$3,"Variable",L$2,"Escenario",L$1,"Branch","Demand Sites and Catchments\"&amp;$D24),0)</f>
        <v>0</v>
      </c>
    </row>
    <row r="25" spans="4:12">
      <c r="D25" s="53"/>
      <c r="E25" s="42"/>
      <c r="F25" s="42"/>
      <c r="G25" s="51"/>
      <c r="H25" s="99">
        <f>IFERROR(GETPIVOTDATA("Value",TD_WEAP_RAW!$A$3,"Variable",H$2,"Escenario",H$1,"Branch","Demand Sites and Catchments\"&amp;$D25),0)</f>
        <v>0</v>
      </c>
      <c r="I25" s="99">
        <f>IFERROR(GETPIVOTDATA("Value",TD_WEAP_RAW!$A$3,"Variable",I$2,"Escenario",I$1,"Branch","Demand Sites and Catchments\"&amp;$D25),0)</f>
        <v>0</v>
      </c>
      <c r="J25" s="99">
        <f>IFERROR(GETPIVOTDATA("Value",TD_WEAP_RAW!$A$3,"Variable",J$2,"Escenario",J$1,"Branch","Demand Sites and Catchments\"&amp;$D25),0)</f>
        <v>0</v>
      </c>
      <c r="K25" s="99">
        <f>IFERROR(GETPIVOTDATA("Value",TD_WEAP_RAW!$A$3,"Variable",K$2,"Escenario",K$1,"Branch","Demand Sites and Catchments\"&amp;$D25),0)</f>
        <v>0</v>
      </c>
      <c r="L25" s="99">
        <f>IFERROR(GETPIVOTDATA("Value",TD_WEAP_RAW!$A$3,"Variable",L$2,"Escenario",L$1,"Branch","Demand Sites and Catchments\"&amp;$D25),0)</f>
        <v>0</v>
      </c>
    </row>
    <row r="26" spans="4:12">
      <c r="D26" s="53"/>
      <c r="E26" s="42"/>
      <c r="F26" s="42"/>
      <c r="G26" s="51"/>
      <c r="H26" s="99">
        <f>IFERROR(GETPIVOTDATA("Value",TD_WEAP_RAW!$A$3,"Variable",H$2,"Escenario",H$1,"Branch","Demand Sites and Catchments\"&amp;$D26),0)</f>
        <v>0</v>
      </c>
      <c r="I26" s="99">
        <f>IFERROR(GETPIVOTDATA("Value",TD_WEAP_RAW!$A$3,"Variable",I$2,"Escenario",I$1,"Branch","Demand Sites and Catchments\"&amp;$D26),0)</f>
        <v>0</v>
      </c>
      <c r="J26" s="99">
        <f>IFERROR(GETPIVOTDATA("Value",TD_WEAP_RAW!$A$3,"Variable",J$2,"Escenario",J$1,"Branch","Demand Sites and Catchments\"&amp;$D26),0)</f>
        <v>0</v>
      </c>
      <c r="K26" s="99">
        <f>IFERROR(GETPIVOTDATA("Value",TD_WEAP_RAW!$A$3,"Variable",K$2,"Escenario",K$1,"Branch","Demand Sites and Catchments\"&amp;$D26),0)</f>
        <v>0</v>
      </c>
      <c r="L26" s="99">
        <f>IFERROR(GETPIVOTDATA("Value",TD_WEAP_RAW!$A$3,"Variable",L$2,"Escenario",L$1,"Branch","Demand Sites and Catchments\"&amp;$D26),0)</f>
        <v>0</v>
      </c>
    </row>
    <row r="27" spans="4:12">
      <c r="D27" s="53"/>
      <c r="E27" s="42"/>
      <c r="F27" s="42"/>
      <c r="G27" s="51"/>
      <c r="H27" s="99">
        <f>IFERROR(GETPIVOTDATA("Value",TD_WEAP_RAW!$A$3,"Variable",H$2,"Escenario",H$1,"Branch","Demand Sites and Catchments\"&amp;$D27),0)</f>
        <v>0</v>
      </c>
      <c r="I27" s="99">
        <f>IFERROR(GETPIVOTDATA("Value",TD_WEAP_RAW!$A$3,"Variable",I$2,"Escenario",I$1,"Branch","Demand Sites and Catchments\"&amp;$D27),0)</f>
        <v>0</v>
      </c>
      <c r="J27" s="99">
        <f>IFERROR(GETPIVOTDATA("Value",TD_WEAP_RAW!$A$3,"Variable",J$2,"Escenario",J$1,"Branch","Demand Sites and Catchments\"&amp;$D27),0)</f>
        <v>0</v>
      </c>
      <c r="K27" s="99">
        <f>IFERROR(GETPIVOTDATA("Value",TD_WEAP_RAW!$A$3,"Variable",K$2,"Escenario",K$1,"Branch","Demand Sites and Catchments\"&amp;$D27),0)</f>
        <v>0</v>
      </c>
      <c r="L27" s="99">
        <f>IFERROR(GETPIVOTDATA("Value",TD_WEAP_RAW!$A$3,"Variable",L$2,"Escenario",L$1,"Branch","Demand Sites and Catchments\"&amp;$D27),0)</f>
        <v>0</v>
      </c>
    </row>
    <row r="28" spans="4:12">
      <c r="D28" s="53"/>
      <c r="E28" s="42"/>
      <c r="F28" s="42"/>
      <c r="G28" s="51"/>
      <c r="H28" s="99">
        <f>IFERROR(GETPIVOTDATA("Value",TD_WEAP_RAW!$A$3,"Variable",H$2,"Escenario",H$1,"Branch","Demand Sites and Catchments\"&amp;$D28),0)</f>
        <v>0</v>
      </c>
      <c r="I28" s="99">
        <f>IFERROR(GETPIVOTDATA("Value",TD_WEAP_RAW!$A$3,"Variable",I$2,"Escenario",I$1,"Branch","Demand Sites and Catchments\"&amp;$D28),0)</f>
        <v>0</v>
      </c>
      <c r="J28" s="99">
        <f>IFERROR(GETPIVOTDATA("Value",TD_WEAP_RAW!$A$3,"Variable",J$2,"Escenario",J$1,"Branch","Demand Sites and Catchments\"&amp;$D28),0)</f>
        <v>0</v>
      </c>
      <c r="K28" s="99">
        <f>IFERROR(GETPIVOTDATA("Value",TD_WEAP_RAW!$A$3,"Variable",K$2,"Escenario",K$1,"Branch","Demand Sites and Catchments\"&amp;$D28),0)</f>
        <v>0</v>
      </c>
      <c r="L28" s="99">
        <f>IFERROR(GETPIVOTDATA("Value",TD_WEAP_RAW!$A$3,"Variable",L$2,"Escenario",L$1,"Branch","Demand Sites and Catchments\"&amp;$D28),0)</f>
        <v>0</v>
      </c>
    </row>
    <row r="29" spans="4:12">
      <c r="D29" s="53"/>
      <c r="E29" s="42"/>
      <c r="F29" s="42"/>
      <c r="G29" s="51"/>
      <c r="H29" s="99">
        <f>IFERROR(GETPIVOTDATA("Value",TD_WEAP_RAW!$A$3,"Variable",H$2,"Escenario",H$1,"Branch","Demand Sites and Catchments\"&amp;$D29),0)</f>
        <v>0</v>
      </c>
      <c r="I29" s="99">
        <f>IFERROR(GETPIVOTDATA("Value",TD_WEAP_RAW!$A$3,"Variable",I$2,"Escenario",I$1,"Branch","Demand Sites and Catchments\"&amp;$D29),0)</f>
        <v>0</v>
      </c>
      <c r="J29" s="99">
        <f>IFERROR(GETPIVOTDATA("Value",TD_WEAP_RAW!$A$3,"Variable",J$2,"Escenario",J$1,"Branch","Demand Sites and Catchments\"&amp;$D29),0)</f>
        <v>0</v>
      </c>
      <c r="K29" s="99">
        <f>IFERROR(GETPIVOTDATA("Value",TD_WEAP_RAW!$A$3,"Variable",K$2,"Escenario",K$1,"Branch","Demand Sites and Catchments\"&amp;$D29),0)</f>
        <v>0</v>
      </c>
      <c r="L29" s="99">
        <f>IFERROR(GETPIVOTDATA("Value",TD_WEAP_RAW!$A$3,"Variable",L$2,"Escenario",L$1,"Branch","Demand Sites and Catchments\"&amp;$D29),0)</f>
        <v>0</v>
      </c>
    </row>
    <row r="30" spans="4:12">
      <c r="D30" s="53"/>
      <c r="E30" s="42"/>
      <c r="F30" s="42"/>
      <c r="G30" s="51"/>
      <c r="H30" s="99">
        <f>IFERROR(GETPIVOTDATA("Value",TD_WEAP_RAW!$A$3,"Variable",H$2,"Escenario",H$1,"Branch","Demand Sites and Catchments\"&amp;$D30),0)</f>
        <v>0</v>
      </c>
      <c r="I30" s="99">
        <f>IFERROR(GETPIVOTDATA("Value",TD_WEAP_RAW!$A$3,"Variable",I$2,"Escenario",I$1,"Branch","Demand Sites and Catchments\"&amp;$D30),0)</f>
        <v>0</v>
      </c>
      <c r="J30" s="99">
        <f>IFERROR(GETPIVOTDATA("Value",TD_WEAP_RAW!$A$3,"Variable",J$2,"Escenario",J$1,"Branch","Demand Sites and Catchments\"&amp;$D30),0)</f>
        <v>0</v>
      </c>
      <c r="K30" s="99">
        <f>IFERROR(GETPIVOTDATA("Value",TD_WEAP_RAW!$A$3,"Variable",K$2,"Escenario",K$1,"Branch","Demand Sites and Catchments\"&amp;$D30),0)</f>
        <v>0</v>
      </c>
      <c r="L30" s="99">
        <f>IFERROR(GETPIVOTDATA("Value",TD_WEAP_RAW!$A$3,"Variable",L$2,"Escenario",L$1,"Branch","Demand Sites and Catchments\"&amp;$D30),0)</f>
        <v>0</v>
      </c>
    </row>
    <row r="31" spans="4:12">
      <c r="D31" s="53"/>
      <c r="E31" s="42"/>
      <c r="F31" s="42"/>
      <c r="G31" s="51"/>
      <c r="H31" s="99">
        <f>IFERROR(GETPIVOTDATA("Value",TD_WEAP_RAW!$A$3,"Variable",H$2,"Escenario",H$1,"Branch","Demand Sites and Catchments\"&amp;$D31),0)</f>
        <v>0</v>
      </c>
      <c r="I31" s="99">
        <f>IFERROR(GETPIVOTDATA("Value",TD_WEAP_RAW!$A$3,"Variable",I$2,"Escenario",I$1,"Branch","Demand Sites and Catchments\"&amp;$D31),0)</f>
        <v>0</v>
      </c>
      <c r="J31" s="99">
        <f>IFERROR(GETPIVOTDATA("Value",TD_WEAP_RAW!$A$3,"Variable",J$2,"Escenario",J$1,"Branch","Demand Sites and Catchments\"&amp;$D31),0)</f>
        <v>0</v>
      </c>
      <c r="K31" s="99">
        <f>IFERROR(GETPIVOTDATA("Value",TD_WEAP_RAW!$A$3,"Variable",K$2,"Escenario",K$1,"Branch","Demand Sites and Catchments\"&amp;$D31),0)</f>
        <v>0</v>
      </c>
      <c r="L31" s="99">
        <f>IFERROR(GETPIVOTDATA("Value",TD_WEAP_RAW!$A$3,"Variable",L$2,"Escenario",L$1,"Branch","Demand Sites and Catchments\"&amp;$D31),0)</f>
        <v>0</v>
      </c>
    </row>
    <row r="32" spans="4:12">
      <c r="D32" s="53"/>
      <c r="E32" s="42"/>
      <c r="F32" s="42"/>
      <c r="G32" s="51"/>
      <c r="H32" s="99">
        <f>IFERROR(GETPIVOTDATA("Value",TD_WEAP_RAW!$A$3,"Variable",H$2,"Escenario",H$1,"Branch","Demand Sites and Catchments\"&amp;$D32),0)</f>
        <v>0</v>
      </c>
      <c r="I32" s="99">
        <f>IFERROR(GETPIVOTDATA("Value",TD_WEAP_RAW!$A$3,"Variable",I$2,"Escenario",I$1,"Branch","Demand Sites and Catchments\"&amp;$D32),0)</f>
        <v>0</v>
      </c>
      <c r="J32" s="99">
        <f>IFERROR(GETPIVOTDATA("Value",TD_WEAP_RAW!$A$3,"Variable",J$2,"Escenario",J$1,"Branch","Demand Sites and Catchments\"&amp;$D32),0)</f>
        <v>0</v>
      </c>
      <c r="K32" s="99">
        <f>IFERROR(GETPIVOTDATA("Value",TD_WEAP_RAW!$A$3,"Variable",K$2,"Escenario",K$1,"Branch","Demand Sites and Catchments\"&amp;$D32),0)</f>
        <v>0</v>
      </c>
      <c r="L32" s="99">
        <f>IFERROR(GETPIVOTDATA("Value",TD_WEAP_RAW!$A$3,"Variable",L$2,"Escenario",L$1,"Branch","Demand Sites and Catchments\"&amp;$D32),0)</f>
        <v>0</v>
      </c>
    </row>
    <row r="33" spans="4:12">
      <c r="D33" s="53"/>
      <c r="E33" s="42"/>
      <c r="F33" s="42"/>
      <c r="G33" s="51"/>
      <c r="H33" s="99">
        <f>IFERROR(GETPIVOTDATA("Value",TD_WEAP_RAW!$A$3,"Variable",H$2,"Escenario",H$1,"Branch","Demand Sites and Catchments\"&amp;$D33),0)</f>
        <v>0</v>
      </c>
      <c r="I33" s="99">
        <f>IFERROR(GETPIVOTDATA("Value",TD_WEAP_RAW!$A$3,"Variable",I$2,"Escenario",I$1,"Branch","Demand Sites and Catchments\"&amp;$D33),0)</f>
        <v>0</v>
      </c>
      <c r="J33" s="99">
        <f>IFERROR(GETPIVOTDATA("Value",TD_WEAP_RAW!$A$3,"Variable",J$2,"Escenario",J$1,"Branch","Demand Sites and Catchments\"&amp;$D33),0)</f>
        <v>0</v>
      </c>
      <c r="K33" s="99">
        <f>IFERROR(GETPIVOTDATA("Value",TD_WEAP_RAW!$A$3,"Variable",K$2,"Escenario",K$1,"Branch","Demand Sites and Catchments\"&amp;$D33),0)</f>
        <v>0</v>
      </c>
      <c r="L33" s="99">
        <f>IFERROR(GETPIVOTDATA("Value",TD_WEAP_RAW!$A$3,"Variable",L$2,"Escenario",L$1,"Branch","Demand Sites and Catchments\"&amp;$D33),0)</f>
        <v>0</v>
      </c>
    </row>
    <row r="34" spans="4:12">
      <c r="D34" s="53"/>
      <c r="E34" s="42"/>
      <c r="F34" s="42"/>
      <c r="G34" s="51"/>
      <c r="H34" s="99">
        <f>IFERROR(GETPIVOTDATA("Value",TD_WEAP_RAW!$A$3,"Variable",H$2,"Escenario",H$1,"Branch","Demand Sites and Catchments\"&amp;$D34),0)</f>
        <v>0</v>
      </c>
      <c r="I34" s="99">
        <f>IFERROR(GETPIVOTDATA("Value",TD_WEAP_RAW!$A$3,"Variable",I$2,"Escenario",I$1,"Branch","Demand Sites and Catchments\"&amp;$D34),0)</f>
        <v>0</v>
      </c>
      <c r="J34" s="99">
        <f>IFERROR(GETPIVOTDATA("Value",TD_WEAP_RAW!$A$3,"Variable",J$2,"Escenario",J$1,"Branch","Demand Sites and Catchments\"&amp;$D34),0)</f>
        <v>0</v>
      </c>
      <c r="K34" s="99">
        <f>IFERROR(GETPIVOTDATA("Value",TD_WEAP_RAW!$A$3,"Variable",K$2,"Escenario",K$1,"Branch","Demand Sites and Catchments\"&amp;$D34),0)</f>
        <v>0</v>
      </c>
      <c r="L34" s="99">
        <f>IFERROR(GETPIVOTDATA("Value",TD_WEAP_RAW!$A$3,"Variable",L$2,"Escenario",L$1,"Branch","Demand Sites and Catchments\"&amp;$D34),0)</f>
        <v>0</v>
      </c>
    </row>
    <row r="35" spans="4:12">
      <c r="D35" s="53"/>
      <c r="E35" s="42"/>
      <c r="F35" s="42"/>
      <c r="G35" s="51"/>
      <c r="H35" s="99">
        <f>IFERROR(GETPIVOTDATA("Value",TD_WEAP_RAW!$A$3,"Variable",H$2,"Escenario",H$1,"Branch","Demand Sites and Catchments\"&amp;$D35),0)</f>
        <v>0</v>
      </c>
      <c r="I35" s="99">
        <f>IFERROR(GETPIVOTDATA("Value",TD_WEAP_RAW!$A$3,"Variable",I$2,"Escenario",I$1,"Branch","Demand Sites and Catchments\"&amp;$D35),0)</f>
        <v>0</v>
      </c>
      <c r="J35" s="99">
        <f>IFERROR(GETPIVOTDATA("Value",TD_WEAP_RAW!$A$3,"Variable",J$2,"Escenario",J$1,"Branch","Demand Sites and Catchments\"&amp;$D35),0)</f>
        <v>0</v>
      </c>
      <c r="K35" s="99">
        <f>IFERROR(GETPIVOTDATA("Value",TD_WEAP_RAW!$A$3,"Variable",K$2,"Escenario",K$1,"Branch","Demand Sites and Catchments\"&amp;$D35),0)</f>
        <v>0</v>
      </c>
      <c r="L35" s="99">
        <f>IFERROR(GETPIVOTDATA("Value",TD_WEAP_RAW!$A$3,"Variable",L$2,"Escenario",L$1,"Branch","Demand Sites and Catchments\"&amp;$D35),0)</f>
        <v>0</v>
      </c>
    </row>
    <row r="36" spans="4:12">
      <c r="D36" s="53"/>
      <c r="E36" s="42"/>
      <c r="F36" s="42"/>
      <c r="G36" s="51"/>
      <c r="H36" s="99">
        <f>IFERROR(GETPIVOTDATA("Value",TD_WEAP_RAW!$A$3,"Variable",H$2,"Escenario",H$1,"Branch","Demand Sites and Catchments\"&amp;$D36),0)</f>
        <v>0</v>
      </c>
      <c r="I36" s="99">
        <f>IFERROR(GETPIVOTDATA("Value",TD_WEAP_RAW!$A$3,"Variable",I$2,"Escenario",I$1,"Branch","Demand Sites and Catchments\"&amp;$D36),0)</f>
        <v>0</v>
      </c>
      <c r="J36" s="99">
        <f>IFERROR(GETPIVOTDATA("Value",TD_WEAP_RAW!$A$3,"Variable",J$2,"Escenario",J$1,"Branch","Demand Sites and Catchments\"&amp;$D36),0)</f>
        <v>0</v>
      </c>
      <c r="K36" s="99">
        <f>IFERROR(GETPIVOTDATA("Value",TD_WEAP_RAW!$A$3,"Variable",K$2,"Escenario",K$1,"Branch","Demand Sites and Catchments\"&amp;$D36),0)</f>
        <v>0</v>
      </c>
      <c r="L36" s="99">
        <f>IFERROR(GETPIVOTDATA("Value",TD_WEAP_RAW!$A$3,"Variable",L$2,"Escenario",L$1,"Branch","Demand Sites and Catchments\"&amp;$D36),0)</f>
        <v>0</v>
      </c>
    </row>
    <row r="37" spans="4:12">
      <c r="D37" s="53"/>
      <c r="E37" s="42"/>
      <c r="F37" s="42"/>
      <c r="G37" s="51"/>
      <c r="H37" s="99">
        <f>IFERROR(GETPIVOTDATA("Value",TD_WEAP_RAW!$A$3,"Variable",H$2,"Escenario",H$1,"Branch","Demand Sites and Catchments\"&amp;$D37),0)</f>
        <v>0</v>
      </c>
      <c r="I37" s="99">
        <f>IFERROR(GETPIVOTDATA("Value",TD_WEAP_RAW!$A$3,"Variable",I$2,"Escenario",I$1,"Branch","Demand Sites and Catchments\"&amp;$D37),0)</f>
        <v>0</v>
      </c>
      <c r="J37" s="99">
        <f>IFERROR(GETPIVOTDATA("Value",TD_WEAP_RAW!$A$3,"Variable",J$2,"Escenario",J$1,"Branch","Demand Sites and Catchments\"&amp;$D37),0)</f>
        <v>0</v>
      </c>
      <c r="K37" s="99">
        <f>IFERROR(GETPIVOTDATA("Value",TD_WEAP_RAW!$A$3,"Variable",K$2,"Escenario",K$1,"Branch","Demand Sites and Catchments\"&amp;$D37),0)</f>
        <v>0</v>
      </c>
      <c r="L37" s="99">
        <f>IFERROR(GETPIVOTDATA("Value",TD_WEAP_RAW!$A$3,"Variable",L$2,"Escenario",L$1,"Branch","Demand Sites and Catchments\"&amp;$D37),0)</f>
        <v>0</v>
      </c>
    </row>
    <row r="38" spans="4:12">
      <c r="D38" s="53"/>
      <c r="E38" s="42"/>
      <c r="F38" s="42"/>
      <c r="G38" s="51"/>
      <c r="H38" s="99">
        <f>IFERROR(GETPIVOTDATA("Value",TD_WEAP_RAW!$A$3,"Variable",H$2,"Escenario",H$1,"Branch","Demand Sites and Catchments\"&amp;$D38),0)</f>
        <v>0</v>
      </c>
      <c r="I38" s="99">
        <f>IFERROR(GETPIVOTDATA("Value",TD_WEAP_RAW!$A$3,"Variable",I$2,"Escenario",I$1,"Branch","Demand Sites and Catchments\"&amp;$D38),0)</f>
        <v>0</v>
      </c>
      <c r="J38" s="99">
        <f>IFERROR(GETPIVOTDATA("Value",TD_WEAP_RAW!$A$3,"Variable",J$2,"Escenario",J$1,"Branch","Demand Sites and Catchments\"&amp;$D38),0)</f>
        <v>0</v>
      </c>
      <c r="K38" s="99">
        <f>IFERROR(GETPIVOTDATA("Value",TD_WEAP_RAW!$A$3,"Variable",K$2,"Escenario",K$1,"Branch","Demand Sites and Catchments\"&amp;$D38),0)</f>
        <v>0</v>
      </c>
      <c r="L38" s="99">
        <f>IFERROR(GETPIVOTDATA("Value",TD_WEAP_RAW!$A$3,"Variable",L$2,"Escenario",L$1,"Branch","Demand Sites and Catchments\"&amp;$D38),0)</f>
        <v>0</v>
      </c>
    </row>
    <row r="39" spans="4:12">
      <c r="D39" s="53"/>
      <c r="E39" s="42"/>
      <c r="F39" s="42"/>
      <c r="G39" s="51"/>
      <c r="H39" s="99">
        <f>IFERROR(GETPIVOTDATA("Value",TD_WEAP_RAW!$A$3,"Variable",H$2,"Escenario",H$1,"Branch","Demand Sites and Catchments\"&amp;$D39),0)</f>
        <v>0</v>
      </c>
      <c r="I39" s="99">
        <f>IFERROR(GETPIVOTDATA("Value",TD_WEAP_RAW!$A$3,"Variable",I$2,"Escenario",I$1,"Branch","Demand Sites and Catchments\"&amp;$D39),0)</f>
        <v>0</v>
      </c>
      <c r="J39" s="99">
        <f>IFERROR(GETPIVOTDATA("Value",TD_WEAP_RAW!$A$3,"Variable",J$2,"Escenario",J$1,"Branch","Demand Sites and Catchments\"&amp;$D39),0)</f>
        <v>0</v>
      </c>
      <c r="K39" s="99">
        <f>IFERROR(GETPIVOTDATA("Value",TD_WEAP_RAW!$A$3,"Variable",K$2,"Escenario",K$1,"Branch","Demand Sites and Catchments\"&amp;$D39),0)</f>
        <v>0</v>
      </c>
      <c r="L39" s="99">
        <f>IFERROR(GETPIVOTDATA("Value",TD_WEAP_RAW!$A$3,"Variable",L$2,"Escenario",L$1,"Branch","Demand Sites and Catchments\"&amp;$D39),0)</f>
        <v>0</v>
      </c>
    </row>
    <row r="40" spans="4:12">
      <c r="D40" s="53"/>
      <c r="E40" s="42"/>
      <c r="F40" s="42"/>
      <c r="G40" s="51"/>
      <c r="H40" s="99">
        <f>IFERROR(GETPIVOTDATA("Value",TD_WEAP_RAW!$A$3,"Variable",H$2,"Escenario",H$1,"Branch","Demand Sites and Catchments\"&amp;$D40),0)</f>
        <v>0</v>
      </c>
      <c r="I40" s="99">
        <f>IFERROR(GETPIVOTDATA("Value",TD_WEAP_RAW!$A$3,"Variable",I$2,"Escenario",I$1,"Branch","Demand Sites and Catchments\"&amp;$D40),0)</f>
        <v>0</v>
      </c>
      <c r="J40" s="99">
        <f>IFERROR(GETPIVOTDATA("Value",TD_WEAP_RAW!$A$3,"Variable",J$2,"Escenario",J$1,"Branch","Demand Sites and Catchments\"&amp;$D40),0)</f>
        <v>0</v>
      </c>
      <c r="K40" s="99">
        <f>IFERROR(GETPIVOTDATA("Value",TD_WEAP_RAW!$A$3,"Variable",K$2,"Escenario",K$1,"Branch","Demand Sites and Catchments\"&amp;$D40),0)</f>
        <v>0</v>
      </c>
      <c r="L40" s="99">
        <f>IFERROR(GETPIVOTDATA("Value",TD_WEAP_RAW!$A$3,"Variable",L$2,"Escenario",L$1,"Branch","Demand Sites and Catchments\"&amp;$D40),0)</f>
        <v>0</v>
      </c>
    </row>
    <row r="41" spans="4:12">
      <c r="D41" s="53"/>
      <c r="E41" s="42"/>
      <c r="F41" s="42"/>
      <c r="G41" s="51"/>
      <c r="H41" s="99">
        <f>IFERROR(GETPIVOTDATA("Value",TD_WEAP_RAW!$A$3,"Variable",H$2,"Escenario",H$1,"Branch","Demand Sites and Catchments\"&amp;$D41),0)</f>
        <v>0</v>
      </c>
      <c r="I41" s="99">
        <f>IFERROR(GETPIVOTDATA("Value",TD_WEAP_RAW!$A$3,"Variable",I$2,"Escenario",I$1,"Branch","Demand Sites and Catchments\"&amp;$D41),0)</f>
        <v>0</v>
      </c>
      <c r="J41" s="99">
        <f>IFERROR(GETPIVOTDATA("Value",TD_WEAP_RAW!$A$3,"Variable",J$2,"Escenario",J$1,"Branch","Demand Sites and Catchments\"&amp;$D41),0)</f>
        <v>0</v>
      </c>
      <c r="K41" s="99">
        <f>IFERROR(GETPIVOTDATA("Value",TD_WEAP_RAW!$A$3,"Variable",K$2,"Escenario",K$1,"Branch","Demand Sites and Catchments\"&amp;$D41),0)</f>
        <v>0</v>
      </c>
      <c r="L41" s="99">
        <f>IFERROR(GETPIVOTDATA("Value",TD_WEAP_RAW!$A$3,"Variable",L$2,"Escenario",L$1,"Branch","Demand Sites and Catchments\"&amp;$D41),0)</f>
        <v>0</v>
      </c>
    </row>
    <row r="42" spans="4:12">
      <c r="D42" s="53"/>
      <c r="E42" s="42"/>
      <c r="F42" s="42"/>
      <c r="G42" s="51"/>
      <c r="H42" s="99">
        <f>IFERROR(GETPIVOTDATA("Value",TD_WEAP_RAW!$A$3,"Variable",H$2,"Escenario",H$1,"Branch","Demand Sites and Catchments\"&amp;$D42),0)</f>
        <v>0</v>
      </c>
      <c r="I42" s="99">
        <f>IFERROR(GETPIVOTDATA("Value",TD_WEAP_RAW!$A$3,"Variable",I$2,"Escenario",I$1,"Branch","Demand Sites and Catchments\"&amp;$D42),0)</f>
        <v>0</v>
      </c>
      <c r="J42" s="99">
        <f>IFERROR(GETPIVOTDATA("Value",TD_WEAP_RAW!$A$3,"Variable",J$2,"Escenario",J$1,"Branch","Demand Sites and Catchments\"&amp;$D42),0)</f>
        <v>0</v>
      </c>
      <c r="K42" s="99">
        <f>IFERROR(GETPIVOTDATA("Value",TD_WEAP_RAW!$A$3,"Variable",K$2,"Escenario",K$1,"Branch","Demand Sites and Catchments\"&amp;$D42),0)</f>
        <v>0</v>
      </c>
      <c r="L42" s="99">
        <f>IFERROR(GETPIVOTDATA("Value",TD_WEAP_RAW!$A$3,"Variable",L$2,"Escenario",L$1,"Branch","Demand Sites and Catchments\"&amp;$D42),0)</f>
        <v>0</v>
      </c>
    </row>
    <row r="43" spans="4:12">
      <c r="D43" s="53"/>
      <c r="E43" s="42"/>
      <c r="F43" s="42"/>
      <c r="G43" s="51"/>
      <c r="H43" s="99">
        <f>IFERROR(GETPIVOTDATA("Value",TD_WEAP_RAW!$A$3,"Variable",H$2,"Escenario",H$1,"Branch","Demand Sites and Catchments\"&amp;$D43),0)</f>
        <v>0</v>
      </c>
      <c r="I43" s="99">
        <f>IFERROR(GETPIVOTDATA("Value",TD_WEAP_RAW!$A$3,"Variable",I$2,"Escenario",I$1,"Branch","Demand Sites and Catchments\"&amp;$D43),0)</f>
        <v>0</v>
      </c>
      <c r="J43" s="99">
        <f>IFERROR(GETPIVOTDATA("Value",TD_WEAP_RAW!$A$3,"Variable",J$2,"Escenario",J$1,"Branch","Demand Sites and Catchments\"&amp;$D43),0)</f>
        <v>0</v>
      </c>
      <c r="K43" s="99">
        <f>IFERROR(GETPIVOTDATA("Value",TD_WEAP_RAW!$A$3,"Variable",K$2,"Escenario",K$1,"Branch","Demand Sites and Catchments\"&amp;$D43),0)</f>
        <v>0</v>
      </c>
      <c r="L43" s="99">
        <f>IFERROR(GETPIVOTDATA("Value",TD_WEAP_RAW!$A$3,"Variable",L$2,"Escenario",L$1,"Branch","Demand Sites and Catchments\"&amp;$D43),0)</f>
        <v>0</v>
      </c>
    </row>
    <row r="44" spans="4:12">
      <c r="D44" s="53"/>
      <c r="E44" s="42"/>
      <c r="F44" s="42"/>
      <c r="G44" s="51"/>
      <c r="H44" s="99">
        <f>IFERROR(GETPIVOTDATA("Value",TD_WEAP_RAW!$A$3,"Variable",H$2,"Escenario",H$1,"Branch","Demand Sites and Catchments\"&amp;$D44),0)</f>
        <v>0</v>
      </c>
      <c r="I44" s="99">
        <f>IFERROR(GETPIVOTDATA("Value",TD_WEAP_RAW!$A$3,"Variable",I$2,"Escenario",I$1,"Branch","Demand Sites and Catchments\"&amp;$D44),0)</f>
        <v>0</v>
      </c>
      <c r="J44" s="99">
        <f>IFERROR(GETPIVOTDATA("Value",TD_WEAP_RAW!$A$3,"Variable",J$2,"Escenario",J$1,"Branch","Demand Sites and Catchments\"&amp;$D44),0)</f>
        <v>0</v>
      </c>
      <c r="K44" s="99">
        <f>IFERROR(GETPIVOTDATA("Value",TD_WEAP_RAW!$A$3,"Variable",K$2,"Escenario",K$1,"Branch","Demand Sites and Catchments\"&amp;$D44),0)</f>
        <v>0</v>
      </c>
      <c r="L44" s="99">
        <f>IFERROR(GETPIVOTDATA("Value",TD_WEAP_RAW!$A$3,"Variable",L$2,"Escenario",L$1,"Branch","Demand Sites and Catchments\"&amp;$D44),0)</f>
        <v>0</v>
      </c>
    </row>
    <row r="45" spans="4:12">
      <c r="D45" s="53"/>
      <c r="E45" s="42"/>
      <c r="F45" s="42"/>
      <c r="G45" s="51"/>
      <c r="H45" s="99">
        <f>IFERROR(GETPIVOTDATA("Value",TD_WEAP_RAW!$A$3,"Variable",H$2,"Escenario",H$1,"Branch","Demand Sites and Catchments\"&amp;$D45),0)</f>
        <v>0</v>
      </c>
      <c r="I45" s="99">
        <f>IFERROR(GETPIVOTDATA("Value",TD_WEAP_RAW!$A$3,"Variable",I$2,"Escenario",I$1,"Branch","Demand Sites and Catchments\"&amp;$D45),0)</f>
        <v>0</v>
      </c>
      <c r="J45" s="99">
        <f>IFERROR(GETPIVOTDATA("Value",TD_WEAP_RAW!$A$3,"Variable",J$2,"Escenario",J$1,"Branch","Demand Sites and Catchments\"&amp;$D45),0)</f>
        <v>0</v>
      </c>
      <c r="K45" s="99">
        <f>IFERROR(GETPIVOTDATA("Value",TD_WEAP_RAW!$A$3,"Variable",K$2,"Escenario",K$1,"Branch","Demand Sites and Catchments\"&amp;$D45),0)</f>
        <v>0</v>
      </c>
      <c r="L45" s="99">
        <f>IFERROR(GETPIVOTDATA("Value",TD_WEAP_RAW!$A$3,"Variable",L$2,"Escenario",L$1,"Branch","Demand Sites and Catchments\"&amp;$D45),0)</f>
        <v>0</v>
      </c>
    </row>
    <row r="46" spans="4:12">
      <c r="D46" s="53"/>
      <c r="E46" s="42"/>
      <c r="F46" s="42"/>
      <c r="G46" s="51"/>
      <c r="H46" s="99">
        <f>IFERROR(GETPIVOTDATA("Value",TD_WEAP_RAW!$A$3,"Variable",H$2,"Escenario",H$1,"Branch","Demand Sites and Catchments\"&amp;$D46),0)</f>
        <v>0</v>
      </c>
      <c r="I46" s="99">
        <f>IFERROR(GETPIVOTDATA("Value",TD_WEAP_RAW!$A$3,"Variable",I$2,"Escenario",I$1,"Branch","Demand Sites and Catchments\"&amp;$D46),0)</f>
        <v>0</v>
      </c>
      <c r="J46" s="99">
        <f>IFERROR(GETPIVOTDATA("Value",TD_WEAP_RAW!$A$3,"Variable",J$2,"Escenario",J$1,"Branch","Demand Sites and Catchments\"&amp;$D46),0)</f>
        <v>0</v>
      </c>
      <c r="K46" s="99">
        <f>IFERROR(GETPIVOTDATA("Value",TD_WEAP_RAW!$A$3,"Variable",K$2,"Escenario",K$1,"Branch","Demand Sites and Catchments\"&amp;$D46),0)</f>
        <v>0</v>
      </c>
      <c r="L46" s="99">
        <f>IFERROR(GETPIVOTDATA("Value",TD_WEAP_RAW!$A$3,"Variable",L$2,"Escenario",L$1,"Branch","Demand Sites and Catchments\"&amp;$D46),0)</f>
        <v>0</v>
      </c>
    </row>
    <row r="47" spans="4:12">
      <c r="D47" s="53"/>
      <c r="E47" s="42"/>
      <c r="F47" s="42"/>
      <c r="G47" s="51"/>
      <c r="H47" s="99">
        <f>IFERROR(GETPIVOTDATA("Value",TD_WEAP_RAW!$A$3,"Variable",H$2,"Escenario",H$1,"Branch","Demand Sites and Catchments\"&amp;$D47),0)</f>
        <v>0</v>
      </c>
      <c r="I47" s="99">
        <f>IFERROR(GETPIVOTDATA("Value",TD_WEAP_RAW!$A$3,"Variable",I$2,"Escenario",I$1,"Branch","Demand Sites and Catchments\"&amp;$D47),0)</f>
        <v>0</v>
      </c>
      <c r="J47" s="99">
        <f>IFERROR(GETPIVOTDATA("Value",TD_WEAP_RAW!$A$3,"Variable",J$2,"Escenario",J$1,"Branch","Demand Sites and Catchments\"&amp;$D47),0)</f>
        <v>0</v>
      </c>
      <c r="K47" s="99">
        <f>IFERROR(GETPIVOTDATA("Value",TD_WEAP_RAW!$A$3,"Variable",K$2,"Escenario",K$1,"Branch","Demand Sites and Catchments\"&amp;$D47),0)</f>
        <v>0</v>
      </c>
      <c r="L47" s="99">
        <f>IFERROR(GETPIVOTDATA("Value",TD_WEAP_RAW!$A$3,"Variable",L$2,"Escenario",L$1,"Branch","Demand Sites and Catchments\"&amp;$D47),0)</f>
        <v>0</v>
      </c>
    </row>
    <row r="48" spans="4:12">
      <c r="D48" s="53"/>
      <c r="E48" s="42"/>
      <c r="F48" s="42"/>
      <c r="G48" s="51"/>
      <c r="H48" s="99">
        <f>IFERROR(GETPIVOTDATA("Value",TD_WEAP_RAW!$A$3,"Variable",H$2,"Escenario",H$1,"Branch","Demand Sites and Catchments\"&amp;$D48),0)</f>
        <v>0</v>
      </c>
      <c r="I48" s="99">
        <f>IFERROR(GETPIVOTDATA("Value",TD_WEAP_RAW!$A$3,"Variable",I$2,"Escenario",I$1,"Branch","Demand Sites and Catchments\"&amp;$D48),0)</f>
        <v>0</v>
      </c>
      <c r="J48" s="99">
        <f>IFERROR(GETPIVOTDATA("Value",TD_WEAP_RAW!$A$3,"Variable",J$2,"Escenario",J$1,"Branch","Demand Sites and Catchments\"&amp;$D48),0)</f>
        <v>0</v>
      </c>
      <c r="K48" s="99">
        <f>IFERROR(GETPIVOTDATA("Value",TD_WEAP_RAW!$A$3,"Variable",K$2,"Escenario",K$1,"Branch","Demand Sites and Catchments\"&amp;$D48),0)</f>
        <v>0</v>
      </c>
      <c r="L48" s="99">
        <f>IFERROR(GETPIVOTDATA("Value",TD_WEAP_RAW!$A$3,"Variable",L$2,"Escenario",L$1,"Branch","Demand Sites and Catchments\"&amp;$D48),0)</f>
        <v>0</v>
      </c>
    </row>
    <row r="49" spans="4:12">
      <c r="D49" s="53"/>
      <c r="E49" s="42"/>
      <c r="F49" s="42"/>
      <c r="G49" s="51"/>
      <c r="H49" s="99">
        <f>IFERROR(GETPIVOTDATA("Value",TD_WEAP_RAW!$A$3,"Variable",H$2,"Escenario",H$1,"Branch","Demand Sites and Catchments\"&amp;$D49),0)</f>
        <v>0</v>
      </c>
      <c r="I49" s="99">
        <f>IFERROR(GETPIVOTDATA("Value",TD_WEAP_RAW!$A$3,"Variable",I$2,"Escenario",I$1,"Branch","Demand Sites and Catchments\"&amp;$D49),0)</f>
        <v>0</v>
      </c>
      <c r="J49" s="99">
        <f>IFERROR(GETPIVOTDATA("Value",TD_WEAP_RAW!$A$3,"Variable",J$2,"Escenario",J$1,"Branch","Demand Sites and Catchments\"&amp;$D49),0)</f>
        <v>0</v>
      </c>
      <c r="K49" s="99">
        <f>IFERROR(GETPIVOTDATA("Value",TD_WEAP_RAW!$A$3,"Variable",K$2,"Escenario",K$1,"Branch","Demand Sites and Catchments\"&amp;$D49),0)</f>
        <v>0</v>
      </c>
      <c r="L49" s="99">
        <f>IFERROR(GETPIVOTDATA("Value",TD_WEAP_RAW!$A$3,"Variable",L$2,"Escenario",L$1,"Branch","Demand Sites and Catchments\"&amp;$D49),0)</f>
        <v>0</v>
      </c>
    </row>
    <row r="50" spans="4:12">
      <c r="D50" s="53"/>
      <c r="E50" s="42"/>
      <c r="F50" s="42"/>
      <c r="G50" s="51"/>
      <c r="H50" s="99">
        <f>IFERROR(GETPIVOTDATA("Value",TD_WEAP_RAW!$A$3,"Variable",H$2,"Escenario",H$1,"Branch","Demand Sites and Catchments\"&amp;$D50),0)</f>
        <v>0</v>
      </c>
      <c r="I50" s="99">
        <f>IFERROR(GETPIVOTDATA("Value",TD_WEAP_RAW!$A$3,"Variable",I$2,"Escenario",I$1,"Branch","Demand Sites and Catchments\"&amp;$D50),0)</f>
        <v>0</v>
      </c>
      <c r="J50" s="99">
        <f>IFERROR(GETPIVOTDATA("Value",TD_WEAP_RAW!$A$3,"Variable",J$2,"Escenario",J$1,"Branch","Demand Sites and Catchments\"&amp;$D50),0)</f>
        <v>0</v>
      </c>
      <c r="K50" s="99">
        <f>IFERROR(GETPIVOTDATA("Value",TD_WEAP_RAW!$A$3,"Variable",K$2,"Escenario",K$1,"Branch","Demand Sites and Catchments\"&amp;$D50),0)</f>
        <v>0</v>
      </c>
      <c r="L50" s="99">
        <f>IFERROR(GETPIVOTDATA("Value",TD_WEAP_RAW!$A$3,"Variable",L$2,"Escenario",L$1,"Branch","Demand Sites and Catchments\"&amp;$D50),0)</f>
        <v>0</v>
      </c>
    </row>
    <row r="51" spans="4:12">
      <c r="D51" s="53"/>
      <c r="E51" s="42"/>
      <c r="F51" s="42"/>
      <c r="G51" s="51"/>
      <c r="H51" s="99">
        <f>IFERROR(GETPIVOTDATA("Value",TD_WEAP_RAW!$A$3,"Variable",H$2,"Escenario",H$1,"Branch","Demand Sites and Catchments\"&amp;$D51),0)</f>
        <v>0</v>
      </c>
      <c r="I51" s="99">
        <f>IFERROR(GETPIVOTDATA("Value",TD_WEAP_RAW!$A$3,"Variable",I$2,"Escenario",I$1,"Branch","Demand Sites and Catchments\"&amp;$D51),0)</f>
        <v>0</v>
      </c>
      <c r="J51" s="99">
        <f>IFERROR(GETPIVOTDATA("Value",TD_WEAP_RAW!$A$3,"Variable",J$2,"Escenario",J$1,"Branch","Demand Sites and Catchments\"&amp;$D51),0)</f>
        <v>0</v>
      </c>
      <c r="K51" s="99">
        <f>IFERROR(GETPIVOTDATA("Value",TD_WEAP_RAW!$A$3,"Variable",K$2,"Escenario",K$1,"Branch","Demand Sites and Catchments\"&amp;$D51),0)</f>
        <v>0</v>
      </c>
      <c r="L51" s="99">
        <f>IFERROR(GETPIVOTDATA("Value",TD_WEAP_RAW!$A$3,"Variable",L$2,"Escenario",L$1,"Branch","Demand Sites and Catchments\"&amp;$D51),0)</f>
        <v>0</v>
      </c>
    </row>
    <row r="52" spans="4:12">
      <c r="D52" s="53"/>
      <c r="E52" s="42"/>
      <c r="F52" s="42"/>
      <c r="G52" s="51"/>
      <c r="H52" s="99">
        <f>IFERROR(GETPIVOTDATA("Value",TD_WEAP_RAW!$A$3,"Variable",H$2,"Escenario",H$1,"Branch","Demand Sites and Catchments\"&amp;$D52),0)</f>
        <v>0</v>
      </c>
      <c r="I52" s="99">
        <f>IFERROR(GETPIVOTDATA("Value",TD_WEAP_RAW!$A$3,"Variable",I$2,"Escenario",I$1,"Branch","Demand Sites and Catchments\"&amp;$D52),0)</f>
        <v>0</v>
      </c>
      <c r="J52" s="99">
        <f>IFERROR(GETPIVOTDATA("Value",TD_WEAP_RAW!$A$3,"Variable",J$2,"Escenario",J$1,"Branch","Demand Sites and Catchments\"&amp;$D52),0)</f>
        <v>0</v>
      </c>
      <c r="K52" s="99">
        <f>IFERROR(GETPIVOTDATA("Value",TD_WEAP_RAW!$A$3,"Variable",K$2,"Escenario",K$1,"Branch","Demand Sites and Catchments\"&amp;$D52),0)</f>
        <v>0</v>
      </c>
      <c r="L52" s="99">
        <f>IFERROR(GETPIVOTDATA("Value",TD_WEAP_RAW!$A$3,"Variable",L$2,"Escenario",L$1,"Branch","Demand Sites and Catchments\"&amp;$D52),0)</f>
        <v>0</v>
      </c>
    </row>
    <row r="53" spans="4:12">
      <c r="D53" s="53"/>
      <c r="E53" s="42"/>
      <c r="F53" s="42"/>
      <c r="G53" s="51"/>
      <c r="H53" s="99">
        <f>IFERROR(GETPIVOTDATA("Value",TD_WEAP_RAW!$A$3,"Variable",H$2,"Escenario",H$1,"Branch","Demand Sites and Catchments\"&amp;$D53),0)</f>
        <v>0</v>
      </c>
      <c r="I53" s="99">
        <f>IFERROR(GETPIVOTDATA("Value",TD_WEAP_RAW!$A$3,"Variable",I$2,"Escenario",I$1,"Branch","Demand Sites and Catchments\"&amp;$D53),0)</f>
        <v>0</v>
      </c>
      <c r="J53" s="99">
        <f>IFERROR(GETPIVOTDATA("Value",TD_WEAP_RAW!$A$3,"Variable",J$2,"Escenario",J$1,"Branch","Demand Sites and Catchments\"&amp;$D53),0)</f>
        <v>0</v>
      </c>
      <c r="K53" s="99">
        <f>IFERROR(GETPIVOTDATA("Value",TD_WEAP_RAW!$A$3,"Variable",K$2,"Escenario",K$1,"Branch","Demand Sites and Catchments\"&amp;$D53),0)</f>
        <v>0</v>
      </c>
      <c r="L53" s="99">
        <f>IFERROR(GETPIVOTDATA("Value",TD_WEAP_RAW!$A$3,"Variable",L$2,"Escenario",L$1,"Branch","Demand Sites and Catchments\"&amp;$D53),0)</f>
        <v>0</v>
      </c>
    </row>
    <row r="54" spans="4:12">
      <c r="D54" s="53"/>
      <c r="E54" s="42"/>
      <c r="F54" s="42"/>
      <c r="G54" s="51"/>
      <c r="H54" s="99">
        <f>IFERROR(GETPIVOTDATA("Value",TD_WEAP_RAW!$A$3,"Variable",H$2,"Escenario",H$1,"Branch","Demand Sites and Catchments\"&amp;$D54),0)</f>
        <v>0</v>
      </c>
      <c r="I54" s="99">
        <f>IFERROR(GETPIVOTDATA("Value",TD_WEAP_RAW!$A$3,"Variable",I$2,"Escenario",I$1,"Branch","Demand Sites and Catchments\"&amp;$D54),0)</f>
        <v>0</v>
      </c>
      <c r="J54" s="99">
        <f>IFERROR(GETPIVOTDATA("Value",TD_WEAP_RAW!$A$3,"Variable",J$2,"Escenario",J$1,"Branch","Demand Sites and Catchments\"&amp;$D54),0)</f>
        <v>0</v>
      </c>
      <c r="K54" s="99">
        <f>IFERROR(GETPIVOTDATA("Value",TD_WEAP_RAW!$A$3,"Variable",K$2,"Escenario",K$1,"Branch","Demand Sites and Catchments\"&amp;$D54),0)</f>
        <v>0</v>
      </c>
      <c r="L54" s="99">
        <f>IFERROR(GETPIVOTDATA("Value",TD_WEAP_RAW!$A$3,"Variable",L$2,"Escenario",L$1,"Branch","Demand Sites and Catchments\"&amp;$D54),0)</f>
        <v>0</v>
      </c>
    </row>
    <row r="55" spans="4:12">
      <c r="D55" s="53"/>
      <c r="E55" s="42"/>
      <c r="F55" s="42"/>
      <c r="G55" s="51"/>
      <c r="H55" s="99">
        <f>IFERROR(GETPIVOTDATA("Value",TD_WEAP_RAW!$A$3,"Variable",H$2,"Escenario",H$1,"Branch","Demand Sites and Catchments\"&amp;$D55),0)</f>
        <v>0</v>
      </c>
      <c r="I55" s="99">
        <f>IFERROR(GETPIVOTDATA("Value",TD_WEAP_RAW!$A$3,"Variable",I$2,"Escenario",I$1,"Branch","Demand Sites and Catchments\"&amp;$D55),0)</f>
        <v>0</v>
      </c>
      <c r="J55" s="99">
        <f>IFERROR(GETPIVOTDATA("Value",TD_WEAP_RAW!$A$3,"Variable",J$2,"Escenario",J$1,"Branch","Demand Sites and Catchments\"&amp;$D55),0)</f>
        <v>0</v>
      </c>
      <c r="K55" s="99">
        <f>IFERROR(GETPIVOTDATA("Value",TD_WEAP_RAW!$A$3,"Variable",K$2,"Escenario",K$1,"Branch","Demand Sites and Catchments\"&amp;$D55),0)</f>
        <v>0</v>
      </c>
      <c r="L55" s="99">
        <f>IFERROR(GETPIVOTDATA("Value",TD_WEAP_RAW!$A$3,"Variable",L$2,"Escenario",L$1,"Branch","Demand Sites and Catchments\"&amp;$D55),0)</f>
        <v>0</v>
      </c>
    </row>
    <row r="56" spans="4:12">
      <c r="D56" s="53"/>
      <c r="E56" s="42"/>
      <c r="F56" s="42"/>
      <c r="G56" s="51"/>
      <c r="H56" s="99">
        <f>IFERROR(GETPIVOTDATA("Value",TD_WEAP_RAW!$A$3,"Variable",H$2,"Escenario",H$1,"Branch","Demand Sites and Catchments\"&amp;$D56),0)</f>
        <v>0</v>
      </c>
      <c r="I56" s="99">
        <f>IFERROR(GETPIVOTDATA("Value",TD_WEAP_RAW!$A$3,"Variable",I$2,"Escenario",I$1,"Branch","Demand Sites and Catchments\"&amp;$D56),0)</f>
        <v>0</v>
      </c>
      <c r="J56" s="99">
        <f>IFERROR(GETPIVOTDATA("Value",TD_WEAP_RAW!$A$3,"Variable",J$2,"Escenario",J$1,"Branch","Demand Sites and Catchments\"&amp;$D56),0)</f>
        <v>0</v>
      </c>
      <c r="K56" s="99">
        <f>IFERROR(GETPIVOTDATA("Value",TD_WEAP_RAW!$A$3,"Variable",K$2,"Escenario",K$1,"Branch","Demand Sites and Catchments\"&amp;$D56),0)</f>
        <v>0</v>
      </c>
      <c r="L56" s="99">
        <f>IFERROR(GETPIVOTDATA("Value",TD_WEAP_RAW!$A$3,"Variable",L$2,"Escenario",L$1,"Branch","Demand Sites and Catchments\"&amp;$D56),0)</f>
        <v>0</v>
      </c>
    </row>
    <row r="57" spans="4:12">
      <c r="D57" s="53"/>
      <c r="E57" s="42"/>
      <c r="F57" s="42"/>
      <c r="G57" s="51"/>
      <c r="H57" s="99">
        <f>IFERROR(GETPIVOTDATA("Value",TD_WEAP_RAW!$A$3,"Variable",H$2,"Escenario",H$1,"Branch","Demand Sites and Catchments\"&amp;$D57),0)</f>
        <v>0</v>
      </c>
      <c r="I57" s="99">
        <f>IFERROR(GETPIVOTDATA("Value",TD_WEAP_RAW!$A$3,"Variable",I$2,"Escenario",I$1,"Branch","Demand Sites and Catchments\"&amp;$D57),0)</f>
        <v>0</v>
      </c>
      <c r="J57" s="99">
        <f>IFERROR(GETPIVOTDATA("Value",TD_WEAP_RAW!$A$3,"Variable",J$2,"Escenario",J$1,"Branch","Demand Sites and Catchments\"&amp;$D57),0)</f>
        <v>0</v>
      </c>
      <c r="K57" s="99">
        <f>IFERROR(GETPIVOTDATA("Value",TD_WEAP_RAW!$A$3,"Variable",K$2,"Escenario",K$1,"Branch","Demand Sites and Catchments\"&amp;$D57),0)</f>
        <v>0</v>
      </c>
      <c r="L57" s="99">
        <f>IFERROR(GETPIVOTDATA("Value",TD_WEAP_RAW!$A$3,"Variable",L$2,"Escenario",L$1,"Branch","Demand Sites and Catchments\"&amp;$D57),0)</f>
        <v>0</v>
      </c>
    </row>
    <row r="58" spans="4:12">
      <c r="D58" s="53"/>
      <c r="E58" s="42"/>
      <c r="F58" s="42"/>
      <c r="G58" s="51"/>
      <c r="H58" s="99">
        <f>IFERROR(GETPIVOTDATA("Value",TD_WEAP_RAW!$A$3,"Variable",H$2,"Escenario",H$1,"Branch","Demand Sites and Catchments\"&amp;$D58),0)</f>
        <v>0</v>
      </c>
      <c r="I58" s="99">
        <f>IFERROR(GETPIVOTDATA("Value",TD_WEAP_RAW!$A$3,"Variable",I$2,"Escenario",I$1,"Branch","Demand Sites and Catchments\"&amp;$D58),0)</f>
        <v>0</v>
      </c>
      <c r="J58" s="99">
        <f>IFERROR(GETPIVOTDATA("Value",TD_WEAP_RAW!$A$3,"Variable",J$2,"Escenario",J$1,"Branch","Demand Sites and Catchments\"&amp;$D58),0)</f>
        <v>0</v>
      </c>
      <c r="K58" s="99">
        <f>IFERROR(GETPIVOTDATA("Value",TD_WEAP_RAW!$A$3,"Variable",K$2,"Escenario",K$1,"Branch","Demand Sites and Catchments\"&amp;$D58),0)</f>
        <v>0</v>
      </c>
      <c r="L58" s="99">
        <f>IFERROR(GETPIVOTDATA("Value",TD_WEAP_RAW!$A$3,"Variable",L$2,"Escenario",L$1,"Branch","Demand Sites and Catchments\"&amp;$D58),0)</f>
        <v>0</v>
      </c>
    </row>
    <row r="59" spans="4:12">
      <c r="D59" s="53"/>
      <c r="E59" s="42"/>
      <c r="F59" s="42"/>
      <c r="G59" s="51"/>
      <c r="H59" s="99">
        <f>IFERROR(GETPIVOTDATA("Value",TD_WEAP_RAW!$A$3,"Variable",H$2,"Escenario",H$1,"Branch","Demand Sites and Catchments\"&amp;$D59),0)</f>
        <v>0</v>
      </c>
      <c r="I59" s="99">
        <f>IFERROR(GETPIVOTDATA("Value",TD_WEAP_RAW!$A$3,"Variable",I$2,"Escenario",I$1,"Branch","Demand Sites and Catchments\"&amp;$D59),0)</f>
        <v>0</v>
      </c>
      <c r="J59" s="99">
        <f>IFERROR(GETPIVOTDATA("Value",TD_WEAP_RAW!$A$3,"Variable",J$2,"Escenario",J$1,"Branch","Demand Sites and Catchments\"&amp;$D59),0)</f>
        <v>0</v>
      </c>
      <c r="K59" s="99">
        <f>IFERROR(GETPIVOTDATA("Value",TD_WEAP_RAW!$A$3,"Variable",K$2,"Escenario",K$1,"Branch","Demand Sites and Catchments\"&amp;$D59),0)</f>
        <v>0</v>
      </c>
      <c r="L59" s="99">
        <f>IFERROR(GETPIVOTDATA("Value",TD_WEAP_RAW!$A$3,"Variable",L$2,"Escenario",L$1,"Branch","Demand Sites and Catchments\"&amp;$D59),0)</f>
        <v>0</v>
      </c>
    </row>
    <row r="60" spans="4:12">
      <c r="D60" s="53"/>
      <c r="E60" s="42"/>
      <c r="F60" s="42"/>
      <c r="G60" s="51"/>
      <c r="H60" s="99">
        <f>IFERROR(GETPIVOTDATA("Value",TD_WEAP_RAW!$A$3,"Variable",H$2,"Escenario",H$1,"Branch","Demand Sites and Catchments\"&amp;$D60),0)</f>
        <v>0</v>
      </c>
      <c r="I60" s="99">
        <f>IFERROR(GETPIVOTDATA("Value",TD_WEAP_RAW!$A$3,"Variable",I$2,"Escenario",I$1,"Branch","Demand Sites and Catchments\"&amp;$D60),0)</f>
        <v>0</v>
      </c>
      <c r="J60" s="99">
        <f>IFERROR(GETPIVOTDATA("Value",TD_WEAP_RAW!$A$3,"Variable",J$2,"Escenario",J$1,"Branch","Demand Sites and Catchments\"&amp;$D60),0)</f>
        <v>0</v>
      </c>
      <c r="K60" s="99">
        <f>IFERROR(GETPIVOTDATA("Value",TD_WEAP_RAW!$A$3,"Variable",K$2,"Escenario",K$1,"Branch","Demand Sites and Catchments\"&amp;$D60),0)</f>
        <v>0</v>
      </c>
      <c r="L60" s="99">
        <f>IFERROR(GETPIVOTDATA("Value",TD_WEAP_RAW!$A$3,"Variable",L$2,"Escenario",L$1,"Branch","Demand Sites and Catchments\"&amp;$D60),0)</f>
        <v>0</v>
      </c>
    </row>
    <row r="61" spans="4:12">
      <c r="D61" s="53"/>
      <c r="E61" s="42"/>
      <c r="F61" s="42"/>
      <c r="G61" s="51"/>
      <c r="H61" s="99">
        <f>IFERROR(GETPIVOTDATA("Value",TD_WEAP_RAW!$A$3,"Variable",H$2,"Escenario",H$1,"Branch","Demand Sites and Catchments\"&amp;$D61),0)</f>
        <v>0</v>
      </c>
      <c r="I61" s="99">
        <f>IFERROR(GETPIVOTDATA("Value",TD_WEAP_RAW!$A$3,"Variable",I$2,"Escenario",I$1,"Branch","Demand Sites and Catchments\"&amp;$D61),0)</f>
        <v>0</v>
      </c>
      <c r="J61" s="99">
        <f>IFERROR(GETPIVOTDATA("Value",TD_WEAP_RAW!$A$3,"Variable",J$2,"Escenario",J$1,"Branch","Demand Sites and Catchments\"&amp;$D61),0)</f>
        <v>0</v>
      </c>
      <c r="K61" s="99">
        <f>IFERROR(GETPIVOTDATA("Value",TD_WEAP_RAW!$A$3,"Variable",K$2,"Escenario",K$1,"Branch","Demand Sites and Catchments\"&amp;$D61),0)</f>
        <v>0</v>
      </c>
      <c r="L61" s="99">
        <f>IFERROR(GETPIVOTDATA("Value",TD_WEAP_RAW!$A$3,"Variable",L$2,"Escenario",L$1,"Branch","Demand Sites and Catchments\"&amp;$D61),0)</f>
        <v>0</v>
      </c>
    </row>
    <row r="62" spans="4:12">
      <c r="D62" s="53"/>
      <c r="E62" s="42"/>
      <c r="F62" s="42"/>
      <c r="G62" s="51"/>
      <c r="H62" s="99">
        <f>IFERROR(GETPIVOTDATA("Value",TD_WEAP_RAW!$A$3,"Variable",H$2,"Escenario",H$1,"Branch","Demand Sites and Catchments\"&amp;$D62),0)</f>
        <v>0</v>
      </c>
      <c r="I62" s="99">
        <f>IFERROR(GETPIVOTDATA("Value",TD_WEAP_RAW!$A$3,"Variable",I$2,"Escenario",I$1,"Branch","Demand Sites and Catchments\"&amp;$D62),0)</f>
        <v>0</v>
      </c>
      <c r="J62" s="99">
        <f>IFERROR(GETPIVOTDATA("Value",TD_WEAP_RAW!$A$3,"Variable",J$2,"Escenario",J$1,"Branch","Demand Sites and Catchments\"&amp;$D62),0)</f>
        <v>0</v>
      </c>
      <c r="K62" s="99">
        <f>IFERROR(GETPIVOTDATA("Value",TD_WEAP_RAW!$A$3,"Variable",K$2,"Escenario",K$1,"Branch","Demand Sites and Catchments\"&amp;$D62),0)</f>
        <v>0</v>
      </c>
      <c r="L62" s="99">
        <f>IFERROR(GETPIVOTDATA("Value",TD_WEAP_RAW!$A$3,"Variable",L$2,"Escenario",L$1,"Branch","Demand Sites and Catchments\"&amp;$D62),0)</f>
        <v>0</v>
      </c>
    </row>
    <row r="63" spans="4:12">
      <c r="D63" s="53"/>
      <c r="E63" s="42"/>
      <c r="F63" s="42"/>
      <c r="G63" s="51"/>
      <c r="H63" s="99">
        <f>IFERROR(GETPIVOTDATA("Value",TD_WEAP_RAW!$A$3,"Variable",H$2,"Escenario",H$1,"Branch","Demand Sites and Catchments\"&amp;$D63),0)</f>
        <v>0</v>
      </c>
      <c r="I63" s="99">
        <f>IFERROR(GETPIVOTDATA("Value",TD_WEAP_RAW!$A$3,"Variable",I$2,"Escenario",I$1,"Branch","Demand Sites and Catchments\"&amp;$D63),0)</f>
        <v>0</v>
      </c>
      <c r="J63" s="99">
        <f>IFERROR(GETPIVOTDATA("Value",TD_WEAP_RAW!$A$3,"Variable",J$2,"Escenario",J$1,"Branch","Demand Sites and Catchments\"&amp;$D63),0)</f>
        <v>0</v>
      </c>
      <c r="K63" s="99">
        <f>IFERROR(GETPIVOTDATA("Value",TD_WEAP_RAW!$A$3,"Variable",K$2,"Escenario",K$1,"Branch","Demand Sites and Catchments\"&amp;$D63),0)</f>
        <v>0</v>
      </c>
      <c r="L63" s="99">
        <f>IFERROR(GETPIVOTDATA("Value",TD_WEAP_RAW!$A$3,"Variable",L$2,"Escenario",L$1,"Branch","Demand Sites and Catchments\"&amp;$D63),0)</f>
        <v>0</v>
      </c>
    </row>
    <row r="64" spans="4:12">
      <c r="D64" s="53"/>
      <c r="E64" s="42"/>
      <c r="F64" s="42"/>
      <c r="G64" s="51"/>
      <c r="H64" s="99">
        <f>IFERROR(GETPIVOTDATA("Value",TD_WEAP_RAW!$A$3,"Variable",H$2,"Escenario",H$1,"Branch","Demand Sites and Catchments\"&amp;$D64),0)</f>
        <v>0</v>
      </c>
      <c r="I64" s="99">
        <f>IFERROR(GETPIVOTDATA("Value",TD_WEAP_RAW!$A$3,"Variable",I$2,"Escenario",I$1,"Branch","Demand Sites and Catchments\"&amp;$D64),0)</f>
        <v>0</v>
      </c>
      <c r="J64" s="99">
        <f>IFERROR(GETPIVOTDATA("Value",TD_WEAP_RAW!$A$3,"Variable",J$2,"Escenario",J$1,"Branch","Demand Sites and Catchments\"&amp;$D64),0)</f>
        <v>0</v>
      </c>
      <c r="K64" s="99">
        <f>IFERROR(GETPIVOTDATA("Value",TD_WEAP_RAW!$A$3,"Variable",K$2,"Escenario",K$1,"Branch","Demand Sites and Catchments\"&amp;$D64),0)</f>
        <v>0</v>
      </c>
      <c r="L64" s="99">
        <f>IFERROR(GETPIVOTDATA("Value",TD_WEAP_RAW!$A$3,"Variable",L$2,"Escenario",L$1,"Branch","Demand Sites and Catchments\"&amp;$D64),0)</f>
        <v>0</v>
      </c>
    </row>
    <row r="65" spans="4:12">
      <c r="D65" s="53"/>
      <c r="E65" s="42"/>
      <c r="F65" s="42"/>
      <c r="G65" s="51"/>
      <c r="H65" s="99">
        <f>IFERROR(GETPIVOTDATA("Value",TD_WEAP_RAW!$A$3,"Variable",H$2,"Escenario",H$1,"Branch","Demand Sites and Catchments\"&amp;$D65),0)</f>
        <v>0</v>
      </c>
      <c r="I65" s="99">
        <f>IFERROR(GETPIVOTDATA("Value",TD_WEAP_RAW!$A$3,"Variable",I$2,"Escenario",I$1,"Branch","Demand Sites and Catchments\"&amp;$D65),0)</f>
        <v>0</v>
      </c>
      <c r="J65" s="99">
        <f>IFERROR(GETPIVOTDATA("Value",TD_WEAP_RAW!$A$3,"Variable",J$2,"Escenario",J$1,"Branch","Demand Sites and Catchments\"&amp;$D65),0)</f>
        <v>0</v>
      </c>
      <c r="K65" s="99">
        <f>IFERROR(GETPIVOTDATA("Value",TD_WEAP_RAW!$A$3,"Variable",K$2,"Escenario",K$1,"Branch","Demand Sites and Catchments\"&amp;$D65),0)</f>
        <v>0</v>
      </c>
      <c r="L65" s="99">
        <f>IFERROR(GETPIVOTDATA("Value",TD_WEAP_RAW!$A$3,"Variable",L$2,"Escenario",L$1,"Branch","Demand Sites and Catchments\"&amp;$D65),0)</f>
        <v>0</v>
      </c>
    </row>
    <row r="66" spans="4:12">
      <c r="D66" s="53"/>
      <c r="E66" s="42"/>
      <c r="F66" s="42"/>
      <c r="G66" s="51"/>
      <c r="H66" s="99">
        <f>IFERROR(GETPIVOTDATA("Value",TD_WEAP_RAW!$A$3,"Variable",H$2,"Escenario",H$1,"Branch","Demand Sites and Catchments\"&amp;$D66),0)</f>
        <v>0</v>
      </c>
      <c r="I66" s="99">
        <f>IFERROR(GETPIVOTDATA("Value",TD_WEAP_RAW!$A$3,"Variable",I$2,"Escenario",I$1,"Branch","Demand Sites and Catchments\"&amp;$D66),0)</f>
        <v>0</v>
      </c>
      <c r="J66" s="99">
        <f>IFERROR(GETPIVOTDATA("Value",TD_WEAP_RAW!$A$3,"Variable",J$2,"Escenario",J$1,"Branch","Demand Sites and Catchments\"&amp;$D66),0)</f>
        <v>0</v>
      </c>
      <c r="K66" s="99">
        <f>IFERROR(GETPIVOTDATA("Value",TD_WEAP_RAW!$A$3,"Variable",K$2,"Escenario",K$1,"Branch","Demand Sites and Catchments\"&amp;$D66),0)</f>
        <v>0</v>
      </c>
      <c r="L66" s="99">
        <f>IFERROR(GETPIVOTDATA("Value",TD_WEAP_RAW!$A$3,"Variable",L$2,"Escenario",L$1,"Branch","Demand Sites and Catchments\"&amp;$D66),0)</f>
        <v>0</v>
      </c>
    </row>
    <row r="67" spans="4:12">
      <c r="D67" s="53"/>
      <c r="E67" s="42"/>
      <c r="F67" s="42"/>
      <c r="G67" s="51"/>
      <c r="H67" s="99">
        <f>IFERROR(GETPIVOTDATA("Value",TD_WEAP_RAW!$A$3,"Variable",H$2,"Escenario",H$1,"Branch","Demand Sites and Catchments\"&amp;$D67),0)</f>
        <v>0</v>
      </c>
      <c r="I67" s="99">
        <f>IFERROR(GETPIVOTDATA("Value",TD_WEAP_RAW!$A$3,"Variable",I$2,"Escenario",I$1,"Branch","Demand Sites and Catchments\"&amp;$D67),0)</f>
        <v>0</v>
      </c>
      <c r="J67" s="99">
        <f>IFERROR(GETPIVOTDATA("Value",TD_WEAP_RAW!$A$3,"Variable",J$2,"Escenario",J$1,"Branch","Demand Sites and Catchments\"&amp;$D67),0)</f>
        <v>0</v>
      </c>
      <c r="K67" s="99">
        <f>IFERROR(GETPIVOTDATA("Value",TD_WEAP_RAW!$A$3,"Variable",K$2,"Escenario",K$1,"Branch","Demand Sites and Catchments\"&amp;$D67),0)</f>
        <v>0</v>
      </c>
      <c r="L67" s="99">
        <f>IFERROR(GETPIVOTDATA("Value",TD_WEAP_RAW!$A$3,"Variable",L$2,"Escenario",L$1,"Branch","Demand Sites and Catchments\"&amp;$D67),0)</f>
        <v>0</v>
      </c>
    </row>
    <row r="68" spans="4:12">
      <c r="D68" s="53"/>
      <c r="E68" s="42"/>
      <c r="F68" s="42"/>
      <c r="G68" s="51"/>
      <c r="H68" s="99">
        <f>IFERROR(GETPIVOTDATA("Value",TD_WEAP_RAW!$A$3,"Variable",H$2,"Escenario",H$1,"Branch","Demand Sites and Catchments\"&amp;$D68),0)</f>
        <v>0</v>
      </c>
      <c r="I68" s="99">
        <f>IFERROR(GETPIVOTDATA("Value",TD_WEAP_RAW!$A$3,"Variable",I$2,"Escenario",I$1,"Branch","Demand Sites and Catchments\"&amp;$D68),0)</f>
        <v>0</v>
      </c>
      <c r="J68" s="99">
        <f>IFERROR(GETPIVOTDATA("Value",TD_WEAP_RAW!$A$3,"Variable",J$2,"Escenario",J$1,"Branch","Demand Sites and Catchments\"&amp;$D68),0)</f>
        <v>0</v>
      </c>
      <c r="K68" s="99">
        <f>IFERROR(GETPIVOTDATA("Value",TD_WEAP_RAW!$A$3,"Variable",K$2,"Escenario",K$1,"Branch","Demand Sites and Catchments\"&amp;$D68),0)</f>
        <v>0</v>
      </c>
      <c r="L68" s="99">
        <f>IFERROR(GETPIVOTDATA("Value",TD_WEAP_RAW!$A$3,"Variable",L$2,"Escenario",L$1,"Branch","Demand Sites and Catchments\"&amp;$D68),0)</f>
        <v>0</v>
      </c>
    </row>
    <row r="69" spans="4:12">
      <c r="D69" s="53"/>
      <c r="E69" s="42"/>
      <c r="F69" s="42"/>
      <c r="G69" s="51"/>
      <c r="H69" s="99">
        <f>IFERROR(GETPIVOTDATA("Value",TD_WEAP_RAW!$A$3,"Variable",H$2,"Escenario",H$1,"Branch","Demand Sites and Catchments\"&amp;$D69),0)</f>
        <v>0</v>
      </c>
      <c r="I69" s="99">
        <f>IFERROR(GETPIVOTDATA("Value",TD_WEAP_RAW!$A$3,"Variable",I$2,"Escenario",I$1,"Branch","Demand Sites and Catchments\"&amp;$D69),0)</f>
        <v>0</v>
      </c>
      <c r="J69" s="99">
        <f>IFERROR(GETPIVOTDATA("Value",TD_WEAP_RAW!$A$3,"Variable",J$2,"Escenario",J$1,"Branch","Demand Sites and Catchments\"&amp;$D69),0)</f>
        <v>0</v>
      </c>
      <c r="K69" s="99">
        <f>IFERROR(GETPIVOTDATA("Value",TD_WEAP_RAW!$A$3,"Variable",K$2,"Escenario",K$1,"Branch","Demand Sites and Catchments\"&amp;$D69),0)</f>
        <v>0</v>
      </c>
      <c r="L69" s="99">
        <f>IFERROR(GETPIVOTDATA("Value",TD_WEAP_RAW!$A$3,"Variable",L$2,"Escenario",L$1,"Branch","Demand Sites and Catchments\"&amp;$D69),0)</f>
        <v>0</v>
      </c>
    </row>
    <row r="70" spans="4:12">
      <c r="D70" s="53"/>
      <c r="E70" s="42"/>
      <c r="F70" s="42"/>
      <c r="G70" s="51"/>
      <c r="H70" s="99">
        <f>IFERROR(GETPIVOTDATA("Value",TD_WEAP_RAW!$A$3,"Variable",H$2,"Escenario",H$1,"Branch","Demand Sites and Catchments\"&amp;$D70),0)</f>
        <v>0</v>
      </c>
      <c r="I70" s="99">
        <f>IFERROR(GETPIVOTDATA("Value",TD_WEAP_RAW!$A$3,"Variable",I$2,"Escenario",I$1,"Branch","Demand Sites and Catchments\"&amp;$D70),0)</f>
        <v>0</v>
      </c>
      <c r="J70" s="99">
        <f>IFERROR(GETPIVOTDATA("Value",TD_WEAP_RAW!$A$3,"Variable",J$2,"Escenario",J$1,"Branch","Demand Sites and Catchments\"&amp;$D70),0)</f>
        <v>0</v>
      </c>
      <c r="K70" s="99">
        <f>IFERROR(GETPIVOTDATA("Value",TD_WEAP_RAW!$A$3,"Variable",K$2,"Escenario",K$1,"Branch","Demand Sites and Catchments\"&amp;$D70),0)</f>
        <v>0</v>
      </c>
      <c r="L70" s="99">
        <f>IFERROR(GETPIVOTDATA("Value",TD_WEAP_RAW!$A$3,"Variable",L$2,"Escenario",L$1,"Branch","Demand Sites and Catchments\"&amp;$D70),0)</f>
        <v>0</v>
      </c>
    </row>
    <row r="71" spans="4:12">
      <c r="D71" s="53"/>
      <c r="E71" s="42"/>
      <c r="F71" s="42"/>
      <c r="G71" s="51"/>
      <c r="H71" s="99">
        <f>IFERROR(GETPIVOTDATA("Value",TD_WEAP_RAW!$A$3,"Variable",H$2,"Escenario",H$1,"Branch","Demand Sites and Catchments\"&amp;$D71),0)</f>
        <v>0</v>
      </c>
      <c r="I71" s="99">
        <f>IFERROR(GETPIVOTDATA("Value",TD_WEAP_RAW!$A$3,"Variable",I$2,"Escenario",I$1,"Branch","Demand Sites and Catchments\"&amp;$D71),0)</f>
        <v>0</v>
      </c>
      <c r="J71" s="99">
        <f>IFERROR(GETPIVOTDATA("Value",TD_WEAP_RAW!$A$3,"Variable",J$2,"Escenario",J$1,"Branch","Demand Sites and Catchments\"&amp;$D71),0)</f>
        <v>0</v>
      </c>
      <c r="K71" s="99">
        <f>IFERROR(GETPIVOTDATA("Value",TD_WEAP_RAW!$A$3,"Variable",K$2,"Escenario",K$1,"Branch","Demand Sites and Catchments\"&amp;$D71),0)</f>
        <v>0</v>
      </c>
      <c r="L71" s="99">
        <f>IFERROR(GETPIVOTDATA("Value",TD_WEAP_RAW!$A$3,"Variable",L$2,"Escenario",L$1,"Branch","Demand Sites and Catchments\"&amp;$D71),0)</f>
        <v>0</v>
      </c>
    </row>
    <row r="72" spans="4:12">
      <c r="D72" s="53"/>
      <c r="E72" s="42"/>
      <c r="F72" s="42"/>
      <c r="G72" s="51"/>
      <c r="H72" s="99">
        <f>IFERROR(GETPIVOTDATA("Value",TD_WEAP_RAW!$A$3,"Variable",H$2,"Escenario",H$1,"Branch","Demand Sites and Catchments\"&amp;$D72),0)</f>
        <v>0</v>
      </c>
      <c r="I72" s="99">
        <f>IFERROR(GETPIVOTDATA("Value",TD_WEAP_RAW!$A$3,"Variable",I$2,"Escenario",I$1,"Branch","Demand Sites and Catchments\"&amp;$D72),0)</f>
        <v>0</v>
      </c>
      <c r="J72" s="99">
        <f>IFERROR(GETPIVOTDATA("Value",TD_WEAP_RAW!$A$3,"Variable",J$2,"Escenario",J$1,"Branch","Demand Sites and Catchments\"&amp;$D72),0)</f>
        <v>0</v>
      </c>
      <c r="K72" s="99">
        <f>IFERROR(GETPIVOTDATA("Value",TD_WEAP_RAW!$A$3,"Variable",K$2,"Escenario",K$1,"Branch","Demand Sites and Catchments\"&amp;$D72),0)</f>
        <v>0</v>
      </c>
      <c r="L72" s="99">
        <f>IFERROR(GETPIVOTDATA("Value",TD_WEAP_RAW!$A$3,"Variable",L$2,"Escenario",L$1,"Branch","Demand Sites and Catchments\"&amp;$D72),0)</f>
        <v>0</v>
      </c>
    </row>
    <row r="73" spans="4:12">
      <c r="D73" s="53"/>
      <c r="E73" s="42"/>
      <c r="F73" s="42"/>
      <c r="G73" s="51"/>
      <c r="H73" s="99">
        <f>IFERROR(GETPIVOTDATA("Value",TD_WEAP_RAW!$A$3,"Variable",H$2,"Escenario",H$1,"Branch","Demand Sites and Catchments\"&amp;$D73),0)</f>
        <v>0</v>
      </c>
      <c r="I73" s="99">
        <f>IFERROR(GETPIVOTDATA("Value",TD_WEAP_RAW!$A$3,"Variable",I$2,"Escenario",I$1,"Branch","Demand Sites and Catchments\"&amp;$D73),0)</f>
        <v>0</v>
      </c>
      <c r="J73" s="99">
        <f>IFERROR(GETPIVOTDATA("Value",TD_WEAP_RAW!$A$3,"Variable",J$2,"Escenario",J$1,"Branch","Demand Sites and Catchments\"&amp;$D73),0)</f>
        <v>0</v>
      </c>
      <c r="K73" s="99">
        <f>IFERROR(GETPIVOTDATA("Value",TD_WEAP_RAW!$A$3,"Variable",K$2,"Escenario",K$1,"Branch","Demand Sites and Catchments\"&amp;$D73),0)</f>
        <v>0</v>
      </c>
      <c r="L73" s="99">
        <f>IFERROR(GETPIVOTDATA("Value",TD_WEAP_RAW!$A$3,"Variable",L$2,"Escenario",L$1,"Branch","Demand Sites and Catchments\"&amp;$D73),0)</f>
        <v>0</v>
      </c>
    </row>
    <row r="74" spans="4:12">
      <c r="D74" s="53"/>
      <c r="E74" s="42"/>
      <c r="F74" s="42"/>
      <c r="G74" s="51"/>
      <c r="H74" s="99">
        <f>IFERROR(GETPIVOTDATA("Value",TD_WEAP_RAW!$A$3,"Variable",H$2,"Escenario",H$1,"Branch","Demand Sites and Catchments\"&amp;$D74),0)</f>
        <v>0</v>
      </c>
      <c r="I74" s="99">
        <f>IFERROR(GETPIVOTDATA("Value",TD_WEAP_RAW!$A$3,"Variable",I$2,"Escenario",I$1,"Branch","Demand Sites and Catchments\"&amp;$D74),0)</f>
        <v>0</v>
      </c>
      <c r="J74" s="99">
        <f>IFERROR(GETPIVOTDATA("Value",TD_WEAP_RAW!$A$3,"Variable",J$2,"Escenario",J$1,"Branch","Demand Sites and Catchments\"&amp;$D74),0)</f>
        <v>0</v>
      </c>
      <c r="K74" s="99">
        <f>IFERROR(GETPIVOTDATA("Value",TD_WEAP_RAW!$A$3,"Variable",K$2,"Escenario",K$1,"Branch","Demand Sites and Catchments\"&amp;$D74),0)</f>
        <v>0</v>
      </c>
      <c r="L74" s="99">
        <f>IFERROR(GETPIVOTDATA("Value",TD_WEAP_RAW!$A$3,"Variable",L$2,"Escenario",L$1,"Branch","Demand Sites and Catchments\"&amp;$D74),0)</f>
        <v>0</v>
      </c>
    </row>
    <row r="75" spans="4:12">
      <c r="D75" s="53"/>
      <c r="E75" s="42"/>
      <c r="F75" s="42"/>
      <c r="G75" s="51"/>
      <c r="H75" s="99">
        <f>IFERROR(GETPIVOTDATA("Value",TD_WEAP_RAW!$A$3,"Variable",H$2,"Escenario",H$1,"Branch","Demand Sites and Catchments\"&amp;$D75),0)</f>
        <v>0</v>
      </c>
      <c r="I75" s="99">
        <f>IFERROR(GETPIVOTDATA("Value",TD_WEAP_RAW!$A$3,"Variable",I$2,"Escenario",I$1,"Branch","Demand Sites and Catchments\"&amp;$D75),0)</f>
        <v>0</v>
      </c>
      <c r="J75" s="99">
        <f>IFERROR(GETPIVOTDATA("Value",TD_WEAP_RAW!$A$3,"Variable",J$2,"Escenario",J$1,"Branch","Demand Sites and Catchments\"&amp;$D75),0)</f>
        <v>0</v>
      </c>
      <c r="K75" s="99">
        <f>IFERROR(GETPIVOTDATA("Value",TD_WEAP_RAW!$A$3,"Variable",K$2,"Escenario",K$1,"Branch","Demand Sites and Catchments\"&amp;$D75),0)</f>
        <v>0</v>
      </c>
      <c r="L75" s="99">
        <f>IFERROR(GETPIVOTDATA("Value",TD_WEAP_RAW!$A$3,"Variable",L$2,"Escenario",L$1,"Branch","Demand Sites and Catchments\"&amp;$D75),0)</f>
        <v>0</v>
      </c>
    </row>
    <row r="76" spans="4:12">
      <c r="D76" s="53"/>
      <c r="E76" s="42"/>
      <c r="F76" s="42"/>
      <c r="G76" s="51"/>
      <c r="H76" s="99">
        <f>IFERROR(GETPIVOTDATA("Value",TD_WEAP_RAW!$A$3,"Variable",H$2,"Escenario",H$1,"Branch","Demand Sites and Catchments\"&amp;$D76),0)</f>
        <v>0</v>
      </c>
      <c r="I76" s="99">
        <f>IFERROR(GETPIVOTDATA("Value",TD_WEAP_RAW!$A$3,"Variable",I$2,"Escenario",I$1,"Branch","Demand Sites and Catchments\"&amp;$D76),0)</f>
        <v>0</v>
      </c>
      <c r="J76" s="99">
        <f>IFERROR(GETPIVOTDATA("Value",TD_WEAP_RAW!$A$3,"Variable",J$2,"Escenario",J$1,"Branch","Demand Sites and Catchments\"&amp;$D76),0)</f>
        <v>0</v>
      </c>
      <c r="K76" s="99">
        <f>IFERROR(GETPIVOTDATA("Value",TD_WEAP_RAW!$A$3,"Variable",K$2,"Escenario",K$1,"Branch","Demand Sites and Catchments\"&amp;$D76),0)</f>
        <v>0</v>
      </c>
      <c r="L76" s="99">
        <f>IFERROR(GETPIVOTDATA("Value",TD_WEAP_RAW!$A$3,"Variable",L$2,"Escenario",L$1,"Branch","Demand Sites and Catchments\"&amp;$D76),0)</f>
        <v>0</v>
      </c>
    </row>
    <row r="77" spans="4:12">
      <c r="D77" s="53"/>
      <c r="E77" s="42"/>
      <c r="F77" s="42"/>
      <c r="G77" s="51"/>
      <c r="H77" s="99">
        <f>IFERROR(GETPIVOTDATA("Value",TD_WEAP_RAW!$A$3,"Variable",H$2,"Escenario",H$1,"Branch","Demand Sites and Catchments\"&amp;$D77),0)</f>
        <v>0</v>
      </c>
      <c r="I77" s="99">
        <f>IFERROR(GETPIVOTDATA("Value",TD_WEAP_RAW!$A$3,"Variable",I$2,"Escenario",I$1,"Branch","Demand Sites and Catchments\"&amp;$D77),0)</f>
        <v>0</v>
      </c>
      <c r="J77" s="99">
        <f>IFERROR(GETPIVOTDATA("Value",TD_WEAP_RAW!$A$3,"Variable",J$2,"Escenario",J$1,"Branch","Demand Sites and Catchments\"&amp;$D77),0)</f>
        <v>0</v>
      </c>
      <c r="K77" s="99">
        <f>IFERROR(GETPIVOTDATA("Value",TD_WEAP_RAW!$A$3,"Variable",K$2,"Escenario",K$1,"Branch","Demand Sites and Catchments\"&amp;$D77),0)</f>
        <v>0</v>
      </c>
      <c r="L77" s="99">
        <f>IFERROR(GETPIVOTDATA("Value",TD_WEAP_RAW!$A$3,"Variable",L$2,"Escenario",L$1,"Branch","Demand Sites and Catchments\"&amp;$D77),0)</f>
        <v>0</v>
      </c>
    </row>
    <row r="78" spans="4:12">
      <c r="D78" s="53"/>
      <c r="E78" s="42"/>
      <c r="F78" s="42"/>
      <c r="G78" s="51"/>
      <c r="H78" s="99">
        <f>IFERROR(GETPIVOTDATA("Value",TD_WEAP_RAW!$A$3,"Variable",H$2,"Escenario",H$1,"Branch","Demand Sites and Catchments\"&amp;$D78),0)</f>
        <v>0</v>
      </c>
      <c r="I78" s="99">
        <f>IFERROR(GETPIVOTDATA("Value",TD_WEAP_RAW!$A$3,"Variable",I$2,"Escenario",I$1,"Branch","Demand Sites and Catchments\"&amp;$D78),0)</f>
        <v>0</v>
      </c>
      <c r="J78" s="99">
        <f>IFERROR(GETPIVOTDATA("Value",TD_WEAP_RAW!$A$3,"Variable",J$2,"Escenario",J$1,"Branch","Demand Sites and Catchments\"&amp;$D78),0)</f>
        <v>0</v>
      </c>
      <c r="K78" s="99">
        <f>IFERROR(GETPIVOTDATA("Value",TD_WEAP_RAW!$A$3,"Variable",K$2,"Escenario",K$1,"Branch","Demand Sites and Catchments\"&amp;$D78),0)</f>
        <v>0</v>
      </c>
      <c r="L78" s="99">
        <f>IFERROR(GETPIVOTDATA("Value",TD_WEAP_RAW!$A$3,"Variable",L$2,"Escenario",L$1,"Branch","Demand Sites and Catchments\"&amp;$D78),0)</f>
        <v>0</v>
      </c>
    </row>
    <row r="79" spans="4:12">
      <c r="D79" s="53"/>
      <c r="E79" s="42"/>
      <c r="F79" s="42"/>
      <c r="G79" s="51"/>
      <c r="H79" s="99">
        <f>IFERROR(GETPIVOTDATA("Value",TD_WEAP_RAW!$A$3,"Variable",H$2,"Escenario",H$1,"Branch","Demand Sites and Catchments\"&amp;$D79),0)</f>
        <v>0</v>
      </c>
      <c r="I79" s="99">
        <f>IFERROR(GETPIVOTDATA("Value",TD_WEAP_RAW!$A$3,"Variable",I$2,"Escenario",I$1,"Branch","Demand Sites and Catchments\"&amp;$D79),0)</f>
        <v>0</v>
      </c>
      <c r="J79" s="99">
        <f>IFERROR(GETPIVOTDATA("Value",TD_WEAP_RAW!$A$3,"Variable",J$2,"Escenario",J$1,"Branch","Demand Sites and Catchments\"&amp;$D79),0)</f>
        <v>0</v>
      </c>
      <c r="K79" s="99">
        <f>IFERROR(GETPIVOTDATA("Value",TD_WEAP_RAW!$A$3,"Variable",K$2,"Escenario",K$1,"Branch","Demand Sites and Catchments\"&amp;$D79),0)</f>
        <v>0</v>
      </c>
      <c r="L79" s="99">
        <f>IFERROR(GETPIVOTDATA("Value",TD_WEAP_RAW!$A$3,"Variable",L$2,"Escenario",L$1,"Branch","Demand Sites and Catchments\"&amp;$D79),0)</f>
        <v>0</v>
      </c>
    </row>
    <row r="80" spans="4:12">
      <c r="D80" s="53"/>
      <c r="E80" s="42"/>
      <c r="F80" s="42"/>
      <c r="G80" s="51"/>
      <c r="H80" s="99">
        <f>IFERROR(GETPIVOTDATA("Value",TD_WEAP_RAW!$A$3,"Variable",H$2,"Escenario",H$1,"Branch","Demand Sites and Catchments\"&amp;$D80),0)</f>
        <v>0</v>
      </c>
      <c r="I80" s="99">
        <f>IFERROR(GETPIVOTDATA("Value",TD_WEAP_RAW!$A$3,"Variable",I$2,"Escenario",I$1,"Branch","Demand Sites and Catchments\"&amp;$D80),0)</f>
        <v>0</v>
      </c>
      <c r="J80" s="99">
        <f>IFERROR(GETPIVOTDATA("Value",TD_WEAP_RAW!$A$3,"Variable",J$2,"Escenario",J$1,"Branch","Demand Sites and Catchments\"&amp;$D80),0)</f>
        <v>0</v>
      </c>
      <c r="K80" s="99">
        <f>IFERROR(GETPIVOTDATA("Value",TD_WEAP_RAW!$A$3,"Variable",K$2,"Escenario",K$1,"Branch","Demand Sites and Catchments\"&amp;$D80),0)</f>
        <v>0</v>
      </c>
      <c r="L80" s="99">
        <f>IFERROR(GETPIVOTDATA("Value",TD_WEAP_RAW!$A$3,"Variable",L$2,"Escenario",L$1,"Branch","Demand Sites and Catchments\"&amp;$D80),0)</f>
        <v>0</v>
      </c>
    </row>
    <row r="81" spans="4:12">
      <c r="D81" s="53"/>
      <c r="E81" s="42"/>
      <c r="F81" s="42"/>
      <c r="G81" s="51"/>
      <c r="H81" s="99">
        <f>IFERROR(GETPIVOTDATA("Value",TD_WEAP_RAW!$A$3,"Variable",H$2,"Escenario",H$1,"Branch","Demand Sites and Catchments\"&amp;$D81),0)</f>
        <v>0</v>
      </c>
      <c r="I81" s="99">
        <f>IFERROR(GETPIVOTDATA("Value",TD_WEAP_RAW!$A$3,"Variable",I$2,"Escenario",I$1,"Branch","Demand Sites and Catchments\"&amp;$D81),0)</f>
        <v>0</v>
      </c>
      <c r="J81" s="99">
        <f>IFERROR(GETPIVOTDATA("Value",TD_WEAP_RAW!$A$3,"Variable",J$2,"Escenario",J$1,"Branch","Demand Sites and Catchments\"&amp;$D81),0)</f>
        <v>0</v>
      </c>
      <c r="K81" s="99">
        <f>IFERROR(GETPIVOTDATA("Value",TD_WEAP_RAW!$A$3,"Variable",K$2,"Escenario",K$1,"Branch","Demand Sites and Catchments\"&amp;$D81),0)</f>
        <v>0</v>
      </c>
      <c r="L81" s="99">
        <f>IFERROR(GETPIVOTDATA("Value",TD_WEAP_RAW!$A$3,"Variable",L$2,"Escenario",L$1,"Branch","Demand Sites and Catchments\"&amp;$D81),0)</f>
        <v>0</v>
      </c>
    </row>
    <row r="82" spans="4:12">
      <c r="D82" s="53"/>
      <c r="E82" s="42"/>
      <c r="F82" s="42"/>
      <c r="G82" s="51"/>
      <c r="H82" s="99">
        <f>IFERROR(GETPIVOTDATA("Value",TD_WEAP_RAW!$A$3,"Variable",H$2,"Escenario",H$1,"Branch","Demand Sites and Catchments\"&amp;$D82),0)</f>
        <v>0</v>
      </c>
      <c r="I82" s="99">
        <f>IFERROR(GETPIVOTDATA("Value",TD_WEAP_RAW!$A$3,"Variable",I$2,"Escenario",I$1,"Branch","Demand Sites and Catchments\"&amp;$D82),0)</f>
        <v>0</v>
      </c>
      <c r="J82" s="99">
        <f>IFERROR(GETPIVOTDATA("Value",TD_WEAP_RAW!$A$3,"Variable",J$2,"Escenario",J$1,"Branch","Demand Sites and Catchments\"&amp;$D82),0)</f>
        <v>0</v>
      </c>
      <c r="K82" s="99">
        <f>IFERROR(GETPIVOTDATA("Value",TD_WEAP_RAW!$A$3,"Variable",K$2,"Escenario",K$1,"Branch","Demand Sites and Catchments\"&amp;$D82),0)</f>
        <v>0</v>
      </c>
      <c r="L82" s="99">
        <f>IFERROR(GETPIVOTDATA("Value",TD_WEAP_RAW!$A$3,"Variable",L$2,"Escenario",L$1,"Branch","Demand Sites and Catchments\"&amp;$D82),0)</f>
        <v>0</v>
      </c>
    </row>
    <row r="83" spans="4:12">
      <c r="D83" s="53"/>
      <c r="E83" s="42"/>
      <c r="F83" s="42"/>
      <c r="G83" s="51"/>
      <c r="H83" s="99">
        <f>IFERROR(GETPIVOTDATA("Value",TD_WEAP_RAW!$A$3,"Variable",H$2,"Escenario",H$1,"Branch","Demand Sites and Catchments\"&amp;$D83),0)</f>
        <v>0</v>
      </c>
      <c r="I83" s="99">
        <f>IFERROR(GETPIVOTDATA("Value",TD_WEAP_RAW!$A$3,"Variable",I$2,"Escenario",I$1,"Branch","Demand Sites and Catchments\"&amp;$D83),0)</f>
        <v>0</v>
      </c>
      <c r="J83" s="99">
        <f>IFERROR(GETPIVOTDATA("Value",TD_WEAP_RAW!$A$3,"Variable",J$2,"Escenario",J$1,"Branch","Demand Sites and Catchments\"&amp;$D83),0)</f>
        <v>0</v>
      </c>
      <c r="K83" s="99">
        <f>IFERROR(GETPIVOTDATA("Value",TD_WEAP_RAW!$A$3,"Variable",K$2,"Escenario",K$1,"Branch","Demand Sites and Catchments\"&amp;$D83),0)</f>
        <v>0</v>
      </c>
      <c r="L83" s="99">
        <f>IFERROR(GETPIVOTDATA("Value",TD_WEAP_RAW!$A$3,"Variable",L$2,"Escenario",L$1,"Branch","Demand Sites and Catchments\"&amp;$D83),0)</f>
        <v>0</v>
      </c>
    </row>
    <row r="84" spans="4:12">
      <c r="D84" s="53"/>
      <c r="E84" s="42"/>
      <c r="F84" s="42"/>
      <c r="G84" s="51"/>
      <c r="H84" s="99">
        <f>IFERROR(GETPIVOTDATA("Value",TD_WEAP_RAW!$A$3,"Variable",H$2,"Escenario",H$1,"Branch","Demand Sites and Catchments\"&amp;$D84),0)</f>
        <v>0</v>
      </c>
      <c r="I84" s="99">
        <f>IFERROR(GETPIVOTDATA("Value",TD_WEAP_RAW!$A$3,"Variable",I$2,"Escenario",I$1,"Branch","Demand Sites and Catchments\"&amp;$D84),0)</f>
        <v>0</v>
      </c>
      <c r="J84" s="99">
        <f>IFERROR(GETPIVOTDATA("Value",TD_WEAP_RAW!$A$3,"Variable",J$2,"Escenario",J$1,"Branch","Demand Sites and Catchments\"&amp;$D84),0)</f>
        <v>0</v>
      </c>
      <c r="K84" s="99">
        <f>IFERROR(GETPIVOTDATA("Value",TD_WEAP_RAW!$A$3,"Variable",K$2,"Escenario",K$1,"Branch","Demand Sites and Catchments\"&amp;$D84),0)</f>
        <v>0</v>
      </c>
      <c r="L84" s="99">
        <f>IFERROR(GETPIVOTDATA("Value",TD_WEAP_RAW!$A$3,"Variable",L$2,"Escenario",L$1,"Branch","Demand Sites and Catchments\"&amp;$D84),0)</f>
        <v>0</v>
      </c>
    </row>
    <row r="85" spans="4:12">
      <c r="D85" s="53"/>
      <c r="E85" s="42"/>
      <c r="F85" s="42"/>
      <c r="G85" s="51"/>
      <c r="H85" s="99">
        <f>IFERROR(GETPIVOTDATA("Value",TD_WEAP_RAW!$A$3,"Variable",H$2,"Escenario",H$1,"Branch","Demand Sites and Catchments\"&amp;$D85),0)</f>
        <v>0</v>
      </c>
      <c r="I85" s="99">
        <f>IFERROR(GETPIVOTDATA("Value",TD_WEAP_RAW!$A$3,"Variable",I$2,"Escenario",I$1,"Branch","Demand Sites and Catchments\"&amp;$D85),0)</f>
        <v>0</v>
      </c>
      <c r="J85" s="99">
        <f>IFERROR(GETPIVOTDATA("Value",TD_WEAP_RAW!$A$3,"Variable",J$2,"Escenario",J$1,"Branch","Demand Sites and Catchments\"&amp;$D85),0)</f>
        <v>0</v>
      </c>
      <c r="K85" s="99">
        <f>IFERROR(GETPIVOTDATA("Value",TD_WEAP_RAW!$A$3,"Variable",K$2,"Escenario",K$1,"Branch","Demand Sites and Catchments\"&amp;$D85),0)</f>
        <v>0</v>
      </c>
      <c r="L85" s="99">
        <f>IFERROR(GETPIVOTDATA("Value",TD_WEAP_RAW!$A$3,"Variable",L$2,"Escenario",L$1,"Branch","Demand Sites and Catchments\"&amp;$D85),0)</f>
        <v>0</v>
      </c>
    </row>
    <row r="86" spans="4:12">
      <c r="D86" s="53"/>
      <c r="E86" s="42"/>
      <c r="F86" s="42"/>
      <c r="G86" s="51"/>
      <c r="H86" s="99">
        <f>IFERROR(GETPIVOTDATA("Value",TD_WEAP_RAW!$A$3,"Variable",H$2,"Escenario",H$1,"Branch","Demand Sites and Catchments\"&amp;$D86),0)</f>
        <v>0</v>
      </c>
      <c r="I86" s="99">
        <f>IFERROR(GETPIVOTDATA("Value",TD_WEAP_RAW!$A$3,"Variable",I$2,"Escenario",I$1,"Branch","Demand Sites and Catchments\"&amp;$D86),0)</f>
        <v>0</v>
      </c>
      <c r="J86" s="99">
        <f>IFERROR(GETPIVOTDATA("Value",TD_WEAP_RAW!$A$3,"Variable",J$2,"Escenario",J$1,"Branch","Demand Sites and Catchments\"&amp;$D86),0)</f>
        <v>0</v>
      </c>
      <c r="K86" s="99">
        <f>IFERROR(GETPIVOTDATA("Value",TD_WEAP_RAW!$A$3,"Variable",K$2,"Escenario",K$1,"Branch","Demand Sites and Catchments\"&amp;$D86),0)</f>
        <v>0</v>
      </c>
      <c r="L86" s="99">
        <f>IFERROR(GETPIVOTDATA("Value",TD_WEAP_RAW!$A$3,"Variable",L$2,"Escenario",L$1,"Branch","Demand Sites and Catchments\"&amp;$D86),0)</f>
        <v>0</v>
      </c>
    </row>
    <row r="87" spans="4:12">
      <c r="D87" s="53"/>
      <c r="E87" s="42"/>
      <c r="F87" s="42"/>
      <c r="G87" s="51"/>
      <c r="H87" s="99">
        <f>IFERROR(GETPIVOTDATA("Value",TD_WEAP_RAW!$A$3,"Variable",H$2,"Escenario",H$1,"Branch","Demand Sites and Catchments\"&amp;$D87),0)</f>
        <v>0</v>
      </c>
      <c r="I87" s="99">
        <f>IFERROR(GETPIVOTDATA("Value",TD_WEAP_RAW!$A$3,"Variable",I$2,"Escenario",I$1,"Branch","Demand Sites and Catchments\"&amp;$D87),0)</f>
        <v>0</v>
      </c>
      <c r="J87" s="99">
        <f>IFERROR(GETPIVOTDATA("Value",TD_WEAP_RAW!$A$3,"Variable",J$2,"Escenario",J$1,"Branch","Demand Sites and Catchments\"&amp;$D87),0)</f>
        <v>0</v>
      </c>
      <c r="K87" s="99">
        <f>IFERROR(GETPIVOTDATA("Value",TD_WEAP_RAW!$A$3,"Variable",K$2,"Escenario",K$1,"Branch","Demand Sites and Catchments\"&amp;$D87),0)</f>
        <v>0</v>
      </c>
      <c r="L87" s="99">
        <f>IFERROR(GETPIVOTDATA("Value",TD_WEAP_RAW!$A$3,"Variable",L$2,"Escenario",L$1,"Branch","Demand Sites and Catchments\"&amp;$D87),0)</f>
        <v>0</v>
      </c>
    </row>
    <row r="88" spans="4:12">
      <c r="D88" s="53"/>
      <c r="E88" s="42"/>
      <c r="F88" s="42"/>
      <c r="G88" s="51"/>
      <c r="H88" s="99">
        <f>IFERROR(GETPIVOTDATA("Value",TD_WEAP_RAW!$A$3,"Variable",H$2,"Escenario",H$1,"Branch","Demand Sites and Catchments\"&amp;$D88),0)</f>
        <v>0</v>
      </c>
      <c r="I88" s="99">
        <f>IFERROR(GETPIVOTDATA("Value",TD_WEAP_RAW!$A$3,"Variable",I$2,"Escenario",I$1,"Branch","Demand Sites and Catchments\"&amp;$D88),0)</f>
        <v>0</v>
      </c>
      <c r="J88" s="99">
        <f>IFERROR(GETPIVOTDATA("Value",TD_WEAP_RAW!$A$3,"Variable",J$2,"Escenario",J$1,"Branch","Demand Sites and Catchments\"&amp;$D88),0)</f>
        <v>0</v>
      </c>
      <c r="K88" s="99">
        <f>IFERROR(GETPIVOTDATA("Value",TD_WEAP_RAW!$A$3,"Variable",K$2,"Escenario",K$1,"Branch","Demand Sites and Catchments\"&amp;$D88),0)</f>
        <v>0</v>
      </c>
      <c r="L88" s="99">
        <f>IFERROR(GETPIVOTDATA("Value",TD_WEAP_RAW!$A$3,"Variable",L$2,"Escenario",L$1,"Branch","Demand Sites and Catchments\"&amp;$D88),0)</f>
        <v>0</v>
      </c>
    </row>
    <row r="89" spans="4:12">
      <c r="D89" s="53"/>
      <c r="E89" s="42"/>
      <c r="F89" s="42"/>
      <c r="G89" s="51"/>
      <c r="H89" s="99">
        <f>IFERROR(GETPIVOTDATA("Value",TD_WEAP_RAW!$A$3,"Variable",H$2,"Escenario",H$1,"Branch","Demand Sites and Catchments\"&amp;$D89),0)</f>
        <v>0</v>
      </c>
      <c r="I89" s="99">
        <f>IFERROR(GETPIVOTDATA("Value",TD_WEAP_RAW!$A$3,"Variable",I$2,"Escenario",I$1,"Branch","Demand Sites and Catchments\"&amp;$D89),0)</f>
        <v>0</v>
      </c>
      <c r="J89" s="99">
        <f>IFERROR(GETPIVOTDATA("Value",TD_WEAP_RAW!$A$3,"Variable",J$2,"Escenario",J$1,"Branch","Demand Sites and Catchments\"&amp;$D89),0)</f>
        <v>0</v>
      </c>
      <c r="K89" s="99">
        <f>IFERROR(GETPIVOTDATA("Value",TD_WEAP_RAW!$A$3,"Variable",K$2,"Escenario",K$1,"Branch","Demand Sites and Catchments\"&amp;$D89),0)</f>
        <v>0</v>
      </c>
      <c r="L89" s="99">
        <f>IFERROR(GETPIVOTDATA("Value",TD_WEAP_RAW!$A$3,"Variable",L$2,"Escenario",L$1,"Branch","Demand Sites and Catchments\"&amp;$D89),0)</f>
        <v>0</v>
      </c>
    </row>
    <row r="90" spans="4:12">
      <c r="D90" s="53"/>
      <c r="E90" s="42"/>
      <c r="F90" s="42"/>
      <c r="G90" s="51"/>
      <c r="H90" s="99">
        <f>IFERROR(GETPIVOTDATA("Value",TD_WEAP_RAW!$A$3,"Variable",H$2,"Escenario",H$1,"Branch","Demand Sites and Catchments\"&amp;$D90),0)</f>
        <v>0</v>
      </c>
      <c r="I90" s="99">
        <f>IFERROR(GETPIVOTDATA("Value",TD_WEAP_RAW!$A$3,"Variable",I$2,"Escenario",I$1,"Branch","Demand Sites and Catchments\"&amp;$D90),0)</f>
        <v>0</v>
      </c>
      <c r="J90" s="99">
        <f>IFERROR(GETPIVOTDATA("Value",TD_WEAP_RAW!$A$3,"Variable",J$2,"Escenario",J$1,"Branch","Demand Sites and Catchments\"&amp;$D90),0)</f>
        <v>0</v>
      </c>
      <c r="K90" s="99">
        <f>IFERROR(GETPIVOTDATA("Value",TD_WEAP_RAW!$A$3,"Variable",K$2,"Escenario",K$1,"Branch","Demand Sites and Catchments\"&amp;$D90),0)</f>
        <v>0</v>
      </c>
      <c r="L90" s="99">
        <f>IFERROR(GETPIVOTDATA("Value",TD_WEAP_RAW!$A$3,"Variable",L$2,"Escenario",L$1,"Branch","Demand Sites and Catchments\"&amp;$D90),0)</f>
        <v>0</v>
      </c>
    </row>
    <row r="91" spans="4:12">
      <c r="D91" s="53"/>
      <c r="E91" s="42"/>
      <c r="F91" s="42"/>
      <c r="G91" s="51"/>
      <c r="H91" s="99">
        <f>IFERROR(GETPIVOTDATA("Value",TD_WEAP_RAW!$A$3,"Variable",H$2,"Escenario",H$1,"Branch","Demand Sites and Catchments\"&amp;$D91),0)</f>
        <v>0</v>
      </c>
      <c r="I91" s="99">
        <f>IFERROR(GETPIVOTDATA("Value",TD_WEAP_RAW!$A$3,"Variable",I$2,"Escenario",I$1,"Branch","Demand Sites and Catchments\"&amp;$D91),0)</f>
        <v>0</v>
      </c>
      <c r="J91" s="99">
        <f>IFERROR(GETPIVOTDATA("Value",TD_WEAP_RAW!$A$3,"Variable",J$2,"Escenario",J$1,"Branch","Demand Sites and Catchments\"&amp;$D91),0)</f>
        <v>0</v>
      </c>
      <c r="K91" s="99">
        <f>IFERROR(GETPIVOTDATA("Value",TD_WEAP_RAW!$A$3,"Variable",K$2,"Escenario",K$1,"Branch","Demand Sites and Catchments\"&amp;$D91),0)</f>
        <v>0</v>
      </c>
      <c r="L91" s="99">
        <f>IFERROR(GETPIVOTDATA("Value",TD_WEAP_RAW!$A$3,"Variable",L$2,"Escenario",L$1,"Branch","Demand Sites and Catchments\"&amp;$D91),0)</f>
        <v>0</v>
      </c>
    </row>
    <row r="92" spans="4:12">
      <c r="D92" s="53"/>
      <c r="E92" s="42"/>
      <c r="F92" s="42"/>
      <c r="G92" s="51"/>
      <c r="H92" s="99">
        <f>IFERROR(GETPIVOTDATA("Value",TD_WEAP_RAW!$A$3,"Variable",H$2,"Escenario",H$1,"Branch","Demand Sites and Catchments\"&amp;$D92),0)</f>
        <v>0</v>
      </c>
      <c r="I92" s="99">
        <f>IFERROR(GETPIVOTDATA("Value",TD_WEAP_RAW!$A$3,"Variable",I$2,"Escenario",I$1,"Branch","Demand Sites and Catchments\"&amp;$D92),0)</f>
        <v>0</v>
      </c>
      <c r="J92" s="99">
        <f>IFERROR(GETPIVOTDATA("Value",TD_WEAP_RAW!$A$3,"Variable",J$2,"Escenario",J$1,"Branch","Demand Sites and Catchments\"&amp;$D92),0)</f>
        <v>0</v>
      </c>
      <c r="K92" s="99">
        <f>IFERROR(GETPIVOTDATA("Value",TD_WEAP_RAW!$A$3,"Variable",K$2,"Escenario",K$1,"Branch","Demand Sites and Catchments\"&amp;$D92),0)</f>
        <v>0</v>
      </c>
      <c r="L92" s="99">
        <f>IFERROR(GETPIVOTDATA("Value",TD_WEAP_RAW!$A$3,"Variable",L$2,"Escenario",L$1,"Branch","Demand Sites and Catchments\"&amp;$D92),0)</f>
        <v>0</v>
      </c>
    </row>
    <row r="93" spans="4:12">
      <c r="D93" s="53"/>
      <c r="E93" s="42"/>
      <c r="F93" s="42"/>
      <c r="G93" s="51"/>
      <c r="H93" s="99">
        <f>IFERROR(GETPIVOTDATA("Value",TD_WEAP_RAW!$A$3,"Variable",H$2,"Escenario",H$1,"Branch","Demand Sites and Catchments\"&amp;$D93),0)</f>
        <v>0</v>
      </c>
      <c r="I93" s="99">
        <f>IFERROR(GETPIVOTDATA("Value",TD_WEAP_RAW!$A$3,"Variable",I$2,"Escenario",I$1,"Branch","Demand Sites and Catchments\"&amp;$D93),0)</f>
        <v>0</v>
      </c>
      <c r="J93" s="99">
        <f>IFERROR(GETPIVOTDATA("Value",TD_WEAP_RAW!$A$3,"Variable",J$2,"Escenario",J$1,"Branch","Demand Sites and Catchments\"&amp;$D93),0)</f>
        <v>0</v>
      </c>
      <c r="K93" s="99">
        <f>IFERROR(GETPIVOTDATA("Value",TD_WEAP_RAW!$A$3,"Variable",K$2,"Escenario",K$1,"Branch","Demand Sites and Catchments\"&amp;$D93),0)</f>
        <v>0</v>
      </c>
      <c r="L93" s="99">
        <f>IFERROR(GETPIVOTDATA("Value",TD_WEAP_RAW!$A$3,"Variable",L$2,"Escenario",L$1,"Branch","Demand Sites and Catchments\"&amp;$D93),0)</f>
        <v>0</v>
      </c>
    </row>
    <row r="94" spans="4:12">
      <c r="D94" s="53"/>
      <c r="E94" s="42"/>
      <c r="F94" s="42"/>
      <c r="G94" s="51"/>
      <c r="H94" s="99">
        <f>IFERROR(GETPIVOTDATA("Value",TD_WEAP_RAW!$A$3,"Variable",H$2,"Escenario",H$1,"Branch","Demand Sites and Catchments\"&amp;$D94),0)</f>
        <v>0</v>
      </c>
      <c r="I94" s="99">
        <f>IFERROR(GETPIVOTDATA("Value",TD_WEAP_RAW!$A$3,"Variable",I$2,"Escenario",I$1,"Branch","Demand Sites and Catchments\"&amp;$D94),0)</f>
        <v>0</v>
      </c>
      <c r="J94" s="99">
        <f>IFERROR(GETPIVOTDATA("Value",TD_WEAP_RAW!$A$3,"Variable",J$2,"Escenario",J$1,"Branch","Demand Sites and Catchments\"&amp;$D94),0)</f>
        <v>0</v>
      </c>
      <c r="K94" s="99">
        <f>IFERROR(GETPIVOTDATA("Value",TD_WEAP_RAW!$A$3,"Variable",K$2,"Escenario",K$1,"Branch","Demand Sites and Catchments\"&amp;$D94),0)</f>
        <v>0</v>
      </c>
      <c r="L94" s="99">
        <f>IFERROR(GETPIVOTDATA("Value",TD_WEAP_RAW!$A$3,"Variable",L$2,"Escenario",L$1,"Branch","Demand Sites and Catchments\"&amp;$D94),0)</f>
        <v>0</v>
      </c>
    </row>
    <row r="95" spans="4:12">
      <c r="D95" s="53"/>
      <c r="E95" s="42"/>
      <c r="F95" s="42"/>
      <c r="G95" s="51"/>
      <c r="H95" s="99">
        <f>IFERROR(GETPIVOTDATA("Value",TD_WEAP_RAW!$A$3,"Variable",H$2,"Escenario",H$1,"Branch","Demand Sites and Catchments\"&amp;$D95),0)</f>
        <v>0</v>
      </c>
      <c r="I95" s="99">
        <f>IFERROR(GETPIVOTDATA("Value",TD_WEAP_RAW!$A$3,"Variable",I$2,"Escenario",I$1,"Branch","Demand Sites and Catchments\"&amp;$D95),0)</f>
        <v>0</v>
      </c>
      <c r="J95" s="99">
        <f>IFERROR(GETPIVOTDATA("Value",TD_WEAP_RAW!$A$3,"Variable",J$2,"Escenario",J$1,"Branch","Demand Sites and Catchments\"&amp;$D95),0)</f>
        <v>0</v>
      </c>
      <c r="K95" s="99">
        <f>IFERROR(GETPIVOTDATA("Value",TD_WEAP_RAW!$A$3,"Variable",K$2,"Escenario",K$1,"Branch","Demand Sites and Catchments\"&amp;$D95),0)</f>
        <v>0</v>
      </c>
      <c r="L95" s="99">
        <f>IFERROR(GETPIVOTDATA("Value",TD_WEAP_RAW!$A$3,"Variable",L$2,"Escenario",L$1,"Branch","Demand Sites and Catchments\"&amp;$D95),0)</f>
        <v>0</v>
      </c>
    </row>
    <row r="96" spans="4:12">
      <c r="D96" s="53"/>
      <c r="E96" s="42"/>
      <c r="F96" s="42"/>
      <c r="G96" s="51"/>
      <c r="H96" s="99">
        <f>IFERROR(GETPIVOTDATA("Value",TD_WEAP_RAW!$A$3,"Variable",H$2,"Escenario",H$1,"Branch","Demand Sites and Catchments\"&amp;$D96),0)</f>
        <v>0</v>
      </c>
      <c r="I96" s="99">
        <f>IFERROR(GETPIVOTDATA("Value",TD_WEAP_RAW!$A$3,"Variable",I$2,"Escenario",I$1,"Branch","Demand Sites and Catchments\"&amp;$D96),0)</f>
        <v>0</v>
      </c>
      <c r="J96" s="99">
        <f>IFERROR(GETPIVOTDATA("Value",TD_WEAP_RAW!$A$3,"Variable",J$2,"Escenario",J$1,"Branch","Demand Sites and Catchments\"&amp;$D96),0)</f>
        <v>0</v>
      </c>
      <c r="K96" s="99">
        <f>IFERROR(GETPIVOTDATA("Value",TD_WEAP_RAW!$A$3,"Variable",K$2,"Escenario",K$1,"Branch","Demand Sites and Catchments\"&amp;$D96),0)</f>
        <v>0</v>
      </c>
      <c r="L96" s="99">
        <f>IFERROR(GETPIVOTDATA("Value",TD_WEAP_RAW!$A$3,"Variable",L$2,"Escenario",L$1,"Branch","Demand Sites and Catchments\"&amp;$D96),0)</f>
        <v>0</v>
      </c>
    </row>
    <row r="97" spans="4:12">
      <c r="D97" s="53"/>
      <c r="E97" s="42"/>
      <c r="F97" s="42"/>
      <c r="G97" s="51"/>
      <c r="H97" s="99">
        <f>IFERROR(GETPIVOTDATA("Value",TD_WEAP_RAW!$A$3,"Variable",H$2,"Escenario",H$1,"Branch","Demand Sites and Catchments\"&amp;$D97),0)</f>
        <v>0</v>
      </c>
      <c r="I97" s="99">
        <f>IFERROR(GETPIVOTDATA("Value",TD_WEAP_RAW!$A$3,"Variable",I$2,"Escenario",I$1,"Branch","Demand Sites and Catchments\"&amp;$D97),0)</f>
        <v>0</v>
      </c>
      <c r="J97" s="99">
        <f>IFERROR(GETPIVOTDATA("Value",TD_WEAP_RAW!$A$3,"Variable",J$2,"Escenario",J$1,"Branch","Demand Sites and Catchments\"&amp;$D97),0)</f>
        <v>0</v>
      </c>
      <c r="K97" s="99">
        <f>IFERROR(GETPIVOTDATA("Value",TD_WEAP_RAW!$A$3,"Variable",K$2,"Escenario",K$1,"Branch","Demand Sites and Catchments\"&amp;$D97),0)</f>
        <v>0</v>
      </c>
      <c r="L97" s="99">
        <f>IFERROR(GETPIVOTDATA("Value",TD_WEAP_RAW!$A$3,"Variable",L$2,"Escenario",L$1,"Branch","Demand Sites and Catchments\"&amp;$D97),0)</f>
        <v>0</v>
      </c>
    </row>
    <row r="98" spans="4:12">
      <c r="D98" s="53"/>
      <c r="E98" s="42"/>
      <c r="F98" s="42"/>
      <c r="G98" s="51"/>
      <c r="H98" s="99">
        <f>IFERROR(GETPIVOTDATA("Value",TD_WEAP_RAW!$A$3,"Variable",H$2,"Escenario",H$1,"Branch","Demand Sites and Catchments\"&amp;$D98),0)</f>
        <v>0</v>
      </c>
      <c r="I98" s="99">
        <f>IFERROR(GETPIVOTDATA("Value",TD_WEAP_RAW!$A$3,"Variable",I$2,"Escenario",I$1,"Branch","Demand Sites and Catchments\"&amp;$D98),0)</f>
        <v>0</v>
      </c>
      <c r="J98" s="99">
        <f>IFERROR(GETPIVOTDATA("Value",TD_WEAP_RAW!$A$3,"Variable",J$2,"Escenario",J$1,"Branch","Demand Sites and Catchments\"&amp;$D98),0)</f>
        <v>0</v>
      </c>
      <c r="K98" s="99">
        <f>IFERROR(GETPIVOTDATA("Value",TD_WEAP_RAW!$A$3,"Variable",K$2,"Escenario",K$1,"Branch","Demand Sites and Catchments\"&amp;$D98),0)</f>
        <v>0</v>
      </c>
      <c r="L98" s="99">
        <f>IFERROR(GETPIVOTDATA("Value",TD_WEAP_RAW!$A$3,"Variable",L$2,"Escenario",L$1,"Branch","Demand Sites and Catchments\"&amp;$D98),0)</f>
        <v>0</v>
      </c>
    </row>
    <row r="99" spans="4:12">
      <c r="D99" s="53"/>
      <c r="E99" s="42"/>
      <c r="F99" s="42"/>
      <c r="G99" s="51"/>
      <c r="H99" s="99">
        <f>IFERROR(GETPIVOTDATA("Value",TD_WEAP_RAW!$A$3,"Variable",H$2,"Escenario",H$1,"Branch","Demand Sites and Catchments\"&amp;$D99),0)</f>
        <v>0</v>
      </c>
      <c r="I99" s="99">
        <f>IFERROR(GETPIVOTDATA("Value",TD_WEAP_RAW!$A$3,"Variable",I$2,"Escenario",I$1,"Branch","Demand Sites and Catchments\"&amp;$D99),0)</f>
        <v>0</v>
      </c>
      <c r="J99" s="99">
        <f>IFERROR(GETPIVOTDATA("Value",TD_WEAP_RAW!$A$3,"Variable",J$2,"Escenario",J$1,"Branch","Demand Sites and Catchments\"&amp;$D99),0)</f>
        <v>0</v>
      </c>
      <c r="K99" s="99">
        <f>IFERROR(GETPIVOTDATA("Value",TD_WEAP_RAW!$A$3,"Variable",K$2,"Escenario",K$1,"Branch","Demand Sites and Catchments\"&amp;$D99),0)</f>
        <v>0</v>
      </c>
      <c r="L99" s="99">
        <f>IFERROR(GETPIVOTDATA("Value",TD_WEAP_RAW!$A$3,"Variable",L$2,"Escenario",L$1,"Branch","Demand Sites and Catchments\"&amp;$D99),0)</f>
        <v>0</v>
      </c>
    </row>
    <row r="100" spans="4:12">
      <c r="D100" s="53"/>
      <c r="E100" s="42"/>
      <c r="F100" s="42"/>
      <c r="G100" s="51"/>
      <c r="H100" s="99">
        <f>IFERROR(GETPIVOTDATA("Value",TD_WEAP_RAW!$A$3,"Variable",H$2,"Escenario",H$1,"Branch","Demand Sites and Catchments\"&amp;$D100),0)</f>
        <v>0</v>
      </c>
      <c r="I100" s="99">
        <f>IFERROR(GETPIVOTDATA("Value",TD_WEAP_RAW!$A$3,"Variable",I$2,"Escenario",I$1,"Branch","Demand Sites and Catchments\"&amp;$D100),0)</f>
        <v>0</v>
      </c>
      <c r="J100" s="99">
        <f>IFERROR(GETPIVOTDATA("Value",TD_WEAP_RAW!$A$3,"Variable",J$2,"Escenario",J$1,"Branch","Demand Sites and Catchments\"&amp;$D100),0)</f>
        <v>0</v>
      </c>
      <c r="K100" s="99">
        <f>IFERROR(GETPIVOTDATA("Value",TD_WEAP_RAW!$A$3,"Variable",K$2,"Escenario",K$1,"Branch","Demand Sites and Catchments\"&amp;$D100),0)</f>
        <v>0</v>
      </c>
      <c r="L100" s="99">
        <f>IFERROR(GETPIVOTDATA("Value",TD_WEAP_RAW!$A$3,"Variable",L$2,"Escenario",L$1,"Branch","Demand Sites and Catchments\"&amp;$D100),0)</f>
        <v>0</v>
      </c>
    </row>
    <row r="101" spans="4:12">
      <c r="D101" s="53"/>
      <c r="E101" s="42"/>
      <c r="F101" s="42"/>
      <c r="G101" s="51"/>
      <c r="H101" s="99">
        <f>IFERROR(GETPIVOTDATA("Value",TD_WEAP_RAW!$A$3,"Variable",H$2,"Escenario",H$1,"Branch","Demand Sites and Catchments\"&amp;$D101),0)</f>
        <v>0</v>
      </c>
      <c r="I101" s="99">
        <f>IFERROR(GETPIVOTDATA("Value",TD_WEAP_RAW!$A$3,"Variable",I$2,"Escenario",I$1,"Branch","Demand Sites and Catchments\"&amp;$D101),0)</f>
        <v>0</v>
      </c>
      <c r="J101" s="99">
        <f>IFERROR(GETPIVOTDATA("Value",TD_WEAP_RAW!$A$3,"Variable",J$2,"Escenario",J$1,"Branch","Demand Sites and Catchments\"&amp;$D101),0)</f>
        <v>0</v>
      </c>
      <c r="K101" s="99">
        <f>IFERROR(GETPIVOTDATA("Value",TD_WEAP_RAW!$A$3,"Variable",K$2,"Escenario",K$1,"Branch","Demand Sites and Catchments\"&amp;$D101),0)</f>
        <v>0</v>
      </c>
      <c r="L101" s="99">
        <f>IFERROR(GETPIVOTDATA("Value",TD_WEAP_RAW!$A$3,"Variable",L$2,"Escenario",L$1,"Branch","Demand Sites and Catchments\"&amp;$D101),0)</f>
        <v>0</v>
      </c>
    </row>
    <row r="102" spans="4:12">
      <c r="D102" s="53"/>
      <c r="E102" s="42"/>
      <c r="F102" s="42"/>
      <c r="G102" s="51"/>
      <c r="H102" s="99">
        <f>IFERROR(GETPIVOTDATA("Value",TD_WEAP_RAW!$A$3,"Variable",H$2,"Escenario",H$1,"Branch","Demand Sites and Catchments\"&amp;$D102),0)</f>
        <v>0</v>
      </c>
      <c r="I102" s="99">
        <f>IFERROR(GETPIVOTDATA("Value",TD_WEAP_RAW!$A$3,"Variable",I$2,"Escenario",I$1,"Branch","Demand Sites and Catchments\"&amp;$D102),0)</f>
        <v>0</v>
      </c>
      <c r="J102" s="99">
        <f>IFERROR(GETPIVOTDATA("Value",TD_WEAP_RAW!$A$3,"Variable",J$2,"Escenario",J$1,"Branch","Demand Sites and Catchments\"&amp;$D102),0)</f>
        <v>0</v>
      </c>
      <c r="K102" s="99">
        <f>IFERROR(GETPIVOTDATA("Value",TD_WEAP_RAW!$A$3,"Variable",K$2,"Escenario",K$1,"Branch","Demand Sites and Catchments\"&amp;$D102),0)</f>
        <v>0</v>
      </c>
      <c r="L102" s="99">
        <f>IFERROR(GETPIVOTDATA("Value",TD_WEAP_RAW!$A$3,"Variable",L$2,"Escenario",L$1,"Branch","Demand Sites and Catchments\"&amp;$D102),0)</f>
        <v>0</v>
      </c>
    </row>
    <row r="103" spans="4:12">
      <c r="D103" s="53"/>
      <c r="E103" s="42"/>
      <c r="F103" s="42"/>
      <c r="G103" s="51"/>
      <c r="H103" s="99">
        <f>IFERROR(GETPIVOTDATA("Value",TD_WEAP_RAW!$A$3,"Variable",H$2,"Escenario",H$1,"Branch","Demand Sites and Catchments\"&amp;$D103),0)</f>
        <v>0</v>
      </c>
      <c r="I103" s="99">
        <f>IFERROR(GETPIVOTDATA("Value",TD_WEAP_RAW!$A$3,"Variable",I$2,"Escenario",I$1,"Branch","Demand Sites and Catchments\"&amp;$D103),0)</f>
        <v>0</v>
      </c>
      <c r="J103" s="99">
        <f>IFERROR(GETPIVOTDATA("Value",TD_WEAP_RAW!$A$3,"Variable",J$2,"Escenario",J$1,"Branch","Demand Sites and Catchments\"&amp;$D103),0)</f>
        <v>0</v>
      </c>
      <c r="K103" s="99">
        <f>IFERROR(GETPIVOTDATA("Value",TD_WEAP_RAW!$A$3,"Variable",K$2,"Escenario",K$1,"Branch","Demand Sites and Catchments\"&amp;$D103),0)</f>
        <v>0</v>
      </c>
      <c r="L103" s="99">
        <f>IFERROR(GETPIVOTDATA("Value",TD_WEAP_RAW!$A$3,"Variable",L$2,"Escenario",L$1,"Branch","Demand Sites and Catchments\"&amp;$D103),0)</f>
        <v>0</v>
      </c>
    </row>
    <row r="104" spans="4:12">
      <c r="D104" s="53"/>
      <c r="E104" s="42"/>
      <c r="F104" s="42"/>
      <c r="G104" s="51"/>
      <c r="H104" s="99">
        <f>IFERROR(GETPIVOTDATA("Value",TD_WEAP_RAW!$A$3,"Variable",H$2,"Escenario",H$1,"Branch","Demand Sites and Catchments\"&amp;$D104),0)</f>
        <v>0</v>
      </c>
      <c r="I104" s="99">
        <f>IFERROR(GETPIVOTDATA("Value",TD_WEAP_RAW!$A$3,"Variable",I$2,"Escenario",I$1,"Branch","Demand Sites and Catchments\"&amp;$D104),0)</f>
        <v>0</v>
      </c>
      <c r="J104" s="99">
        <f>IFERROR(GETPIVOTDATA("Value",TD_WEAP_RAW!$A$3,"Variable",J$2,"Escenario",J$1,"Branch","Demand Sites and Catchments\"&amp;$D104),0)</f>
        <v>0</v>
      </c>
      <c r="K104" s="99">
        <f>IFERROR(GETPIVOTDATA("Value",TD_WEAP_RAW!$A$3,"Variable",K$2,"Escenario",K$1,"Branch","Demand Sites and Catchments\"&amp;$D104),0)</f>
        <v>0</v>
      </c>
      <c r="L104" s="99">
        <f>IFERROR(GETPIVOTDATA("Value",TD_WEAP_RAW!$A$3,"Variable",L$2,"Escenario",L$1,"Branch","Demand Sites and Catchments\"&amp;$D104),0)</f>
        <v>0</v>
      </c>
    </row>
    <row r="105" spans="4:12">
      <c r="D105" s="53"/>
      <c r="E105" s="42"/>
      <c r="F105" s="42"/>
      <c r="G105" s="51"/>
      <c r="H105" s="99">
        <f>IFERROR(GETPIVOTDATA("Value",TD_WEAP_RAW!$A$3,"Variable",H$2,"Escenario",H$1,"Branch","Demand Sites and Catchments\"&amp;$D105),0)</f>
        <v>0</v>
      </c>
      <c r="I105" s="99">
        <f>IFERROR(GETPIVOTDATA("Value",TD_WEAP_RAW!$A$3,"Variable",I$2,"Escenario",I$1,"Branch","Demand Sites and Catchments\"&amp;$D105),0)</f>
        <v>0</v>
      </c>
      <c r="J105" s="99">
        <f>IFERROR(GETPIVOTDATA("Value",TD_WEAP_RAW!$A$3,"Variable",J$2,"Escenario",J$1,"Branch","Demand Sites and Catchments\"&amp;$D105),0)</f>
        <v>0</v>
      </c>
      <c r="K105" s="99">
        <f>IFERROR(GETPIVOTDATA("Value",TD_WEAP_RAW!$A$3,"Variable",K$2,"Escenario",K$1,"Branch","Demand Sites and Catchments\"&amp;$D105),0)</f>
        <v>0</v>
      </c>
      <c r="L105" s="99">
        <f>IFERROR(GETPIVOTDATA("Value",TD_WEAP_RAW!$A$3,"Variable",L$2,"Escenario",L$1,"Branch","Demand Sites and Catchments\"&amp;$D105),0)</f>
        <v>0</v>
      </c>
    </row>
    <row r="106" spans="4:12">
      <c r="D106" s="53"/>
      <c r="E106" s="42"/>
      <c r="F106" s="42"/>
      <c r="G106" s="51"/>
      <c r="H106" s="99">
        <f>IFERROR(GETPIVOTDATA("Value",TD_WEAP_RAW!$A$3,"Variable",H$2,"Escenario",H$1,"Branch","Demand Sites and Catchments\"&amp;$D106),0)</f>
        <v>0</v>
      </c>
      <c r="I106" s="99">
        <f>IFERROR(GETPIVOTDATA("Value",TD_WEAP_RAW!$A$3,"Variable",I$2,"Escenario",I$1,"Branch","Demand Sites and Catchments\"&amp;$D106),0)</f>
        <v>0</v>
      </c>
      <c r="J106" s="99">
        <f>IFERROR(GETPIVOTDATA("Value",TD_WEAP_RAW!$A$3,"Variable",J$2,"Escenario",J$1,"Branch","Demand Sites and Catchments\"&amp;$D106),0)</f>
        <v>0</v>
      </c>
      <c r="K106" s="99">
        <f>IFERROR(GETPIVOTDATA("Value",TD_WEAP_RAW!$A$3,"Variable",K$2,"Escenario",K$1,"Branch","Demand Sites and Catchments\"&amp;$D106),0)</f>
        <v>0</v>
      </c>
      <c r="L106" s="99">
        <f>IFERROR(GETPIVOTDATA("Value",TD_WEAP_RAW!$A$3,"Variable",L$2,"Escenario",L$1,"Branch","Demand Sites and Catchments\"&amp;$D106),0)</f>
        <v>0</v>
      </c>
    </row>
    <row r="107" spans="4:12">
      <c r="D107" s="53"/>
      <c r="E107" s="42"/>
      <c r="F107" s="42"/>
      <c r="G107" s="51"/>
      <c r="H107" s="99">
        <f>IFERROR(GETPIVOTDATA("Value",TD_WEAP_RAW!$A$3,"Variable",H$2,"Escenario",H$1,"Branch","Demand Sites and Catchments\"&amp;$D107),0)</f>
        <v>0</v>
      </c>
      <c r="I107" s="99">
        <f>IFERROR(GETPIVOTDATA("Value",TD_WEAP_RAW!$A$3,"Variable",I$2,"Escenario",I$1,"Branch","Demand Sites and Catchments\"&amp;$D107),0)</f>
        <v>0</v>
      </c>
      <c r="J107" s="99">
        <f>IFERROR(GETPIVOTDATA("Value",TD_WEAP_RAW!$A$3,"Variable",J$2,"Escenario",J$1,"Branch","Demand Sites and Catchments\"&amp;$D107),0)</f>
        <v>0</v>
      </c>
      <c r="K107" s="99">
        <f>IFERROR(GETPIVOTDATA("Value",TD_WEAP_RAW!$A$3,"Variable",K$2,"Escenario",K$1,"Branch","Demand Sites and Catchments\"&amp;$D107),0)</f>
        <v>0</v>
      </c>
      <c r="L107" s="99">
        <f>IFERROR(GETPIVOTDATA("Value",TD_WEAP_RAW!$A$3,"Variable",L$2,"Escenario",L$1,"Branch","Demand Sites and Catchments\"&amp;$D107),0)</f>
        <v>0</v>
      </c>
    </row>
    <row r="108" spans="4:12">
      <c r="D108" s="53"/>
      <c r="E108" s="42"/>
      <c r="F108" s="42"/>
      <c r="G108" s="51"/>
      <c r="H108" s="99">
        <f>IFERROR(GETPIVOTDATA("Value",TD_WEAP_RAW!$A$3,"Variable",H$2,"Escenario",H$1,"Branch","Demand Sites and Catchments\"&amp;$D108),0)</f>
        <v>0</v>
      </c>
      <c r="I108" s="99">
        <f>IFERROR(GETPIVOTDATA("Value",TD_WEAP_RAW!$A$3,"Variable",I$2,"Escenario",I$1,"Branch","Demand Sites and Catchments\"&amp;$D108),0)</f>
        <v>0</v>
      </c>
      <c r="J108" s="99">
        <f>IFERROR(GETPIVOTDATA("Value",TD_WEAP_RAW!$A$3,"Variable",J$2,"Escenario",J$1,"Branch","Demand Sites and Catchments\"&amp;$D108),0)</f>
        <v>0</v>
      </c>
      <c r="K108" s="99">
        <f>IFERROR(GETPIVOTDATA("Value",TD_WEAP_RAW!$A$3,"Variable",K$2,"Escenario",K$1,"Branch","Demand Sites and Catchments\"&amp;$D108),0)</f>
        <v>0</v>
      </c>
      <c r="L108" s="99">
        <f>IFERROR(GETPIVOTDATA("Value",TD_WEAP_RAW!$A$3,"Variable",L$2,"Escenario",L$1,"Branch","Demand Sites and Catchments\"&amp;$D108),0)</f>
        <v>0</v>
      </c>
    </row>
    <row r="109" spans="4:12">
      <c r="D109" s="53"/>
      <c r="E109" s="42"/>
      <c r="F109" s="42"/>
      <c r="G109" s="51"/>
      <c r="H109" s="99">
        <f>IFERROR(GETPIVOTDATA("Value",TD_WEAP_RAW!$A$3,"Variable",H$2,"Escenario",H$1,"Branch","Demand Sites and Catchments\"&amp;$D109),0)</f>
        <v>0</v>
      </c>
      <c r="I109" s="99">
        <f>IFERROR(GETPIVOTDATA("Value",TD_WEAP_RAW!$A$3,"Variable",I$2,"Escenario",I$1,"Branch","Demand Sites and Catchments\"&amp;$D109),0)</f>
        <v>0</v>
      </c>
      <c r="J109" s="99">
        <f>IFERROR(GETPIVOTDATA("Value",TD_WEAP_RAW!$A$3,"Variable",J$2,"Escenario",J$1,"Branch","Demand Sites and Catchments\"&amp;$D109),0)</f>
        <v>0</v>
      </c>
      <c r="K109" s="99">
        <f>IFERROR(GETPIVOTDATA("Value",TD_WEAP_RAW!$A$3,"Variable",K$2,"Escenario",K$1,"Branch","Demand Sites and Catchments\"&amp;$D109),0)</f>
        <v>0</v>
      </c>
      <c r="L109" s="99">
        <f>IFERROR(GETPIVOTDATA("Value",TD_WEAP_RAW!$A$3,"Variable",L$2,"Escenario",L$1,"Branch","Demand Sites and Catchments\"&amp;$D109),0)</f>
        <v>0</v>
      </c>
    </row>
    <row r="110" spans="4:12">
      <c r="D110" s="53"/>
      <c r="E110" s="42"/>
      <c r="F110" s="42"/>
      <c r="G110" s="51"/>
      <c r="H110" s="99">
        <f>IFERROR(GETPIVOTDATA("Value",TD_WEAP_RAW!$A$3,"Variable",H$2,"Escenario",H$1,"Branch","Demand Sites and Catchments\"&amp;$D110),0)</f>
        <v>0</v>
      </c>
      <c r="I110" s="99">
        <f>IFERROR(GETPIVOTDATA("Value",TD_WEAP_RAW!$A$3,"Variable",I$2,"Escenario",I$1,"Branch","Demand Sites and Catchments\"&amp;$D110),0)</f>
        <v>0</v>
      </c>
      <c r="J110" s="99">
        <f>IFERROR(GETPIVOTDATA("Value",TD_WEAP_RAW!$A$3,"Variable",J$2,"Escenario",J$1,"Branch","Demand Sites and Catchments\"&amp;$D110),0)</f>
        <v>0</v>
      </c>
      <c r="K110" s="99">
        <f>IFERROR(GETPIVOTDATA("Value",TD_WEAP_RAW!$A$3,"Variable",K$2,"Escenario",K$1,"Branch","Demand Sites and Catchments\"&amp;$D110),0)</f>
        <v>0</v>
      </c>
      <c r="L110" s="99">
        <f>IFERROR(GETPIVOTDATA("Value",TD_WEAP_RAW!$A$3,"Variable",L$2,"Escenario",L$1,"Branch","Demand Sites and Catchments\"&amp;$D110),0)</f>
        <v>0</v>
      </c>
    </row>
    <row r="111" spans="4:12">
      <c r="D111" s="53"/>
      <c r="E111" s="42"/>
      <c r="F111" s="42"/>
      <c r="G111" s="51"/>
      <c r="H111" s="99">
        <f>IFERROR(GETPIVOTDATA("Value",TD_WEAP_RAW!$A$3,"Variable",H$2,"Escenario",H$1,"Branch","Demand Sites and Catchments\"&amp;$D111),0)</f>
        <v>0</v>
      </c>
      <c r="I111" s="99">
        <f>IFERROR(GETPIVOTDATA("Value",TD_WEAP_RAW!$A$3,"Variable",I$2,"Escenario",I$1,"Branch","Demand Sites and Catchments\"&amp;$D111),0)</f>
        <v>0</v>
      </c>
      <c r="J111" s="99">
        <f>IFERROR(GETPIVOTDATA("Value",TD_WEAP_RAW!$A$3,"Variable",J$2,"Escenario",J$1,"Branch","Demand Sites and Catchments\"&amp;$D111),0)</f>
        <v>0</v>
      </c>
      <c r="K111" s="99">
        <f>IFERROR(GETPIVOTDATA("Value",TD_WEAP_RAW!$A$3,"Variable",K$2,"Escenario",K$1,"Branch","Demand Sites and Catchments\"&amp;$D111),0)</f>
        <v>0</v>
      </c>
      <c r="L111" s="99">
        <f>IFERROR(GETPIVOTDATA("Value",TD_WEAP_RAW!$A$3,"Variable",L$2,"Escenario",L$1,"Branch","Demand Sites and Catchments\"&amp;$D111),0)</f>
        <v>0</v>
      </c>
    </row>
    <row r="112" spans="4:12">
      <c r="D112" s="53"/>
      <c r="E112" s="42"/>
      <c r="F112" s="42"/>
      <c r="G112" s="51"/>
      <c r="H112" s="99">
        <f>IFERROR(GETPIVOTDATA("Value",TD_WEAP_RAW!$A$3,"Variable",H$2,"Escenario",H$1,"Branch","Demand Sites and Catchments\"&amp;$D112),0)</f>
        <v>0</v>
      </c>
      <c r="I112" s="99">
        <f>IFERROR(GETPIVOTDATA("Value",TD_WEAP_RAW!$A$3,"Variable",I$2,"Escenario",I$1,"Branch","Demand Sites and Catchments\"&amp;$D112),0)</f>
        <v>0</v>
      </c>
      <c r="J112" s="99">
        <f>IFERROR(GETPIVOTDATA("Value",TD_WEAP_RAW!$A$3,"Variable",J$2,"Escenario",J$1,"Branch","Demand Sites and Catchments\"&amp;$D112),0)</f>
        <v>0</v>
      </c>
      <c r="K112" s="99">
        <f>IFERROR(GETPIVOTDATA("Value",TD_WEAP_RAW!$A$3,"Variable",K$2,"Escenario",K$1,"Branch","Demand Sites and Catchments\"&amp;$D112),0)</f>
        <v>0</v>
      </c>
      <c r="L112" s="99">
        <f>IFERROR(GETPIVOTDATA("Value",TD_WEAP_RAW!$A$3,"Variable",L$2,"Escenario",L$1,"Branch","Demand Sites and Catchments\"&amp;$D112),0)</f>
        <v>0</v>
      </c>
    </row>
    <row r="113" spans="4:12">
      <c r="D113" s="53"/>
      <c r="E113" s="42"/>
      <c r="F113" s="42"/>
      <c r="G113" s="51"/>
      <c r="H113" s="99">
        <f>IFERROR(GETPIVOTDATA("Value",TD_WEAP_RAW!$A$3,"Variable",H$2,"Escenario",H$1,"Branch","Demand Sites and Catchments\"&amp;$D113),0)</f>
        <v>0</v>
      </c>
      <c r="I113" s="99">
        <f>IFERROR(GETPIVOTDATA("Value",TD_WEAP_RAW!$A$3,"Variable",I$2,"Escenario",I$1,"Branch","Demand Sites and Catchments\"&amp;$D113),0)</f>
        <v>0</v>
      </c>
      <c r="J113" s="99">
        <f>IFERROR(GETPIVOTDATA("Value",TD_WEAP_RAW!$A$3,"Variable",J$2,"Escenario",J$1,"Branch","Demand Sites and Catchments\"&amp;$D113),0)</f>
        <v>0</v>
      </c>
      <c r="K113" s="99">
        <f>IFERROR(GETPIVOTDATA("Value",TD_WEAP_RAW!$A$3,"Variable",K$2,"Escenario",K$1,"Branch","Demand Sites and Catchments\"&amp;$D113),0)</f>
        <v>0</v>
      </c>
      <c r="L113" s="99">
        <f>IFERROR(GETPIVOTDATA("Value",TD_WEAP_RAW!$A$3,"Variable",L$2,"Escenario",L$1,"Branch","Demand Sites and Catchments\"&amp;$D113),0)</f>
        <v>0</v>
      </c>
    </row>
    <row r="114" spans="4:12">
      <c r="D114" s="53"/>
      <c r="E114" s="42"/>
      <c r="F114" s="42"/>
      <c r="G114" s="51"/>
      <c r="H114" s="99">
        <f>IFERROR(GETPIVOTDATA("Value",TD_WEAP_RAW!$A$3,"Variable",H$2,"Escenario",H$1,"Branch","Demand Sites and Catchments\"&amp;$D114),0)</f>
        <v>0</v>
      </c>
      <c r="I114" s="99">
        <f>IFERROR(GETPIVOTDATA("Value",TD_WEAP_RAW!$A$3,"Variable",I$2,"Escenario",I$1,"Branch","Demand Sites and Catchments\"&amp;$D114),0)</f>
        <v>0</v>
      </c>
      <c r="J114" s="99">
        <f>IFERROR(GETPIVOTDATA("Value",TD_WEAP_RAW!$A$3,"Variable",J$2,"Escenario",J$1,"Branch","Demand Sites and Catchments\"&amp;$D114),0)</f>
        <v>0</v>
      </c>
      <c r="K114" s="99">
        <f>IFERROR(GETPIVOTDATA("Value",TD_WEAP_RAW!$A$3,"Variable",K$2,"Escenario",K$1,"Branch","Demand Sites and Catchments\"&amp;$D114),0)</f>
        <v>0</v>
      </c>
      <c r="L114" s="99">
        <f>IFERROR(GETPIVOTDATA("Value",TD_WEAP_RAW!$A$3,"Variable",L$2,"Escenario",L$1,"Branch","Demand Sites and Catchments\"&amp;$D114),0)</f>
        <v>0</v>
      </c>
    </row>
    <row r="115" spans="4:12">
      <c r="D115" s="53"/>
      <c r="E115" s="42"/>
      <c r="F115" s="42"/>
      <c r="G115" s="51"/>
      <c r="H115" s="99">
        <f>IFERROR(GETPIVOTDATA("Value",TD_WEAP_RAW!$A$3,"Variable",H$2,"Escenario",H$1,"Branch","Demand Sites and Catchments\"&amp;$D115),0)</f>
        <v>0</v>
      </c>
      <c r="I115" s="99">
        <f>IFERROR(GETPIVOTDATA("Value",TD_WEAP_RAW!$A$3,"Variable",I$2,"Escenario",I$1,"Branch","Demand Sites and Catchments\"&amp;$D115),0)</f>
        <v>0</v>
      </c>
      <c r="J115" s="99">
        <f>IFERROR(GETPIVOTDATA("Value",TD_WEAP_RAW!$A$3,"Variable",J$2,"Escenario",J$1,"Branch","Demand Sites and Catchments\"&amp;$D115),0)</f>
        <v>0</v>
      </c>
      <c r="K115" s="99">
        <f>IFERROR(GETPIVOTDATA("Value",TD_WEAP_RAW!$A$3,"Variable",K$2,"Escenario",K$1,"Branch","Demand Sites and Catchments\"&amp;$D115),0)</f>
        <v>0</v>
      </c>
      <c r="L115" s="99">
        <f>IFERROR(GETPIVOTDATA("Value",TD_WEAP_RAW!$A$3,"Variable",L$2,"Escenario",L$1,"Branch","Demand Sites and Catchments\"&amp;$D115),0)</f>
        <v>0</v>
      </c>
    </row>
    <row r="116" spans="4:12">
      <c r="D116" s="53"/>
      <c r="E116" s="42"/>
      <c r="F116" s="42"/>
      <c r="G116" s="51"/>
      <c r="H116" s="99">
        <f>IFERROR(GETPIVOTDATA("Value",TD_WEAP_RAW!$A$3,"Variable",H$2,"Escenario",H$1,"Branch","Demand Sites and Catchments\"&amp;$D116),0)</f>
        <v>0</v>
      </c>
      <c r="I116" s="99">
        <f>IFERROR(GETPIVOTDATA("Value",TD_WEAP_RAW!$A$3,"Variable",I$2,"Escenario",I$1,"Branch","Demand Sites and Catchments\"&amp;$D116),0)</f>
        <v>0</v>
      </c>
      <c r="J116" s="99">
        <f>IFERROR(GETPIVOTDATA("Value",TD_WEAP_RAW!$A$3,"Variable",J$2,"Escenario",J$1,"Branch","Demand Sites and Catchments\"&amp;$D116),0)</f>
        <v>0</v>
      </c>
      <c r="K116" s="99">
        <f>IFERROR(GETPIVOTDATA("Value",TD_WEAP_RAW!$A$3,"Variable",K$2,"Escenario",K$1,"Branch","Demand Sites and Catchments\"&amp;$D116),0)</f>
        <v>0</v>
      </c>
      <c r="L116" s="99">
        <f>IFERROR(GETPIVOTDATA("Value",TD_WEAP_RAW!$A$3,"Variable",L$2,"Escenario",L$1,"Branch","Demand Sites and Catchments\"&amp;$D116),0)</f>
        <v>0</v>
      </c>
    </row>
    <row r="117" spans="4:12">
      <c r="D117" s="53"/>
      <c r="E117" s="42"/>
      <c r="F117" s="42"/>
      <c r="G117" s="51"/>
      <c r="H117" s="99">
        <f>IFERROR(GETPIVOTDATA("Value",TD_WEAP_RAW!$A$3,"Variable",H$2,"Escenario",H$1,"Branch","Demand Sites and Catchments\"&amp;$D117),0)</f>
        <v>0</v>
      </c>
      <c r="I117" s="99">
        <f>IFERROR(GETPIVOTDATA("Value",TD_WEAP_RAW!$A$3,"Variable",I$2,"Escenario",I$1,"Branch","Demand Sites and Catchments\"&amp;$D117),0)</f>
        <v>0</v>
      </c>
      <c r="J117" s="99">
        <f>IFERROR(GETPIVOTDATA("Value",TD_WEAP_RAW!$A$3,"Variable",J$2,"Escenario",J$1,"Branch","Demand Sites and Catchments\"&amp;$D117),0)</f>
        <v>0</v>
      </c>
      <c r="K117" s="99">
        <f>IFERROR(GETPIVOTDATA("Value",TD_WEAP_RAW!$A$3,"Variable",K$2,"Escenario",K$1,"Branch","Demand Sites and Catchments\"&amp;$D117),0)</f>
        <v>0</v>
      </c>
      <c r="L117" s="99">
        <f>IFERROR(GETPIVOTDATA("Value",TD_WEAP_RAW!$A$3,"Variable",L$2,"Escenario",L$1,"Branch","Demand Sites and Catchments\"&amp;$D117),0)</f>
        <v>0</v>
      </c>
    </row>
    <row r="118" spans="4:12">
      <c r="D118" s="53"/>
      <c r="E118" s="42"/>
      <c r="F118" s="42"/>
      <c r="G118" s="51"/>
      <c r="H118" s="99">
        <f>IFERROR(GETPIVOTDATA("Value",TD_WEAP_RAW!$A$3,"Variable",H$2,"Escenario",H$1,"Branch","Demand Sites and Catchments\"&amp;$D118),0)</f>
        <v>0</v>
      </c>
      <c r="I118" s="99">
        <f>IFERROR(GETPIVOTDATA("Value",TD_WEAP_RAW!$A$3,"Variable",I$2,"Escenario",I$1,"Branch","Demand Sites and Catchments\"&amp;$D118),0)</f>
        <v>0</v>
      </c>
      <c r="J118" s="99">
        <f>IFERROR(GETPIVOTDATA("Value",TD_WEAP_RAW!$A$3,"Variable",J$2,"Escenario",J$1,"Branch","Demand Sites and Catchments\"&amp;$D118),0)</f>
        <v>0</v>
      </c>
      <c r="K118" s="99">
        <f>IFERROR(GETPIVOTDATA("Value",TD_WEAP_RAW!$A$3,"Variable",K$2,"Escenario",K$1,"Branch","Demand Sites and Catchments\"&amp;$D118),0)</f>
        <v>0</v>
      </c>
      <c r="L118" s="99">
        <f>IFERROR(GETPIVOTDATA("Value",TD_WEAP_RAW!$A$3,"Variable",L$2,"Escenario",L$1,"Branch","Demand Sites and Catchments\"&amp;$D118),0)</f>
        <v>0</v>
      </c>
    </row>
    <row r="119" spans="4:12">
      <c r="D119" s="53"/>
      <c r="E119" s="42"/>
      <c r="F119" s="42"/>
      <c r="G119" s="51"/>
      <c r="H119" s="99">
        <f>IFERROR(GETPIVOTDATA("Value",TD_WEAP_RAW!$A$3,"Variable",H$2,"Escenario",H$1,"Branch","Demand Sites and Catchments\"&amp;$D119),0)</f>
        <v>0</v>
      </c>
      <c r="I119" s="99">
        <f>IFERROR(GETPIVOTDATA("Value",TD_WEAP_RAW!$A$3,"Variable",I$2,"Escenario",I$1,"Branch","Demand Sites and Catchments\"&amp;$D119),0)</f>
        <v>0</v>
      </c>
      <c r="J119" s="99">
        <f>IFERROR(GETPIVOTDATA("Value",TD_WEAP_RAW!$A$3,"Variable",J$2,"Escenario",J$1,"Branch","Demand Sites and Catchments\"&amp;$D119),0)</f>
        <v>0</v>
      </c>
      <c r="K119" s="99">
        <f>IFERROR(GETPIVOTDATA("Value",TD_WEAP_RAW!$A$3,"Variable",K$2,"Escenario",K$1,"Branch","Demand Sites and Catchments\"&amp;$D119),0)</f>
        <v>0</v>
      </c>
      <c r="L119" s="99">
        <f>IFERROR(GETPIVOTDATA("Value",TD_WEAP_RAW!$A$3,"Variable",L$2,"Escenario",L$1,"Branch","Demand Sites and Catchments\"&amp;$D119),0)</f>
        <v>0</v>
      </c>
    </row>
    <row r="120" spans="4:12">
      <c r="D120" s="53"/>
      <c r="E120" s="42"/>
      <c r="F120" s="42"/>
      <c r="G120" s="51"/>
      <c r="H120" s="99">
        <f>IFERROR(GETPIVOTDATA("Value",TD_WEAP_RAW!$A$3,"Variable",H$2,"Escenario",H$1,"Branch","Demand Sites and Catchments\"&amp;$D120),0)</f>
        <v>0</v>
      </c>
      <c r="I120" s="99">
        <f>IFERROR(GETPIVOTDATA("Value",TD_WEAP_RAW!$A$3,"Variable",I$2,"Escenario",I$1,"Branch","Demand Sites and Catchments\"&amp;$D120),0)</f>
        <v>0</v>
      </c>
      <c r="J120" s="99">
        <f>IFERROR(GETPIVOTDATA("Value",TD_WEAP_RAW!$A$3,"Variable",J$2,"Escenario",J$1,"Branch","Demand Sites and Catchments\"&amp;$D120),0)</f>
        <v>0</v>
      </c>
      <c r="K120" s="99">
        <f>IFERROR(GETPIVOTDATA("Value",TD_WEAP_RAW!$A$3,"Variable",K$2,"Escenario",K$1,"Branch","Demand Sites and Catchments\"&amp;$D120),0)</f>
        <v>0</v>
      </c>
      <c r="L120" s="99">
        <f>IFERROR(GETPIVOTDATA("Value",TD_WEAP_RAW!$A$3,"Variable",L$2,"Escenario",L$1,"Branch","Demand Sites and Catchments\"&amp;$D120),0)</f>
        <v>0</v>
      </c>
    </row>
    <row r="121" spans="4:12">
      <c r="D121" s="53"/>
      <c r="E121" s="42"/>
      <c r="F121" s="42"/>
      <c r="G121" s="51"/>
      <c r="H121" s="99">
        <f>IFERROR(GETPIVOTDATA("Value",TD_WEAP_RAW!$A$3,"Variable",H$2,"Escenario",H$1,"Branch","Demand Sites and Catchments\"&amp;$D121),0)</f>
        <v>0</v>
      </c>
      <c r="I121" s="99">
        <f>IFERROR(GETPIVOTDATA("Value",TD_WEAP_RAW!$A$3,"Variable",I$2,"Escenario",I$1,"Branch","Demand Sites and Catchments\"&amp;$D121),0)</f>
        <v>0</v>
      </c>
      <c r="J121" s="99">
        <f>IFERROR(GETPIVOTDATA("Value",TD_WEAP_RAW!$A$3,"Variable",J$2,"Escenario",J$1,"Branch","Demand Sites and Catchments\"&amp;$D121),0)</f>
        <v>0</v>
      </c>
      <c r="K121" s="99">
        <f>IFERROR(GETPIVOTDATA("Value",TD_WEAP_RAW!$A$3,"Variable",K$2,"Escenario",K$1,"Branch","Demand Sites and Catchments\"&amp;$D121),0)</f>
        <v>0</v>
      </c>
      <c r="L121" s="99">
        <f>IFERROR(GETPIVOTDATA("Value",TD_WEAP_RAW!$A$3,"Variable",L$2,"Escenario",L$1,"Branch","Demand Sites and Catchments\"&amp;$D121),0)</f>
        <v>0</v>
      </c>
    </row>
    <row r="122" spans="4:12">
      <c r="D122" s="53"/>
      <c r="E122" s="42"/>
      <c r="F122" s="42"/>
      <c r="G122" s="51"/>
      <c r="H122" s="99">
        <f>IFERROR(GETPIVOTDATA("Value",TD_WEAP_RAW!$A$3,"Variable",H$2,"Escenario",H$1,"Branch","Demand Sites and Catchments\"&amp;$D122),0)</f>
        <v>0</v>
      </c>
      <c r="I122" s="99">
        <f>IFERROR(GETPIVOTDATA("Value",TD_WEAP_RAW!$A$3,"Variable",I$2,"Escenario",I$1,"Branch","Demand Sites and Catchments\"&amp;$D122),0)</f>
        <v>0</v>
      </c>
      <c r="J122" s="99">
        <f>IFERROR(GETPIVOTDATA("Value",TD_WEAP_RAW!$A$3,"Variable",J$2,"Escenario",J$1,"Branch","Demand Sites and Catchments\"&amp;$D122),0)</f>
        <v>0</v>
      </c>
      <c r="K122" s="99">
        <f>IFERROR(GETPIVOTDATA("Value",TD_WEAP_RAW!$A$3,"Variable",K$2,"Escenario",K$1,"Branch","Demand Sites and Catchments\"&amp;$D122),0)</f>
        <v>0</v>
      </c>
      <c r="L122" s="99">
        <f>IFERROR(GETPIVOTDATA("Value",TD_WEAP_RAW!$A$3,"Variable",L$2,"Escenario",L$1,"Branch","Demand Sites and Catchments\"&amp;$D122),0)</f>
        <v>0</v>
      </c>
    </row>
    <row r="123" spans="4:12">
      <c r="D123" s="53"/>
      <c r="E123" s="42"/>
      <c r="F123" s="42"/>
      <c r="G123" s="51"/>
      <c r="H123" s="99">
        <f>IFERROR(GETPIVOTDATA("Value",TD_WEAP_RAW!$A$3,"Variable",H$2,"Escenario",H$1,"Branch","Demand Sites and Catchments\"&amp;$D123),0)</f>
        <v>0</v>
      </c>
      <c r="I123" s="99">
        <f>IFERROR(GETPIVOTDATA("Value",TD_WEAP_RAW!$A$3,"Variable",I$2,"Escenario",I$1,"Branch","Demand Sites and Catchments\"&amp;$D123),0)</f>
        <v>0</v>
      </c>
      <c r="J123" s="99">
        <f>IFERROR(GETPIVOTDATA("Value",TD_WEAP_RAW!$A$3,"Variable",J$2,"Escenario",J$1,"Branch","Demand Sites and Catchments\"&amp;$D123),0)</f>
        <v>0</v>
      </c>
      <c r="K123" s="99">
        <f>IFERROR(GETPIVOTDATA("Value",TD_WEAP_RAW!$A$3,"Variable",K$2,"Escenario",K$1,"Branch","Demand Sites and Catchments\"&amp;$D123),0)</f>
        <v>0</v>
      </c>
      <c r="L123" s="99">
        <f>IFERROR(GETPIVOTDATA("Value",TD_WEAP_RAW!$A$3,"Variable",L$2,"Escenario",L$1,"Branch","Demand Sites and Catchments\"&amp;$D123),0)</f>
        <v>0</v>
      </c>
    </row>
    <row r="124" spans="4:12">
      <c r="D124" s="53"/>
      <c r="E124" s="42"/>
      <c r="F124" s="42"/>
      <c r="G124" s="51"/>
      <c r="H124" s="99">
        <f>IFERROR(GETPIVOTDATA("Value",TD_WEAP_RAW!$A$3,"Variable",H$2,"Escenario",H$1,"Branch","Demand Sites and Catchments\"&amp;$D124),0)</f>
        <v>0</v>
      </c>
      <c r="I124" s="99">
        <f>IFERROR(GETPIVOTDATA("Value",TD_WEAP_RAW!$A$3,"Variable",I$2,"Escenario",I$1,"Branch","Demand Sites and Catchments\"&amp;$D124),0)</f>
        <v>0</v>
      </c>
      <c r="J124" s="99">
        <f>IFERROR(GETPIVOTDATA("Value",TD_WEAP_RAW!$A$3,"Variable",J$2,"Escenario",J$1,"Branch","Demand Sites and Catchments\"&amp;$D124),0)</f>
        <v>0</v>
      </c>
      <c r="K124" s="99">
        <f>IFERROR(GETPIVOTDATA("Value",TD_WEAP_RAW!$A$3,"Variable",K$2,"Escenario",K$1,"Branch","Demand Sites and Catchments\"&amp;$D124),0)</f>
        <v>0</v>
      </c>
      <c r="L124" s="99">
        <f>IFERROR(GETPIVOTDATA("Value",TD_WEAP_RAW!$A$3,"Variable",L$2,"Escenario",L$1,"Branch","Demand Sites and Catchments\"&amp;$D124),0)</f>
        <v>0</v>
      </c>
    </row>
    <row r="125" spans="4:12">
      <c r="D125" s="53"/>
      <c r="E125" s="42"/>
      <c r="F125" s="42"/>
      <c r="G125" s="51"/>
      <c r="H125" s="99">
        <f>IFERROR(GETPIVOTDATA("Value",TD_WEAP_RAW!$A$3,"Variable",H$2,"Escenario",H$1,"Branch","Demand Sites and Catchments\"&amp;$D125),0)</f>
        <v>0</v>
      </c>
      <c r="I125" s="99">
        <f>IFERROR(GETPIVOTDATA("Value",TD_WEAP_RAW!$A$3,"Variable",I$2,"Escenario",I$1,"Branch","Demand Sites and Catchments\"&amp;$D125),0)</f>
        <v>0</v>
      </c>
      <c r="J125" s="99">
        <f>IFERROR(GETPIVOTDATA("Value",TD_WEAP_RAW!$A$3,"Variable",J$2,"Escenario",J$1,"Branch","Demand Sites and Catchments\"&amp;$D125),0)</f>
        <v>0</v>
      </c>
      <c r="K125" s="99">
        <f>IFERROR(GETPIVOTDATA("Value",TD_WEAP_RAW!$A$3,"Variable",K$2,"Escenario",K$1,"Branch","Demand Sites and Catchments\"&amp;$D125),0)</f>
        <v>0</v>
      </c>
      <c r="L125" s="99">
        <f>IFERROR(GETPIVOTDATA("Value",TD_WEAP_RAW!$A$3,"Variable",L$2,"Escenario",L$1,"Branch","Demand Sites and Catchments\"&amp;$D125),0)</f>
        <v>0</v>
      </c>
    </row>
    <row r="126" spans="4:12">
      <c r="D126" s="53"/>
      <c r="E126" s="42"/>
      <c r="F126" s="42"/>
      <c r="G126" s="51"/>
      <c r="H126" s="99">
        <f>IFERROR(GETPIVOTDATA("Value",TD_WEAP_RAW!$A$3,"Variable",H$2,"Escenario",H$1,"Branch","Demand Sites and Catchments\"&amp;$D126),0)</f>
        <v>0</v>
      </c>
      <c r="I126" s="99">
        <f>IFERROR(GETPIVOTDATA("Value",TD_WEAP_RAW!$A$3,"Variable",I$2,"Escenario",I$1,"Branch","Demand Sites and Catchments\"&amp;$D126),0)</f>
        <v>0</v>
      </c>
      <c r="J126" s="99">
        <f>IFERROR(GETPIVOTDATA("Value",TD_WEAP_RAW!$A$3,"Variable",J$2,"Escenario",J$1,"Branch","Demand Sites and Catchments\"&amp;$D126),0)</f>
        <v>0</v>
      </c>
      <c r="K126" s="99">
        <f>IFERROR(GETPIVOTDATA("Value",TD_WEAP_RAW!$A$3,"Variable",K$2,"Escenario",K$1,"Branch","Demand Sites and Catchments\"&amp;$D126),0)</f>
        <v>0</v>
      </c>
      <c r="L126" s="99">
        <f>IFERROR(GETPIVOTDATA("Value",TD_WEAP_RAW!$A$3,"Variable",L$2,"Escenario",L$1,"Branch","Demand Sites and Catchments\"&amp;$D126),0)</f>
        <v>0</v>
      </c>
    </row>
    <row r="127" spans="4:12">
      <c r="D127" s="53"/>
      <c r="E127" s="42"/>
      <c r="F127" s="42"/>
      <c r="G127" s="51"/>
      <c r="H127" s="99">
        <f>IFERROR(GETPIVOTDATA("Value",TD_WEAP_RAW!$A$3,"Variable",H$2,"Escenario",H$1,"Branch","Demand Sites and Catchments\"&amp;$D127),0)</f>
        <v>0</v>
      </c>
      <c r="I127" s="99">
        <f>IFERROR(GETPIVOTDATA("Value",TD_WEAP_RAW!$A$3,"Variable",I$2,"Escenario",I$1,"Branch","Demand Sites and Catchments\"&amp;$D127),0)</f>
        <v>0</v>
      </c>
      <c r="J127" s="99">
        <f>IFERROR(GETPIVOTDATA("Value",TD_WEAP_RAW!$A$3,"Variable",J$2,"Escenario",J$1,"Branch","Demand Sites and Catchments\"&amp;$D127),0)</f>
        <v>0</v>
      </c>
      <c r="K127" s="99">
        <f>IFERROR(GETPIVOTDATA("Value",TD_WEAP_RAW!$A$3,"Variable",K$2,"Escenario",K$1,"Branch","Demand Sites and Catchments\"&amp;$D127),0)</f>
        <v>0</v>
      </c>
      <c r="L127" s="99">
        <f>IFERROR(GETPIVOTDATA("Value",TD_WEAP_RAW!$A$3,"Variable",L$2,"Escenario",L$1,"Branch","Demand Sites and Catchments\"&amp;$D127),0)</f>
        <v>0</v>
      </c>
    </row>
    <row r="128" spans="4:12">
      <c r="D128" s="53"/>
      <c r="E128" s="42"/>
      <c r="F128" s="42"/>
      <c r="G128" s="51"/>
      <c r="H128" s="99">
        <f>IFERROR(GETPIVOTDATA("Value",TD_WEAP_RAW!$A$3,"Variable",H$2,"Escenario",H$1,"Branch","Demand Sites and Catchments\"&amp;$D128),0)</f>
        <v>0</v>
      </c>
      <c r="I128" s="99">
        <f>IFERROR(GETPIVOTDATA("Value",TD_WEAP_RAW!$A$3,"Variable",I$2,"Escenario",I$1,"Branch","Demand Sites and Catchments\"&amp;$D128),0)</f>
        <v>0</v>
      </c>
      <c r="J128" s="99">
        <f>IFERROR(GETPIVOTDATA("Value",TD_WEAP_RAW!$A$3,"Variable",J$2,"Escenario",J$1,"Branch","Demand Sites and Catchments\"&amp;$D128),0)</f>
        <v>0</v>
      </c>
      <c r="K128" s="99">
        <f>IFERROR(GETPIVOTDATA("Value",TD_WEAP_RAW!$A$3,"Variable",K$2,"Escenario",K$1,"Branch","Demand Sites and Catchments\"&amp;$D128),0)</f>
        <v>0</v>
      </c>
      <c r="L128" s="99">
        <f>IFERROR(GETPIVOTDATA("Value",TD_WEAP_RAW!$A$3,"Variable",L$2,"Escenario",L$1,"Branch","Demand Sites and Catchments\"&amp;$D128),0)</f>
        <v>0</v>
      </c>
    </row>
    <row r="129" spans="4:12">
      <c r="D129" s="53"/>
      <c r="E129" s="42"/>
      <c r="F129" s="42"/>
      <c r="G129" s="51"/>
      <c r="H129" s="99">
        <f>IFERROR(GETPIVOTDATA("Value",TD_WEAP_RAW!$A$3,"Variable",H$2,"Escenario",H$1,"Branch","Demand Sites and Catchments\"&amp;$D129),0)</f>
        <v>0</v>
      </c>
      <c r="I129" s="99">
        <f>IFERROR(GETPIVOTDATA("Value",TD_WEAP_RAW!$A$3,"Variable",I$2,"Escenario",I$1,"Branch","Demand Sites and Catchments\"&amp;$D129),0)</f>
        <v>0</v>
      </c>
      <c r="J129" s="99">
        <f>IFERROR(GETPIVOTDATA("Value",TD_WEAP_RAW!$A$3,"Variable",J$2,"Escenario",J$1,"Branch","Demand Sites and Catchments\"&amp;$D129),0)</f>
        <v>0</v>
      </c>
      <c r="K129" s="99">
        <f>IFERROR(GETPIVOTDATA("Value",TD_WEAP_RAW!$A$3,"Variable",K$2,"Escenario",K$1,"Branch","Demand Sites and Catchments\"&amp;$D129),0)</f>
        <v>0</v>
      </c>
      <c r="L129" s="99">
        <f>IFERROR(GETPIVOTDATA("Value",TD_WEAP_RAW!$A$3,"Variable",L$2,"Escenario",L$1,"Branch","Demand Sites and Catchments\"&amp;$D129),0)</f>
        <v>0</v>
      </c>
    </row>
    <row r="130" spans="4:12">
      <c r="D130" s="53"/>
      <c r="E130" s="42"/>
      <c r="F130" s="42"/>
      <c r="G130" s="51"/>
      <c r="H130" s="99">
        <f>IFERROR(GETPIVOTDATA("Value",TD_WEAP_RAW!$A$3,"Variable",H$2,"Escenario",H$1,"Branch","Demand Sites and Catchments\"&amp;$D130),0)</f>
        <v>0</v>
      </c>
      <c r="I130" s="99">
        <f>IFERROR(GETPIVOTDATA("Value",TD_WEAP_RAW!$A$3,"Variable",I$2,"Escenario",I$1,"Branch","Demand Sites and Catchments\"&amp;$D130),0)</f>
        <v>0</v>
      </c>
      <c r="J130" s="99">
        <f>IFERROR(GETPIVOTDATA("Value",TD_WEAP_RAW!$A$3,"Variable",J$2,"Escenario",J$1,"Branch","Demand Sites and Catchments\"&amp;$D130),0)</f>
        <v>0</v>
      </c>
      <c r="K130" s="99">
        <f>IFERROR(GETPIVOTDATA("Value",TD_WEAP_RAW!$A$3,"Variable",K$2,"Escenario",K$1,"Branch","Demand Sites and Catchments\"&amp;$D130),0)</f>
        <v>0</v>
      </c>
      <c r="L130" s="99">
        <f>IFERROR(GETPIVOTDATA("Value",TD_WEAP_RAW!$A$3,"Variable",L$2,"Escenario",L$1,"Branch","Demand Sites and Catchments\"&amp;$D130),0)</f>
        <v>0</v>
      </c>
    </row>
    <row r="131" spans="4:12">
      <c r="D131" s="53"/>
      <c r="E131" s="42"/>
      <c r="F131" s="42"/>
      <c r="G131" s="51"/>
      <c r="H131" s="99">
        <f>IFERROR(GETPIVOTDATA("Value",TD_WEAP_RAW!$A$3,"Variable",H$2,"Escenario",H$1,"Branch","Demand Sites and Catchments\"&amp;$D131),0)</f>
        <v>0</v>
      </c>
      <c r="I131" s="99">
        <f>IFERROR(GETPIVOTDATA("Value",TD_WEAP_RAW!$A$3,"Variable",I$2,"Escenario",I$1,"Branch","Demand Sites and Catchments\"&amp;$D131),0)</f>
        <v>0</v>
      </c>
      <c r="J131" s="99">
        <f>IFERROR(GETPIVOTDATA("Value",TD_WEAP_RAW!$A$3,"Variable",J$2,"Escenario",J$1,"Branch","Demand Sites and Catchments\"&amp;$D131),0)</f>
        <v>0</v>
      </c>
      <c r="K131" s="99">
        <f>IFERROR(GETPIVOTDATA("Value",TD_WEAP_RAW!$A$3,"Variable",K$2,"Escenario",K$1,"Branch","Demand Sites and Catchments\"&amp;$D131),0)</f>
        <v>0</v>
      </c>
      <c r="L131" s="99">
        <f>IFERROR(GETPIVOTDATA("Value",TD_WEAP_RAW!$A$3,"Variable",L$2,"Escenario",L$1,"Branch","Demand Sites and Catchments\"&amp;$D131),0)</f>
        <v>0</v>
      </c>
    </row>
    <row r="132" spans="4:12">
      <c r="D132" s="53"/>
      <c r="E132" s="42"/>
      <c r="F132" s="42"/>
      <c r="G132" s="51"/>
      <c r="H132" s="99">
        <f>IFERROR(GETPIVOTDATA("Value",TD_WEAP_RAW!$A$3,"Variable",H$2,"Escenario",H$1,"Branch","Demand Sites and Catchments\"&amp;$D132),0)</f>
        <v>0</v>
      </c>
      <c r="I132" s="99">
        <f>IFERROR(GETPIVOTDATA("Value",TD_WEAP_RAW!$A$3,"Variable",I$2,"Escenario",I$1,"Branch","Demand Sites and Catchments\"&amp;$D132),0)</f>
        <v>0</v>
      </c>
      <c r="J132" s="99">
        <f>IFERROR(GETPIVOTDATA("Value",TD_WEAP_RAW!$A$3,"Variable",J$2,"Escenario",J$1,"Branch","Demand Sites and Catchments\"&amp;$D132),0)</f>
        <v>0</v>
      </c>
      <c r="K132" s="99">
        <f>IFERROR(GETPIVOTDATA("Value",TD_WEAP_RAW!$A$3,"Variable",K$2,"Escenario",K$1,"Branch","Demand Sites and Catchments\"&amp;$D132),0)</f>
        <v>0</v>
      </c>
      <c r="L132" s="99">
        <f>IFERROR(GETPIVOTDATA("Value",TD_WEAP_RAW!$A$3,"Variable",L$2,"Escenario",L$1,"Branch","Demand Sites and Catchments\"&amp;$D132),0)</f>
        <v>0</v>
      </c>
    </row>
    <row r="133" spans="4:12">
      <c r="D133" s="53"/>
      <c r="E133" s="42"/>
      <c r="F133" s="42"/>
      <c r="G133" s="51"/>
      <c r="H133" s="99">
        <f>IFERROR(GETPIVOTDATA("Value",TD_WEAP_RAW!$A$3,"Variable",H$2,"Escenario",H$1,"Branch","Demand Sites and Catchments\"&amp;$D133),0)</f>
        <v>0</v>
      </c>
      <c r="I133" s="99">
        <f>IFERROR(GETPIVOTDATA("Value",TD_WEAP_RAW!$A$3,"Variable",I$2,"Escenario",I$1,"Branch","Demand Sites and Catchments\"&amp;$D133),0)</f>
        <v>0</v>
      </c>
      <c r="J133" s="99">
        <f>IFERROR(GETPIVOTDATA("Value",TD_WEAP_RAW!$A$3,"Variable",J$2,"Escenario",J$1,"Branch","Demand Sites and Catchments\"&amp;$D133),0)</f>
        <v>0</v>
      </c>
      <c r="K133" s="99">
        <f>IFERROR(GETPIVOTDATA("Value",TD_WEAP_RAW!$A$3,"Variable",K$2,"Escenario",K$1,"Branch","Demand Sites and Catchments\"&amp;$D133),0)</f>
        <v>0</v>
      </c>
      <c r="L133" s="99">
        <f>IFERROR(GETPIVOTDATA("Value",TD_WEAP_RAW!$A$3,"Variable",L$2,"Escenario",L$1,"Branch","Demand Sites and Catchments\"&amp;$D133),0)</f>
        <v>0</v>
      </c>
    </row>
    <row r="134" spans="4:12">
      <c r="D134" s="53"/>
      <c r="E134" s="42"/>
      <c r="F134" s="42"/>
      <c r="G134" s="51"/>
      <c r="H134" s="99">
        <f>IFERROR(GETPIVOTDATA("Value",TD_WEAP_RAW!$A$3,"Variable",H$2,"Escenario",H$1,"Branch","Demand Sites and Catchments\"&amp;$D134),0)</f>
        <v>0</v>
      </c>
      <c r="I134" s="99">
        <f>IFERROR(GETPIVOTDATA("Value",TD_WEAP_RAW!$A$3,"Variable",I$2,"Escenario",I$1,"Branch","Demand Sites and Catchments\"&amp;$D134),0)</f>
        <v>0</v>
      </c>
      <c r="J134" s="99">
        <f>IFERROR(GETPIVOTDATA("Value",TD_WEAP_RAW!$A$3,"Variable",J$2,"Escenario",J$1,"Branch","Demand Sites and Catchments\"&amp;$D134),0)</f>
        <v>0</v>
      </c>
      <c r="K134" s="99">
        <f>IFERROR(GETPIVOTDATA("Value",TD_WEAP_RAW!$A$3,"Variable",K$2,"Escenario",K$1,"Branch","Demand Sites and Catchments\"&amp;$D134),0)</f>
        <v>0</v>
      </c>
      <c r="L134" s="99">
        <f>IFERROR(GETPIVOTDATA("Value",TD_WEAP_RAW!$A$3,"Variable",L$2,"Escenario",L$1,"Branch","Demand Sites and Catchments\"&amp;$D134),0)</f>
        <v>0</v>
      </c>
    </row>
    <row r="135" spans="4:12">
      <c r="D135" s="53"/>
      <c r="E135" s="42"/>
      <c r="F135" s="42"/>
      <c r="G135" s="51"/>
      <c r="H135" s="99">
        <f>IFERROR(GETPIVOTDATA("Value",TD_WEAP_RAW!$A$3,"Variable",H$2,"Escenario",H$1,"Branch","Demand Sites and Catchments\"&amp;$D135),0)</f>
        <v>0</v>
      </c>
      <c r="I135" s="99">
        <f>IFERROR(GETPIVOTDATA("Value",TD_WEAP_RAW!$A$3,"Variable",I$2,"Escenario",I$1,"Branch","Demand Sites and Catchments\"&amp;$D135),0)</f>
        <v>0</v>
      </c>
      <c r="J135" s="99">
        <f>IFERROR(GETPIVOTDATA("Value",TD_WEAP_RAW!$A$3,"Variable",J$2,"Escenario",J$1,"Branch","Demand Sites and Catchments\"&amp;$D135),0)</f>
        <v>0</v>
      </c>
      <c r="K135" s="99">
        <f>IFERROR(GETPIVOTDATA("Value",TD_WEAP_RAW!$A$3,"Variable",K$2,"Escenario",K$1,"Branch","Demand Sites and Catchments\"&amp;$D135),0)</f>
        <v>0</v>
      </c>
      <c r="L135" s="99">
        <f>IFERROR(GETPIVOTDATA("Value",TD_WEAP_RAW!$A$3,"Variable",L$2,"Escenario",L$1,"Branch","Demand Sites and Catchments\"&amp;$D135),0)</f>
        <v>0</v>
      </c>
    </row>
    <row r="136" spans="4:12">
      <c r="D136" s="53"/>
      <c r="E136" s="42"/>
      <c r="F136" s="42"/>
      <c r="G136" s="51"/>
      <c r="H136" s="99">
        <f>IFERROR(GETPIVOTDATA("Value",TD_WEAP_RAW!$A$3,"Variable",H$2,"Escenario",H$1,"Branch","Demand Sites and Catchments\"&amp;$D136),0)</f>
        <v>0</v>
      </c>
      <c r="I136" s="99">
        <f>IFERROR(GETPIVOTDATA("Value",TD_WEAP_RAW!$A$3,"Variable",I$2,"Escenario",I$1,"Branch","Demand Sites and Catchments\"&amp;$D136),0)</f>
        <v>0</v>
      </c>
      <c r="J136" s="99">
        <f>IFERROR(GETPIVOTDATA("Value",TD_WEAP_RAW!$A$3,"Variable",J$2,"Escenario",J$1,"Branch","Demand Sites and Catchments\"&amp;$D136),0)</f>
        <v>0</v>
      </c>
      <c r="K136" s="99">
        <f>IFERROR(GETPIVOTDATA("Value",TD_WEAP_RAW!$A$3,"Variable",K$2,"Escenario",K$1,"Branch","Demand Sites and Catchments\"&amp;$D136),0)</f>
        <v>0</v>
      </c>
      <c r="L136" s="99">
        <f>IFERROR(GETPIVOTDATA("Value",TD_WEAP_RAW!$A$3,"Variable",L$2,"Escenario",L$1,"Branch","Demand Sites and Catchments\"&amp;$D136),0)</f>
        <v>0</v>
      </c>
    </row>
    <row r="137" spans="4:12">
      <c r="D137" s="53"/>
      <c r="E137" s="42"/>
      <c r="F137" s="42"/>
      <c r="G137" s="51"/>
      <c r="H137" s="99">
        <f>IFERROR(GETPIVOTDATA("Value",TD_WEAP_RAW!$A$3,"Variable",H$2,"Escenario",H$1,"Branch","Demand Sites and Catchments\"&amp;$D137),0)</f>
        <v>0</v>
      </c>
      <c r="I137" s="99">
        <f>IFERROR(GETPIVOTDATA("Value",TD_WEAP_RAW!$A$3,"Variable",I$2,"Escenario",I$1,"Branch","Demand Sites and Catchments\"&amp;$D137),0)</f>
        <v>0</v>
      </c>
      <c r="J137" s="99">
        <f>IFERROR(GETPIVOTDATA("Value",TD_WEAP_RAW!$A$3,"Variable",J$2,"Escenario",J$1,"Branch","Demand Sites and Catchments\"&amp;$D137),0)</f>
        <v>0</v>
      </c>
      <c r="K137" s="99">
        <f>IFERROR(GETPIVOTDATA("Value",TD_WEAP_RAW!$A$3,"Variable",K$2,"Escenario",K$1,"Branch","Demand Sites and Catchments\"&amp;$D137),0)</f>
        <v>0</v>
      </c>
      <c r="L137" s="99">
        <f>IFERROR(GETPIVOTDATA("Value",TD_WEAP_RAW!$A$3,"Variable",L$2,"Escenario",L$1,"Branch","Demand Sites and Catchments\"&amp;$D137),0)</f>
        <v>0</v>
      </c>
    </row>
    <row r="138" spans="4:12">
      <c r="D138" s="53"/>
      <c r="E138" s="42"/>
      <c r="F138" s="42"/>
      <c r="G138" s="51"/>
      <c r="H138" s="99">
        <f>IFERROR(GETPIVOTDATA("Value",TD_WEAP_RAW!$A$3,"Variable",H$2,"Escenario",H$1,"Branch","Demand Sites and Catchments\"&amp;$D138),0)</f>
        <v>0</v>
      </c>
      <c r="I138" s="99">
        <f>IFERROR(GETPIVOTDATA("Value",TD_WEAP_RAW!$A$3,"Variable",I$2,"Escenario",I$1,"Branch","Demand Sites and Catchments\"&amp;$D138),0)</f>
        <v>0</v>
      </c>
      <c r="J138" s="99">
        <f>IFERROR(GETPIVOTDATA("Value",TD_WEAP_RAW!$A$3,"Variable",J$2,"Escenario",J$1,"Branch","Demand Sites and Catchments\"&amp;$D138),0)</f>
        <v>0</v>
      </c>
      <c r="K138" s="99">
        <f>IFERROR(GETPIVOTDATA("Value",TD_WEAP_RAW!$A$3,"Variable",K$2,"Escenario",K$1,"Branch","Demand Sites and Catchments\"&amp;$D138),0)</f>
        <v>0</v>
      </c>
      <c r="L138" s="99">
        <f>IFERROR(GETPIVOTDATA("Value",TD_WEAP_RAW!$A$3,"Variable",L$2,"Escenario",L$1,"Branch","Demand Sites and Catchments\"&amp;$D138),0)</f>
        <v>0</v>
      </c>
    </row>
    <row r="139" spans="4:12">
      <c r="D139" s="53"/>
      <c r="E139" s="42"/>
      <c r="F139" s="42"/>
      <c r="G139" s="51"/>
      <c r="H139" s="99">
        <f>IFERROR(GETPIVOTDATA("Value",TD_WEAP_RAW!$A$3,"Variable",H$2,"Escenario",H$1,"Branch","Demand Sites and Catchments\"&amp;$D139),0)</f>
        <v>0</v>
      </c>
      <c r="I139" s="99">
        <f>IFERROR(GETPIVOTDATA("Value",TD_WEAP_RAW!$A$3,"Variable",I$2,"Escenario",I$1,"Branch","Demand Sites and Catchments\"&amp;$D139),0)</f>
        <v>0</v>
      </c>
      <c r="J139" s="99">
        <f>IFERROR(GETPIVOTDATA("Value",TD_WEAP_RAW!$A$3,"Variable",J$2,"Escenario",J$1,"Branch","Demand Sites and Catchments\"&amp;$D139),0)</f>
        <v>0</v>
      </c>
      <c r="K139" s="99">
        <f>IFERROR(GETPIVOTDATA("Value",TD_WEAP_RAW!$A$3,"Variable",K$2,"Escenario",K$1,"Branch","Demand Sites and Catchments\"&amp;$D139),0)</f>
        <v>0</v>
      </c>
      <c r="L139" s="99">
        <f>IFERROR(GETPIVOTDATA("Value",TD_WEAP_RAW!$A$3,"Variable",L$2,"Escenario",L$1,"Branch","Demand Sites and Catchments\"&amp;$D139),0)</f>
        <v>0</v>
      </c>
    </row>
    <row r="140" spans="4:12">
      <c r="D140" s="53"/>
      <c r="E140" s="42"/>
      <c r="F140" s="42"/>
      <c r="G140" s="51"/>
      <c r="H140" s="99">
        <f>IFERROR(GETPIVOTDATA("Value",TD_WEAP_RAW!$A$3,"Variable",H$2,"Escenario",H$1,"Branch","Demand Sites and Catchments\"&amp;$D140),0)</f>
        <v>0</v>
      </c>
      <c r="I140" s="99">
        <f>IFERROR(GETPIVOTDATA("Value",TD_WEAP_RAW!$A$3,"Variable",I$2,"Escenario",I$1,"Branch","Demand Sites and Catchments\"&amp;$D140),0)</f>
        <v>0</v>
      </c>
      <c r="J140" s="99">
        <f>IFERROR(GETPIVOTDATA("Value",TD_WEAP_RAW!$A$3,"Variable",J$2,"Escenario",J$1,"Branch","Demand Sites and Catchments\"&amp;$D140),0)</f>
        <v>0</v>
      </c>
      <c r="K140" s="99">
        <f>IFERROR(GETPIVOTDATA("Value",TD_WEAP_RAW!$A$3,"Variable",K$2,"Escenario",K$1,"Branch","Demand Sites and Catchments\"&amp;$D140),0)</f>
        <v>0</v>
      </c>
      <c r="L140" s="99">
        <f>IFERROR(GETPIVOTDATA("Value",TD_WEAP_RAW!$A$3,"Variable",L$2,"Escenario",L$1,"Branch","Demand Sites and Catchments\"&amp;$D140),0)</f>
        <v>0</v>
      </c>
    </row>
    <row r="141" spans="4:12">
      <c r="D141" s="53"/>
      <c r="E141" s="42"/>
      <c r="F141" s="42"/>
      <c r="G141" s="51"/>
      <c r="H141" s="99">
        <f>IFERROR(GETPIVOTDATA("Value",TD_WEAP_RAW!$A$3,"Variable",H$2,"Escenario",H$1,"Branch","Demand Sites and Catchments\"&amp;$D141),0)</f>
        <v>0</v>
      </c>
      <c r="I141" s="99">
        <f>IFERROR(GETPIVOTDATA("Value",TD_WEAP_RAW!$A$3,"Variable",I$2,"Escenario",I$1,"Branch","Demand Sites and Catchments\"&amp;$D141),0)</f>
        <v>0</v>
      </c>
      <c r="J141" s="99">
        <f>IFERROR(GETPIVOTDATA("Value",TD_WEAP_RAW!$A$3,"Variable",J$2,"Escenario",J$1,"Branch","Demand Sites and Catchments\"&amp;$D141),0)</f>
        <v>0</v>
      </c>
      <c r="K141" s="99">
        <f>IFERROR(GETPIVOTDATA("Value",TD_WEAP_RAW!$A$3,"Variable",K$2,"Escenario",K$1,"Branch","Demand Sites and Catchments\"&amp;$D141),0)</f>
        <v>0</v>
      </c>
      <c r="L141" s="99">
        <f>IFERROR(GETPIVOTDATA("Value",TD_WEAP_RAW!$A$3,"Variable",L$2,"Escenario",L$1,"Branch","Demand Sites and Catchments\"&amp;$D141),0)</f>
        <v>0</v>
      </c>
    </row>
    <row r="142" spans="4:12">
      <c r="D142" s="53"/>
      <c r="E142" s="42"/>
      <c r="F142" s="42"/>
      <c r="G142" s="51"/>
      <c r="H142" s="99">
        <f>IFERROR(GETPIVOTDATA("Value",TD_WEAP_RAW!$A$3,"Variable",H$2,"Escenario",H$1,"Branch","Demand Sites and Catchments\"&amp;$D142),0)</f>
        <v>0</v>
      </c>
      <c r="I142" s="99">
        <f>IFERROR(GETPIVOTDATA("Value",TD_WEAP_RAW!$A$3,"Variable",I$2,"Escenario",I$1,"Branch","Demand Sites and Catchments\"&amp;$D142),0)</f>
        <v>0</v>
      </c>
      <c r="J142" s="99">
        <f>IFERROR(GETPIVOTDATA("Value",TD_WEAP_RAW!$A$3,"Variable",J$2,"Escenario",J$1,"Branch","Demand Sites and Catchments\"&amp;$D142),0)</f>
        <v>0</v>
      </c>
      <c r="K142" s="99">
        <f>IFERROR(GETPIVOTDATA("Value",TD_WEAP_RAW!$A$3,"Variable",K$2,"Escenario",K$1,"Branch","Demand Sites and Catchments\"&amp;$D142),0)</f>
        <v>0</v>
      </c>
      <c r="L142" s="99">
        <f>IFERROR(GETPIVOTDATA("Value",TD_WEAP_RAW!$A$3,"Variable",L$2,"Escenario",L$1,"Branch","Demand Sites and Catchments\"&amp;$D142),0)</f>
        <v>0</v>
      </c>
    </row>
    <row r="143" spans="4:12">
      <c r="D143" s="53"/>
      <c r="E143" s="42"/>
      <c r="F143" s="42"/>
      <c r="G143" s="51"/>
      <c r="H143" s="99">
        <f>IFERROR(GETPIVOTDATA("Value",TD_WEAP_RAW!$A$3,"Variable",H$2,"Escenario",H$1,"Branch","Demand Sites and Catchments\"&amp;$D143),0)</f>
        <v>0</v>
      </c>
      <c r="I143" s="99">
        <f>IFERROR(GETPIVOTDATA("Value",TD_WEAP_RAW!$A$3,"Variable",I$2,"Escenario",I$1,"Branch","Demand Sites and Catchments\"&amp;$D143),0)</f>
        <v>0</v>
      </c>
      <c r="J143" s="99">
        <f>IFERROR(GETPIVOTDATA("Value",TD_WEAP_RAW!$A$3,"Variable",J$2,"Escenario",J$1,"Branch","Demand Sites and Catchments\"&amp;$D143),0)</f>
        <v>0</v>
      </c>
      <c r="K143" s="99">
        <f>IFERROR(GETPIVOTDATA("Value",TD_WEAP_RAW!$A$3,"Variable",K$2,"Escenario",K$1,"Branch","Demand Sites and Catchments\"&amp;$D143),0)</f>
        <v>0</v>
      </c>
      <c r="L143" s="99">
        <f>IFERROR(GETPIVOTDATA("Value",TD_WEAP_RAW!$A$3,"Variable",L$2,"Escenario",L$1,"Branch","Demand Sites and Catchments\"&amp;$D143),0)</f>
        <v>0</v>
      </c>
    </row>
    <row r="144" spans="4:12">
      <c r="D144" s="53"/>
      <c r="E144" s="42"/>
      <c r="F144" s="42"/>
      <c r="G144" s="51"/>
      <c r="H144" s="99">
        <f>IFERROR(GETPIVOTDATA("Value",TD_WEAP_RAW!$A$3,"Variable",H$2,"Escenario",H$1,"Branch","Demand Sites and Catchments\"&amp;$D144),0)</f>
        <v>0</v>
      </c>
      <c r="I144" s="99">
        <f>IFERROR(GETPIVOTDATA("Value",TD_WEAP_RAW!$A$3,"Variable",I$2,"Escenario",I$1,"Branch","Demand Sites and Catchments\"&amp;$D144),0)</f>
        <v>0</v>
      </c>
      <c r="J144" s="99">
        <f>IFERROR(GETPIVOTDATA("Value",TD_WEAP_RAW!$A$3,"Variable",J$2,"Escenario",J$1,"Branch","Demand Sites and Catchments\"&amp;$D144),0)</f>
        <v>0</v>
      </c>
      <c r="K144" s="99">
        <f>IFERROR(GETPIVOTDATA("Value",TD_WEAP_RAW!$A$3,"Variable",K$2,"Escenario",K$1,"Branch","Demand Sites and Catchments\"&amp;$D144),0)</f>
        <v>0</v>
      </c>
      <c r="L144" s="99">
        <f>IFERROR(GETPIVOTDATA("Value",TD_WEAP_RAW!$A$3,"Variable",L$2,"Escenario",L$1,"Branch","Demand Sites and Catchments\"&amp;$D144),0)</f>
        <v>0</v>
      </c>
    </row>
    <row r="145" spans="4:12">
      <c r="D145" s="53"/>
      <c r="E145" s="42"/>
      <c r="F145" s="42"/>
      <c r="G145" s="51"/>
      <c r="H145" s="99">
        <f>IFERROR(GETPIVOTDATA("Value",TD_WEAP_RAW!$A$3,"Variable",H$2,"Escenario",H$1,"Branch","Demand Sites and Catchments\"&amp;$D145),0)</f>
        <v>0</v>
      </c>
      <c r="I145" s="99">
        <f>IFERROR(GETPIVOTDATA("Value",TD_WEAP_RAW!$A$3,"Variable",I$2,"Escenario",I$1,"Branch","Demand Sites and Catchments\"&amp;$D145),0)</f>
        <v>0</v>
      </c>
      <c r="J145" s="99">
        <f>IFERROR(GETPIVOTDATA("Value",TD_WEAP_RAW!$A$3,"Variable",J$2,"Escenario",J$1,"Branch","Demand Sites and Catchments\"&amp;$D145),0)</f>
        <v>0</v>
      </c>
      <c r="K145" s="99">
        <f>IFERROR(GETPIVOTDATA("Value",TD_WEAP_RAW!$A$3,"Variable",K$2,"Escenario",K$1,"Branch","Demand Sites and Catchments\"&amp;$D145),0)</f>
        <v>0</v>
      </c>
      <c r="L145" s="99">
        <f>IFERROR(GETPIVOTDATA("Value",TD_WEAP_RAW!$A$3,"Variable",L$2,"Escenario",L$1,"Branch","Demand Sites and Catchments\"&amp;$D145),0)</f>
        <v>0</v>
      </c>
    </row>
    <row r="146" spans="4:12">
      <c r="D146" s="53"/>
      <c r="E146" s="42"/>
      <c r="F146" s="42"/>
      <c r="G146" s="51"/>
      <c r="H146" s="99">
        <f>IFERROR(GETPIVOTDATA("Value",TD_WEAP_RAW!$A$3,"Variable",H$2,"Escenario",H$1,"Branch","Demand Sites and Catchments\"&amp;$D146),0)</f>
        <v>0</v>
      </c>
      <c r="I146" s="99">
        <f>IFERROR(GETPIVOTDATA("Value",TD_WEAP_RAW!$A$3,"Variable",I$2,"Escenario",I$1,"Branch","Demand Sites and Catchments\"&amp;$D146),0)</f>
        <v>0</v>
      </c>
      <c r="J146" s="99">
        <f>IFERROR(GETPIVOTDATA("Value",TD_WEAP_RAW!$A$3,"Variable",J$2,"Escenario",J$1,"Branch","Demand Sites and Catchments\"&amp;$D146),0)</f>
        <v>0</v>
      </c>
      <c r="K146" s="99">
        <f>IFERROR(GETPIVOTDATA("Value",TD_WEAP_RAW!$A$3,"Variable",K$2,"Escenario",K$1,"Branch","Demand Sites and Catchments\"&amp;$D146),0)</f>
        <v>0</v>
      </c>
      <c r="L146" s="99">
        <f>IFERROR(GETPIVOTDATA("Value",TD_WEAP_RAW!$A$3,"Variable",L$2,"Escenario",L$1,"Branch","Demand Sites and Catchments\"&amp;$D146),0)</f>
        <v>0</v>
      </c>
    </row>
    <row r="147" spans="4:12">
      <c r="D147" s="53"/>
      <c r="E147" s="42"/>
      <c r="F147" s="42"/>
      <c r="G147" s="51"/>
      <c r="H147" s="99">
        <f>IFERROR(GETPIVOTDATA("Value",TD_WEAP_RAW!$A$3,"Variable",H$2,"Escenario",H$1,"Branch","Demand Sites and Catchments\"&amp;$D147),0)</f>
        <v>0</v>
      </c>
      <c r="I147" s="99">
        <f>IFERROR(GETPIVOTDATA("Value",TD_WEAP_RAW!$A$3,"Variable",I$2,"Escenario",I$1,"Branch","Demand Sites and Catchments\"&amp;$D147),0)</f>
        <v>0</v>
      </c>
      <c r="J147" s="99">
        <f>IFERROR(GETPIVOTDATA("Value",TD_WEAP_RAW!$A$3,"Variable",J$2,"Escenario",J$1,"Branch","Demand Sites and Catchments\"&amp;$D147),0)</f>
        <v>0</v>
      </c>
      <c r="K147" s="99">
        <f>IFERROR(GETPIVOTDATA("Value",TD_WEAP_RAW!$A$3,"Variable",K$2,"Escenario",K$1,"Branch","Demand Sites and Catchments\"&amp;$D147),0)</f>
        <v>0</v>
      </c>
      <c r="L147" s="99">
        <f>IFERROR(GETPIVOTDATA("Value",TD_WEAP_RAW!$A$3,"Variable",L$2,"Escenario",L$1,"Branch","Demand Sites and Catchments\"&amp;$D147),0)</f>
        <v>0</v>
      </c>
    </row>
    <row r="148" spans="4:12">
      <c r="D148" s="53"/>
      <c r="E148" s="42"/>
      <c r="F148" s="42"/>
      <c r="G148" s="51"/>
      <c r="H148" s="99">
        <f>IFERROR(GETPIVOTDATA("Value",TD_WEAP_RAW!$A$3,"Variable",H$2,"Escenario",H$1,"Branch","Demand Sites and Catchments\"&amp;$D148),0)</f>
        <v>0</v>
      </c>
      <c r="I148" s="99">
        <f>IFERROR(GETPIVOTDATA("Value",TD_WEAP_RAW!$A$3,"Variable",I$2,"Escenario",I$1,"Branch","Demand Sites and Catchments\"&amp;$D148),0)</f>
        <v>0</v>
      </c>
      <c r="J148" s="99">
        <f>IFERROR(GETPIVOTDATA("Value",TD_WEAP_RAW!$A$3,"Variable",J$2,"Escenario",J$1,"Branch","Demand Sites and Catchments\"&amp;$D148),0)</f>
        <v>0</v>
      </c>
      <c r="K148" s="99">
        <f>IFERROR(GETPIVOTDATA("Value",TD_WEAP_RAW!$A$3,"Variable",K$2,"Escenario",K$1,"Branch","Demand Sites and Catchments\"&amp;$D148),0)</f>
        <v>0</v>
      </c>
      <c r="L148" s="99">
        <f>IFERROR(GETPIVOTDATA("Value",TD_WEAP_RAW!$A$3,"Variable",L$2,"Escenario",L$1,"Branch","Demand Sites and Catchments\"&amp;$D148),0)</f>
        <v>0</v>
      </c>
    </row>
    <row r="149" spans="4:12">
      <c r="D149" s="53"/>
      <c r="E149" s="42"/>
      <c r="F149" s="42"/>
      <c r="G149" s="51"/>
      <c r="H149" s="99">
        <f>IFERROR(GETPIVOTDATA("Value",TD_WEAP_RAW!$A$3,"Variable",H$2,"Escenario",H$1,"Branch","Demand Sites and Catchments\"&amp;$D149),0)</f>
        <v>0</v>
      </c>
      <c r="I149" s="99">
        <f>IFERROR(GETPIVOTDATA("Value",TD_WEAP_RAW!$A$3,"Variable",I$2,"Escenario",I$1,"Branch","Demand Sites and Catchments\"&amp;$D149),0)</f>
        <v>0</v>
      </c>
      <c r="J149" s="99">
        <f>IFERROR(GETPIVOTDATA("Value",TD_WEAP_RAW!$A$3,"Variable",J$2,"Escenario",J$1,"Branch","Demand Sites and Catchments\"&amp;$D149),0)</f>
        <v>0</v>
      </c>
      <c r="K149" s="99">
        <f>IFERROR(GETPIVOTDATA("Value",TD_WEAP_RAW!$A$3,"Variable",K$2,"Escenario",K$1,"Branch","Demand Sites and Catchments\"&amp;$D149),0)</f>
        <v>0</v>
      </c>
      <c r="L149" s="99">
        <f>IFERROR(GETPIVOTDATA("Value",TD_WEAP_RAW!$A$3,"Variable",L$2,"Escenario",L$1,"Branch","Demand Sites and Catchments\"&amp;$D149),0)</f>
        <v>0</v>
      </c>
    </row>
    <row r="150" spans="4:12">
      <c r="D150" s="53"/>
      <c r="E150" s="42"/>
      <c r="F150" s="42"/>
      <c r="G150" s="51"/>
      <c r="H150" s="99">
        <f>IFERROR(GETPIVOTDATA("Value",TD_WEAP_RAW!$A$3,"Variable",H$2,"Escenario",H$1,"Branch","Demand Sites and Catchments\"&amp;$D150),0)</f>
        <v>0</v>
      </c>
      <c r="I150" s="99">
        <f>IFERROR(GETPIVOTDATA("Value",TD_WEAP_RAW!$A$3,"Variable",I$2,"Escenario",I$1,"Branch","Demand Sites and Catchments\"&amp;$D150),0)</f>
        <v>0</v>
      </c>
      <c r="J150" s="99">
        <f>IFERROR(GETPIVOTDATA("Value",TD_WEAP_RAW!$A$3,"Variable",J$2,"Escenario",J$1,"Branch","Demand Sites and Catchments\"&amp;$D150),0)</f>
        <v>0</v>
      </c>
      <c r="K150" s="99">
        <f>IFERROR(GETPIVOTDATA("Value",TD_WEAP_RAW!$A$3,"Variable",K$2,"Escenario",K$1,"Branch","Demand Sites and Catchments\"&amp;$D150),0)</f>
        <v>0</v>
      </c>
      <c r="L150" s="99">
        <f>IFERROR(GETPIVOTDATA("Value",TD_WEAP_RAW!$A$3,"Variable",L$2,"Escenario",L$1,"Branch","Demand Sites and Catchments\"&amp;$D150),0)</f>
        <v>0</v>
      </c>
    </row>
    <row r="151" spans="4:12">
      <c r="D151" s="53"/>
      <c r="E151" s="42"/>
      <c r="F151" s="42"/>
      <c r="G151" s="51"/>
      <c r="H151" s="99">
        <f>IFERROR(GETPIVOTDATA("Value",TD_WEAP_RAW!$A$3,"Variable",H$2,"Escenario",H$1,"Branch","Demand Sites and Catchments\"&amp;$D151),0)</f>
        <v>0</v>
      </c>
      <c r="I151" s="99">
        <f>IFERROR(GETPIVOTDATA("Value",TD_WEAP_RAW!$A$3,"Variable",I$2,"Escenario",I$1,"Branch","Demand Sites and Catchments\"&amp;$D151),0)</f>
        <v>0</v>
      </c>
      <c r="J151" s="99">
        <f>IFERROR(GETPIVOTDATA("Value",TD_WEAP_RAW!$A$3,"Variable",J$2,"Escenario",J$1,"Branch","Demand Sites and Catchments\"&amp;$D151),0)</f>
        <v>0</v>
      </c>
      <c r="K151" s="99">
        <f>IFERROR(GETPIVOTDATA("Value",TD_WEAP_RAW!$A$3,"Variable",K$2,"Escenario",K$1,"Branch","Demand Sites and Catchments\"&amp;$D151),0)</f>
        <v>0</v>
      </c>
      <c r="L151" s="99">
        <f>IFERROR(GETPIVOTDATA("Value",TD_WEAP_RAW!$A$3,"Variable",L$2,"Escenario",L$1,"Branch","Demand Sites and Catchments\"&amp;$D151),0)</f>
        <v>0</v>
      </c>
    </row>
    <row r="152" spans="4:12">
      <c r="D152" s="53"/>
      <c r="E152" s="42"/>
      <c r="F152" s="42"/>
      <c r="G152" s="51"/>
      <c r="H152" s="99">
        <f>IFERROR(GETPIVOTDATA("Value",TD_WEAP_RAW!$A$3,"Variable",H$2,"Escenario",H$1,"Branch","Demand Sites and Catchments\"&amp;$D152),0)</f>
        <v>0</v>
      </c>
      <c r="I152" s="99">
        <f>IFERROR(GETPIVOTDATA("Value",TD_WEAP_RAW!$A$3,"Variable",I$2,"Escenario",I$1,"Branch","Demand Sites and Catchments\"&amp;$D152),0)</f>
        <v>0</v>
      </c>
      <c r="J152" s="99">
        <f>IFERROR(GETPIVOTDATA("Value",TD_WEAP_RAW!$A$3,"Variable",J$2,"Escenario",J$1,"Branch","Demand Sites and Catchments\"&amp;$D152),0)</f>
        <v>0</v>
      </c>
      <c r="K152" s="99">
        <f>IFERROR(GETPIVOTDATA("Value",TD_WEAP_RAW!$A$3,"Variable",K$2,"Escenario",K$1,"Branch","Demand Sites and Catchments\"&amp;$D152),0)</f>
        <v>0</v>
      </c>
      <c r="L152" s="99">
        <f>IFERROR(GETPIVOTDATA("Value",TD_WEAP_RAW!$A$3,"Variable",L$2,"Escenario",L$1,"Branch","Demand Sites and Catchments\"&amp;$D152),0)</f>
        <v>0</v>
      </c>
    </row>
    <row r="153" spans="4:12">
      <c r="D153" s="53"/>
      <c r="E153" s="42"/>
      <c r="F153" s="42"/>
      <c r="G153" s="51"/>
      <c r="H153" s="99">
        <f>IFERROR(GETPIVOTDATA("Value",TD_WEAP_RAW!$A$3,"Variable",H$2,"Escenario",H$1,"Branch","Demand Sites and Catchments\"&amp;$D153),0)</f>
        <v>0</v>
      </c>
      <c r="I153" s="99">
        <f>IFERROR(GETPIVOTDATA("Value",TD_WEAP_RAW!$A$3,"Variable",I$2,"Escenario",I$1,"Branch","Demand Sites and Catchments\"&amp;$D153),0)</f>
        <v>0</v>
      </c>
      <c r="J153" s="99">
        <f>IFERROR(GETPIVOTDATA("Value",TD_WEAP_RAW!$A$3,"Variable",J$2,"Escenario",J$1,"Branch","Demand Sites and Catchments\"&amp;$D153),0)</f>
        <v>0</v>
      </c>
      <c r="K153" s="99">
        <f>IFERROR(GETPIVOTDATA("Value",TD_WEAP_RAW!$A$3,"Variable",K$2,"Escenario",K$1,"Branch","Demand Sites and Catchments\"&amp;$D153),0)</f>
        <v>0</v>
      </c>
      <c r="L153" s="99">
        <f>IFERROR(GETPIVOTDATA("Value",TD_WEAP_RAW!$A$3,"Variable",L$2,"Escenario",L$1,"Branch","Demand Sites and Catchments\"&amp;$D153),0)</f>
        <v>0</v>
      </c>
    </row>
    <row r="154" spans="4:12">
      <c r="D154" s="53"/>
      <c r="E154" s="42"/>
      <c r="F154" s="42"/>
      <c r="G154" s="51"/>
      <c r="H154" s="99">
        <f>IFERROR(GETPIVOTDATA("Value",TD_WEAP_RAW!$A$3,"Variable",H$2,"Escenario",H$1,"Branch","Demand Sites and Catchments\"&amp;$D154),0)</f>
        <v>0</v>
      </c>
      <c r="I154" s="99">
        <f>IFERROR(GETPIVOTDATA("Value",TD_WEAP_RAW!$A$3,"Variable",I$2,"Escenario",I$1,"Branch","Demand Sites and Catchments\"&amp;$D154),0)</f>
        <v>0</v>
      </c>
      <c r="J154" s="99">
        <f>IFERROR(GETPIVOTDATA("Value",TD_WEAP_RAW!$A$3,"Variable",J$2,"Escenario",J$1,"Branch","Demand Sites and Catchments\"&amp;$D154),0)</f>
        <v>0</v>
      </c>
      <c r="K154" s="99">
        <f>IFERROR(GETPIVOTDATA("Value",TD_WEAP_RAW!$A$3,"Variable",K$2,"Escenario",K$1,"Branch","Demand Sites and Catchments\"&amp;$D154),0)</f>
        <v>0</v>
      </c>
      <c r="L154" s="99">
        <f>IFERROR(GETPIVOTDATA("Value",TD_WEAP_RAW!$A$3,"Variable",L$2,"Escenario",L$1,"Branch","Demand Sites and Catchments\"&amp;$D154),0)</f>
        <v>0</v>
      </c>
    </row>
    <row r="155" spans="4:12">
      <c r="D155" s="53"/>
      <c r="E155" s="42"/>
      <c r="F155" s="42"/>
      <c r="G155" s="51"/>
      <c r="H155" s="99">
        <f>IFERROR(GETPIVOTDATA("Value",TD_WEAP_RAW!$A$3,"Variable",H$2,"Escenario",H$1,"Branch","Demand Sites and Catchments\"&amp;$D155),0)</f>
        <v>0</v>
      </c>
      <c r="I155" s="99">
        <f>IFERROR(GETPIVOTDATA("Value",TD_WEAP_RAW!$A$3,"Variable",I$2,"Escenario",I$1,"Branch","Demand Sites and Catchments\"&amp;$D155),0)</f>
        <v>0</v>
      </c>
      <c r="J155" s="99">
        <f>IFERROR(GETPIVOTDATA("Value",TD_WEAP_RAW!$A$3,"Variable",J$2,"Escenario",J$1,"Branch","Demand Sites and Catchments\"&amp;$D155),0)</f>
        <v>0</v>
      </c>
      <c r="K155" s="99">
        <f>IFERROR(GETPIVOTDATA("Value",TD_WEAP_RAW!$A$3,"Variable",K$2,"Escenario",K$1,"Branch","Demand Sites and Catchments\"&amp;$D155),0)</f>
        <v>0</v>
      </c>
      <c r="L155" s="99">
        <f>IFERROR(GETPIVOTDATA("Value",TD_WEAP_RAW!$A$3,"Variable",L$2,"Escenario",L$1,"Branch","Demand Sites and Catchments\"&amp;$D155),0)</f>
        <v>0</v>
      </c>
    </row>
    <row r="156" spans="4:12">
      <c r="D156" s="53"/>
      <c r="E156" s="42"/>
      <c r="F156" s="42"/>
      <c r="G156" s="51"/>
      <c r="H156" s="99">
        <f>IFERROR(GETPIVOTDATA("Value",TD_WEAP_RAW!$A$3,"Variable",H$2,"Escenario",H$1,"Branch","Demand Sites and Catchments\"&amp;$D156),0)</f>
        <v>0</v>
      </c>
      <c r="I156" s="99">
        <f>IFERROR(GETPIVOTDATA("Value",TD_WEAP_RAW!$A$3,"Variable",I$2,"Escenario",I$1,"Branch","Demand Sites and Catchments\"&amp;$D156),0)</f>
        <v>0</v>
      </c>
      <c r="J156" s="99">
        <f>IFERROR(GETPIVOTDATA("Value",TD_WEAP_RAW!$A$3,"Variable",J$2,"Escenario",J$1,"Branch","Demand Sites and Catchments\"&amp;$D156),0)</f>
        <v>0</v>
      </c>
      <c r="K156" s="99">
        <f>IFERROR(GETPIVOTDATA("Value",TD_WEAP_RAW!$A$3,"Variable",K$2,"Escenario",K$1,"Branch","Demand Sites and Catchments\"&amp;$D156),0)</f>
        <v>0</v>
      </c>
      <c r="L156" s="99">
        <f>IFERROR(GETPIVOTDATA("Value",TD_WEAP_RAW!$A$3,"Variable",L$2,"Escenario",L$1,"Branch","Demand Sites and Catchments\"&amp;$D156),0)</f>
        <v>0</v>
      </c>
    </row>
    <row r="157" spans="4:12">
      <c r="D157" s="53"/>
      <c r="E157" s="42"/>
      <c r="F157" s="42"/>
      <c r="G157" s="51"/>
      <c r="H157" s="99">
        <f>IFERROR(GETPIVOTDATA("Value",TD_WEAP_RAW!$A$3,"Variable",H$2,"Escenario",H$1,"Branch","Demand Sites and Catchments\"&amp;$D157),0)</f>
        <v>0</v>
      </c>
      <c r="I157" s="99">
        <f>IFERROR(GETPIVOTDATA("Value",TD_WEAP_RAW!$A$3,"Variable",I$2,"Escenario",I$1,"Branch","Demand Sites and Catchments\"&amp;$D157),0)</f>
        <v>0</v>
      </c>
      <c r="J157" s="99">
        <f>IFERROR(GETPIVOTDATA("Value",TD_WEAP_RAW!$A$3,"Variable",J$2,"Escenario",J$1,"Branch","Demand Sites and Catchments\"&amp;$D157),0)</f>
        <v>0</v>
      </c>
      <c r="K157" s="99">
        <f>IFERROR(GETPIVOTDATA("Value",TD_WEAP_RAW!$A$3,"Variable",K$2,"Escenario",K$1,"Branch","Demand Sites and Catchments\"&amp;$D157),0)</f>
        <v>0</v>
      </c>
      <c r="L157" s="99">
        <f>IFERROR(GETPIVOTDATA("Value",TD_WEAP_RAW!$A$3,"Variable",L$2,"Escenario",L$1,"Branch","Demand Sites and Catchments\"&amp;$D157),0)</f>
        <v>0</v>
      </c>
    </row>
    <row r="158" spans="4:12">
      <c r="D158" s="53"/>
      <c r="E158" s="42"/>
      <c r="F158" s="42"/>
      <c r="G158" s="51"/>
      <c r="H158" s="99">
        <f>IFERROR(GETPIVOTDATA("Value",TD_WEAP_RAW!$A$3,"Variable",H$2,"Escenario",H$1,"Branch","Demand Sites and Catchments\"&amp;$D158),0)</f>
        <v>0</v>
      </c>
      <c r="I158" s="99">
        <f>IFERROR(GETPIVOTDATA("Value",TD_WEAP_RAW!$A$3,"Variable",I$2,"Escenario",I$1,"Branch","Demand Sites and Catchments\"&amp;$D158),0)</f>
        <v>0</v>
      </c>
      <c r="J158" s="99">
        <f>IFERROR(GETPIVOTDATA("Value",TD_WEAP_RAW!$A$3,"Variable",J$2,"Escenario",J$1,"Branch","Demand Sites and Catchments\"&amp;$D158),0)</f>
        <v>0</v>
      </c>
      <c r="K158" s="99">
        <f>IFERROR(GETPIVOTDATA("Value",TD_WEAP_RAW!$A$3,"Variable",K$2,"Escenario",K$1,"Branch","Demand Sites and Catchments\"&amp;$D158),0)</f>
        <v>0</v>
      </c>
      <c r="L158" s="99">
        <f>IFERROR(GETPIVOTDATA("Value",TD_WEAP_RAW!$A$3,"Variable",L$2,"Escenario",L$1,"Branch","Demand Sites and Catchments\"&amp;$D158),0)</f>
        <v>0</v>
      </c>
    </row>
    <row r="159" spans="4:12">
      <c r="D159" s="53"/>
      <c r="E159" s="42"/>
      <c r="F159" s="42"/>
      <c r="G159" s="51"/>
      <c r="H159" s="99">
        <f>IFERROR(GETPIVOTDATA("Value",TD_WEAP_RAW!$A$3,"Variable",H$2,"Escenario",H$1,"Branch","Demand Sites and Catchments\"&amp;$D159),0)</f>
        <v>0</v>
      </c>
      <c r="I159" s="99">
        <f>IFERROR(GETPIVOTDATA("Value",TD_WEAP_RAW!$A$3,"Variable",I$2,"Escenario",I$1,"Branch","Demand Sites and Catchments\"&amp;$D159),0)</f>
        <v>0</v>
      </c>
      <c r="J159" s="99">
        <f>IFERROR(GETPIVOTDATA("Value",TD_WEAP_RAW!$A$3,"Variable",J$2,"Escenario",J$1,"Branch","Demand Sites and Catchments\"&amp;$D159),0)</f>
        <v>0</v>
      </c>
      <c r="K159" s="99">
        <f>IFERROR(GETPIVOTDATA("Value",TD_WEAP_RAW!$A$3,"Variable",K$2,"Escenario",K$1,"Branch","Demand Sites and Catchments\"&amp;$D159),0)</f>
        <v>0</v>
      </c>
      <c r="L159" s="99">
        <f>IFERROR(GETPIVOTDATA("Value",TD_WEAP_RAW!$A$3,"Variable",L$2,"Escenario",L$1,"Branch","Demand Sites and Catchments\"&amp;$D159),0)</f>
        <v>0</v>
      </c>
    </row>
    <row r="160" spans="4:12">
      <c r="D160" s="53"/>
      <c r="E160" s="42"/>
      <c r="F160" s="42"/>
      <c r="G160" s="51"/>
      <c r="H160" s="99">
        <f>IFERROR(GETPIVOTDATA("Value",TD_WEAP_RAW!$A$3,"Variable",H$2,"Escenario",H$1,"Branch","Demand Sites and Catchments\"&amp;$D160),0)</f>
        <v>0</v>
      </c>
      <c r="I160" s="99">
        <f>IFERROR(GETPIVOTDATA("Value",TD_WEAP_RAW!$A$3,"Variable",I$2,"Escenario",I$1,"Branch","Demand Sites and Catchments\"&amp;$D160),0)</f>
        <v>0</v>
      </c>
      <c r="J160" s="99">
        <f>IFERROR(GETPIVOTDATA("Value",TD_WEAP_RAW!$A$3,"Variable",J$2,"Escenario",J$1,"Branch","Demand Sites and Catchments\"&amp;$D160),0)</f>
        <v>0</v>
      </c>
      <c r="K160" s="99">
        <f>IFERROR(GETPIVOTDATA("Value",TD_WEAP_RAW!$A$3,"Variable",K$2,"Escenario",K$1,"Branch","Demand Sites and Catchments\"&amp;$D160),0)</f>
        <v>0</v>
      </c>
      <c r="L160" s="99">
        <f>IFERROR(GETPIVOTDATA("Value",TD_WEAP_RAW!$A$3,"Variable",L$2,"Escenario",L$1,"Branch","Demand Sites and Catchments\"&amp;$D160),0)</f>
        <v>0</v>
      </c>
    </row>
    <row r="161" spans="4:12">
      <c r="D161" s="53"/>
      <c r="E161" s="42"/>
      <c r="F161" s="42"/>
      <c r="G161" s="51"/>
      <c r="H161" s="99">
        <f>IFERROR(GETPIVOTDATA("Value",TD_WEAP_RAW!$A$3,"Variable",H$2,"Escenario",H$1,"Branch","Demand Sites and Catchments\"&amp;$D161),0)</f>
        <v>0</v>
      </c>
      <c r="I161" s="99">
        <f>IFERROR(GETPIVOTDATA("Value",TD_WEAP_RAW!$A$3,"Variable",I$2,"Escenario",I$1,"Branch","Demand Sites and Catchments\"&amp;$D161),0)</f>
        <v>0</v>
      </c>
      <c r="J161" s="99">
        <f>IFERROR(GETPIVOTDATA("Value",TD_WEAP_RAW!$A$3,"Variable",J$2,"Escenario",J$1,"Branch","Demand Sites and Catchments\"&amp;$D161),0)</f>
        <v>0</v>
      </c>
      <c r="K161" s="99">
        <f>IFERROR(GETPIVOTDATA("Value",TD_WEAP_RAW!$A$3,"Variable",K$2,"Escenario",K$1,"Branch","Demand Sites and Catchments\"&amp;$D161),0)</f>
        <v>0</v>
      </c>
      <c r="L161" s="99">
        <f>IFERROR(GETPIVOTDATA("Value",TD_WEAP_RAW!$A$3,"Variable",L$2,"Escenario",L$1,"Branch","Demand Sites and Catchments\"&amp;$D161),0)</f>
        <v>0</v>
      </c>
    </row>
    <row r="162" spans="4:12">
      <c r="D162" s="53"/>
      <c r="E162" s="42"/>
      <c r="F162" s="42"/>
      <c r="G162" s="51"/>
      <c r="H162" s="99">
        <f>IFERROR(GETPIVOTDATA("Value",TD_WEAP_RAW!$A$3,"Variable",H$2,"Escenario",H$1,"Branch","Demand Sites and Catchments\"&amp;$D162),0)</f>
        <v>0</v>
      </c>
      <c r="I162" s="99">
        <f>IFERROR(GETPIVOTDATA("Value",TD_WEAP_RAW!$A$3,"Variable",I$2,"Escenario",I$1,"Branch","Demand Sites and Catchments\"&amp;$D162),0)</f>
        <v>0</v>
      </c>
      <c r="J162" s="99">
        <f>IFERROR(GETPIVOTDATA("Value",TD_WEAP_RAW!$A$3,"Variable",J$2,"Escenario",J$1,"Branch","Demand Sites and Catchments\"&amp;$D162),0)</f>
        <v>0</v>
      </c>
      <c r="K162" s="99">
        <f>IFERROR(GETPIVOTDATA("Value",TD_WEAP_RAW!$A$3,"Variable",K$2,"Escenario",K$1,"Branch","Demand Sites and Catchments\"&amp;$D162),0)</f>
        <v>0</v>
      </c>
      <c r="L162" s="99">
        <f>IFERROR(GETPIVOTDATA("Value",TD_WEAP_RAW!$A$3,"Variable",L$2,"Escenario",L$1,"Branch","Demand Sites and Catchments\"&amp;$D162),0)</f>
        <v>0</v>
      </c>
    </row>
    <row r="163" spans="4:12">
      <c r="D163" s="53"/>
      <c r="E163" s="42"/>
      <c r="F163" s="42"/>
      <c r="G163" s="51"/>
      <c r="H163" s="99">
        <f>IFERROR(GETPIVOTDATA("Value",TD_WEAP_RAW!$A$3,"Variable",H$2,"Escenario",H$1,"Branch","Demand Sites and Catchments\"&amp;$D163),0)</f>
        <v>0</v>
      </c>
      <c r="I163" s="99">
        <f>IFERROR(GETPIVOTDATA("Value",TD_WEAP_RAW!$A$3,"Variable",I$2,"Escenario",I$1,"Branch","Demand Sites and Catchments\"&amp;$D163),0)</f>
        <v>0</v>
      </c>
      <c r="J163" s="99">
        <f>IFERROR(GETPIVOTDATA("Value",TD_WEAP_RAW!$A$3,"Variable",J$2,"Escenario",J$1,"Branch","Demand Sites and Catchments\"&amp;$D163),0)</f>
        <v>0</v>
      </c>
      <c r="K163" s="99">
        <f>IFERROR(GETPIVOTDATA("Value",TD_WEAP_RAW!$A$3,"Variable",K$2,"Escenario",K$1,"Branch","Demand Sites and Catchments\"&amp;$D163),0)</f>
        <v>0</v>
      </c>
      <c r="L163" s="99">
        <f>IFERROR(GETPIVOTDATA("Value",TD_WEAP_RAW!$A$3,"Variable",L$2,"Escenario",L$1,"Branch","Demand Sites and Catchments\"&amp;$D163),0)</f>
        <v>0</v>
      </c>
    </row>
    <row r="164" spans="4:12">
      <c r="D164" s="53"/>
      <c r="E164" s="42"/>
      <c r="F164" s="42"/>
      <c r="G164" s="51"/>
      <c r="H164" s="99">
        <f>IFERROR(GETPIVOTDATA("Value",TD_WEAP_RAW!$A$3,"Variable",H$2,"Escenario",H$1,"Branch","Demand Sites and Catchments\"&amp;$D164),0)</f>
        <v>0</v>
      </c>
      <c r="I164" s="99">
        <f>IFERROR(GETPIVOTDATA("Value",TD_WEAP_RAW!$A$3,"Variable",I$2,"Escenario",I$1,"Branch","Demand Sites and Catchments\"&amp;$D164),0)</f>
        <v>0</v>
      </c>
      <c r="J164" s="99">
        <f>IFERROR(GETPIVOTDATA("Value",TD_WEAP_RAW!$A$3,"Variable",J$2,"Escenario",J$1,"Branch","Demand Sites and Catchments\"&amp;$D164),0)</f>
        <v>0</v>
      </c>
      <c r="K164" s="99">
        <f>IFERROR(GETPIVOTDATA("Value",TD_WEAP_RAW!$A$3,"Variable",K$2,"Escenario",K$1,"Branch","Demand Sites and Catchments\"&amp;$D164),0)</f>
        <v>0</v>
      </c>
      <c r="L164" s="99">
        <f>IFERROR(GETPIVOTDATA("Value",TD_WEAP_RAW!$A$3,"Variable",L$2,"Escenario",L$1,"Branch","Demand Sites and Catchments\"&amp;$D164),0)</f>
        <v>0</v>
      </c>
    </row>
    <row r="165" spans="4:12">
      <c r="D165" s="53"/>
      <c r="E165" s="42"/>
      <c r="F165" s="42"/>
      <c r="G165" s="51"/>
      <c r="H165" s="99">
        <f>IFERROR(GETPIVOTDATA("Value",TD_WEAP_RAW!$A$3,"Variable",H$2,"Escenario",H$1,"Branch","Demand Sites and Catchments\"&amp;$D165),0)</f>
        <v>0</v>
      </c>
      <c r="I165" s="99">
        <f>IFERROR(GETPIVOTDATA("Value",TD_WEAP_RAW!$A$3,"Variable",I$2,"Escenario",I$1,"Branch","Demand Sites and Catchments\"&amp;$D165),0)</f>
        <v>0</v>
      </c>
      <c r="J165" s="99">
        <f>IFERROR(GETPIVOTDATA("Value",TD_WEAP_RAW!$A$3,"Variable",J$2,"Escenario",J$1,"Branch","Demand Sites and Catchments\"&amp;$D165),0)</f>
        <v>0</v>
      </c>
      <c r="K165" s="99">
        <f>IFERROR(GETPIVOTDATA("Value",TD_WEAP_RAW!$A$3,"Variable",K$2,"Escenario",K$1,"Branch","Demand Sites and Catchments\"&amp;$D165),0)</f>
        <v>0</v>
      </c>
      <c r="L165" s="99">
        <f>IFERROR(GETPIVOTDATA("Value",TD_WEAP_RAW!$A$3,"Variable",L$2,"Escenario",L$1,"Branch","Demand Sites and Catchments\"&amp;$D165),0)</f>
        <v>0</v>
      </c>
    </row>
    <row r="166" spans="4:12">
      <c r="D166" s="53"/>
      <c r="E166" s="42"/>
      <c r="F166" s="42"/>
      <c r="G166" s="51"/>
      <c r="H166" s="99">
        <f>IFERROR(GETPIVOTDATA("Value",TD_WEAP_RAW!$A$3,"Variable",H$2,"Escenario",H$1,"Branch","Demand Sites and Catchments\"&amp;$D166),0)</f>
        <v>0</v>
      </c>
      <c r="I166" s="99">
        <f>IFERROR(GETPIVOTDATA("Value",TD_WEAP_RAW!$A$3,"Variable",I$2,"Escenario",I$1,"Branch","Demand Sites and Catchments\"&amp;$D166),0)</f>
        <v>0</v>
      </c>
      <c r="J166" s="99">
        <f>IFERROR(GETPIVOTDATA("Value",TD_WEAP_RAW!$A$3,"Variable",J$2,"Escenario",J$1,"Branch","Demand Sites and Catchments\"&amp;$D166),0)</f>
        <v>0</v>
      </c>
      <c r="K166" s="99">
        <f>IFERROR(GETPIVOTDATA("Value",TD_WEAP_RAW!$A$3,"Variable",K$2,"Escenario",K$1,"Branch","Demand Sites and Catchments\"&amp;$D166),0)</f>
        <v>0</v>
      </c>
      <c r="L166" s="99">
        <f>IFERROR(GETPIVOTDATA("Value",TD_WEAP_RAW!$A$3,"Variable",L$2,"Escenario",L$1,"Branch","Demand Sites and Catchments\"&amp;$D166),0)</f>
        <v>0</v>
      </c>
    </row>
    <row r="167" spans="4:12">
      <c r="D167" s="53"/>
      <c r="E167" s="42"/>
      <c r="F167" s="42"/>
      <c r="G167" s="51"/>
      <c r="H167" s="99">
        <f>IFERROR(GETPIVOTDATA("Value",TD_WEAP_RAW!$A$3,"Variable",H$2,"Escenario",H$1,"Branch","Demand Sites and Catchments\"&amp;$D167),0)</f>
        <v>0</v>
      </c>
      <c r="I167" s="99">
        <f>IFERROR(GETPIVOTDATA("Value",TD_WEAP_RAW!$A$3,"Variable",I$2,"Escenario",I$1,"Branch","Demand Sites and Catchments\"&amp;$D167),0)</f>
        <v>0</v>
      </c>
      <c r="J167" s="99">
        <f>IFERROR(GETPIVOTDATA("Value",TD_WEAP_RAW!$A$3,"Variable",J$2,"Escenario",J$1,"Branch","Demand Sites and Catchments\"&amp;$D167),0)</f>
        <v>0</v>
      </c>
      <c r="K167" s="99">
        <f>IFERROR(GETPIVOTDATA("Value",TD_WEAP_RAW!$A$3,"Variable",K$2,"Escenario",K$1,"Branch","Demand Sites and Catchments\"&amp;$D167),0)</f>
        <v>0</v>
      </c>
      <c r="L167" s="99">
        <f>IFERROR(GETPIVOTDATA("Value",TD_WEAP_RAW!$A$3,"Variable",L$2,"Escenario",L$1,"Branch","Demand Sites and Catchments\"&amp;$D167),0)</f>
        <v>0</v>
      </c>
    </row>
    <row r="168" spans="4:12">
      <c r="D168" s="53"/>
      <c r="E168" s="42"/>
      <c r="F168" s="42"/>
      <c r="G168" s="51"/>
      <c r="H168" s="99">
        <f>IFERROR(GETPIVOTDATA("Value",TD_WEAP_RAW!$A$3,"Variable",H$2,"Escenario",H$1,"Branch","Demand Sites and Catchments\"&amp;$D168),0)</f>
        <v>0</v>
      </c>
      <c r="I168" s="99">
        <f>IFERROR(GETPIVOTDATA("Value",TD_WEAP_RAW!$A$3,"Variable",I$2,"Escenario",I$1,"Branch","Demand Sites and Catchments\"&amp;$D168),0)</f>
        <v>0</v>
      </c>
      <c r="J168" s="99">
        <f>IFERROR(GETPIVOTDATA("Value",TD_WEAP_RAW!$A$3,"Variable",J$2,"Escenario",J$1,"Branch","Demand Sites and Catchments\"&amp;$D168),0)</f>
        <v>0</v>
      </c>
      <c r="K168" s="99">
        <f>IFERROR(GETPIVOTDATA("Value",TD_WEAP_RAW!$A$3,"Variable",K$2,"Escenario",K$1,"Branch","Demand Sites and Catchments\"&amp;$D168),0)</f>
        <v>0</v>
      </c>
      <c r="L168" s="99">
        <f>IFERROR(GETPIVOTDATA("Value",TD_WEAP_RAW!$A$3,"Variable",L$2,"Escenario",L$1,"Branch","Demand Sites and Catchments\"&amp;$D168),0)</f>
        <v>0</v>
      </c>
    </row>
    <row r="169" spans="4:12">
      <c r="D169" s="53"/>
      <c r="E169" s="42"/>
      <c r="F169" s="42"/>
      <c r="G169" s="51"/>
      <c r="H169" s="99">
        <f>IFERROR(GETPIVOTDATA("Value",TD_WEAP_RAW!$A$3,"Variable",H$2,"Escenario",H$1,"Branch","Demand Sites and Catchments\"&amp;$D169),0)</f>
        <v>0</v>
      </c>
      <c r="I169" s="99">
        <f>IFERROR(GETPIVOTDATA("Value",TD_WEAP_RAW!$A$3,"Variable",I$2,"Escenario",I$1,"Branch","Demand Sites and Catchments\"&amp;$D169),0)</f>
        <v>0</v>
      </c>
      <c r="J169" s="99">
        <f>IFERROR(GETPIVOTDATA("Value",TD_WEAP_RAW!$A$3,"Variable",J$2,"Escenario",J$1,"Branch","Demand Sites and Catchments\"&amp;$D169),0)</f>
        <v>0</v>
      </c>
      <c r="K169" s="99">
        <f>IFERROR(GETPIVOTDATA("Value",TD_WEAP_RAW!$A$3,"Variable",K$2,"Escenario",K$1,"Branch","Demand Sites and Catchments\"&amp;$D169),0)</f>
        <v>0</v>
      </c>
      <c r="L169" s="99">
        <f>IFERROR(GETPIVOTDATA("Value",TD_WEAP_RAW!$A$3,"Variable",L$2,"Escenario",L$1,"Branch","Demand Sites and Catchments\"&amp;$D169),0)</f>
        <v>0</v>
      </c>
    </row>
    <row r="170" spans="4:12">
      <c r="D170" s="53"/>
      <c r="E170" s="42"/>
      <c r="F170" s="42"/>
      <c r="G170" s="51"/>
      <c r="H170" s="99">
        <f>IFERROR(GETPIVOTDATA("Value",TD_WEAP_RAW!$A$3,"Variable",H$2,"Escenario",H$1,"Branch","Demand Sites and Catchments\"&amp;$D170),0)</f>
        <v>0</v>
      </c>
      <c r="I170" s="99">
        <f>IFERROR(GETPIVOTDATA("Value",TD_WEAP_RAW!$A$3,"Variable",I$2,"Escenario",I$1,"Branch","Demand Sites and Catchments\"&amp;$D170),0)</f>
        <v>0</v>
      </c>
      <c r="J170" s="99">
        <f>IFERROR(GETPIVOTDATA("Value",TD_WEAP_RAW!$A$3,"Variable",J$2,"Escenario",J$1,"Branch","Demand Sites and Catchments\"&amp;$D170),0)</f>
        <v>0</v>
      </c>
      <c r="K170" s="99">
        <f>IFERROR(GETPIVOTDATA("Value",TD_WEAP_RAW!$A$3,"Variable",K$2,"Escenario",K$1,"Branch","Demand Sites and Catchments\"&amp;$D170),0)</f>
        <v>0</v>
      </c>
      <c r="L170" s="99">
        <f>IFERROR(GETPIVOTDATA("Value",TD_WEAP_RAW!$A$3,"Variable",L$2,"Escenario",L$1,"Branch","Demand Sites and Catchments\"&amp;$D170),0)</f>
        <v>0</v>
      </c>
    </row>
    <row r="171" spans="4:12">
      <c r="D171" s="53"/>
      <c r="E171" s="42"/>
      <c r="F171" s="42"/>
      <c r="G171" s="51"/>
      <c r="H171" s="99">
        <f>IFERROR(GETPIVOTDATA("Value",TD_WEAP_RAW!$A$3,"Variable",H$2,"Escenario",H$1,"Branch","Demand Sites and Catchments\"&amp;$D171),0)</f>
        <v>0</v>
      </c>
      <c r="I171" s="99">
        <f>IFERROR(GETPIVOTDATA("Value",TD_WEAP_RAW!$A$3,"Variable",I$2,"Escenario",I$1,"Branch","Demand Sites and Catchments\"&amp;$D171),0)</f>
        <v>0</v>
      </c>
      <c r="J171" s="99">
        <f>IFERROR(GETPIVOTDATA("Value",TD_WEAP_RAW!$A$3,"Variable",J$2,"Escenario",J$1,"Branch","Demand Sites and Catchments\"&amp;$D171),0)</f>
        <v>0</v>
      </c>
      <c r="K171" s="99">
        <f>IFERROR(GETPIVOTDATA("Value",TD_WEAP_RAW!$A$3,"Variable",K$2,"Escenario",K$1,"Branch","Demand Sites and Catchments\"&amp;$D171),0)</f>
        <v>0</v>
      </c>
      <c r="L171" s="99">
        <f>IFERROR(GETPIVOTDATA("Value",TD_WEAP_RAW!$A$3,"Variable",L$2,"Escenario",L$1,"Branch","Demand Sites and Catchments\"&amp;$D171),0)</f>
        <v>0</v>
      </c>
    </row>
    <row r="172" spans="4:12">
      <c r="D172" s="53"/>
      <c r="E172" s="42"/>
      <c r="F172" s="42"/>
      <c r="G172" s="51"/>
      <c r="H172" s="99">
        <f>IFERROR(GETPIVOTDATA("Value",TD_WEAP_RAW!$A$3,"Variable",H$2,"Escenario",H$1,"Branch","Demand Sites and Catchments\"&amp;$D172),0)</f>
        <v>0</v>
      </c>
      <c r="I172" s="99">
        <f>IFERROR(GETPIVOTDATA("Value",TD_WEAP_RAW!$A$3,"Variable",I$2,"Escenario",I$1,"Branch","Demand Sites and Catchments\"&amp;$D172),0)</f>
        <v>0</v>
      </c>
      <c r="J172" s="99">
        <f>IFERROR(GETPIVOTDATA("Value",TD_WEAP_RAW!$A$3,"Variable",J$2,"Escenario",J$1,"Branch","Demand Sites and Catchments\"&amp;$D172),0)</f>
        <v>0</v>
      </c>
      <c r="K172" s="99">
        <f>IFERROR(GETPIVOTDATA("Value",TD_WEAP_RAW!$A$3,"Variable",K$2,"Escenario",K$1,"Branch","Demand Sites and Catchments\"&amp;$D172),0)</f>
        <v>0</v>
      </c>
      <c r="L172" s="99">
        <f>IFERROR(GETPIVOTDATA("Value",TD_WEAP_RAW!$A$3,"Variable",L$2,"Escenario",L$1,"Branch","Demand Sites and Catchments\"&amp;$D172),0)</f>
        <v>0</v>
      </c>
    </row>
    <row r="173" spans="4:12">
      <c r="D173" s="53"/>
      <c r="E173" s="42"/>
      <c r="F173" s="42"/>
      <c r="G173" s="51"/>
      <c r="H173" s="99">
        <f>IFERROR(GETPIVOTDATA("Value",TD_WEAP_RAW!$A$3,"Variable",H$2,"Escenario",H$1,"Branch","Demand Sites and Catchments\"&amp;$D173),0)</f>
        <v>0</v>
      </c>
      <c r="I173" s="99">
        <f>IFERROR(GETPIVOTDATA("Value",TD_WEAP_RAW!$A$3,"Variable",I$2,"Escenario",I$1,"Branch","Demand Sites and Catchments\"&amp;$D173),0)</f>
        <v>0</v>
      </c>
      <c r="J173" s="99">
        <f>IFERROR(GETPIVOTDATA("Value",TD_WEAP_RAW!$A$3,"Variable",J$2,"Escenario",J$1,"Branch","Demand Sites and Catchments\"&amp;$D173),0)</f>
        <v>0</v>
      </c>
      <c r="K173" s="99">
        <f>IFERROR(GETPIVOTDATA("Value",TD_WEAP_RAW!$A$3,"Variable",K$2,"Escenario",K$1,"Branch","Demand Sites and Catchments\"&amp;$D173),0)</f>
        <v>0</v>
      </c>
      <c r="L173" s="99">
        <f>IFERROR(GETPIVOTDATA("Value",TD_WEAP_RAW!$A$3,"Variable",L$2,"Escenario",L$1,"Branch","Demand Sites and Catchments\"&amp;$D173),0)</f>
        <v>0</v>
      </c>
    </row>
    <row r="174" spans="4:12">
      <c r="D174" s="53"/>
      <c r="E174" s="42"/>
      <c r="F174" s="42"/>
      <c r="G174" s="51"/>
      <c r="H174" s="99">
        <f>IFERROR(GETPIVOTDATA("Value",TD_WEAP_RAW!$A$3,"Variable",H$2,"Escenario",H$1,"Branch","Demand Sites and Catchments\"&amp;$D174),0)</f>
        <v>0</v>
      </c>
      <c r="I174" s="99">
        <f>IFERROR(GETPIVOTDATA("Value",TD_WEAP_RAW!$A$3,"Variable",I$2,"Escenario",I$1,"Branch","Demand Sites and Catchments\"&amp;$D174),0)</f>
        <v>0</v>
      </c>
      <c r="J174" s="99">
        <f>IFERROR(GETPIVOTDATA("Value",TD_WEAP_RAW!$A$3,"Variable",J$2,"Escenario",J$1,"Branch","Demand Sites and Catchments\"&amp;$D174),0)</f>
        <v>0</v>
      </c>
      <c r="K174" s="99">
        <f>IFERROR(GETPIVOTDATA("Value",TD_WEAP_RAW!$A$3,"Variable",K$2,"Escenario",K$1,"Branch","Demand Sites and Catchments\"&amp;$D174),0)</f>
        <v>0</v>
      </c>
      <c r="L174" s="99">
        <f>IFERROR(GETPIVOTDATA("Value",TD_WEAP_RAW!$A$3,"Variable",L$2,"Escenario",L$1,"Branch","Demand Sites and Catchments\"&amp;$D174),0)</f>
        <v>0</v>
      </c>
    </row>
    <row r="175" spans="4:12">
      <c r="D175" s="53"/>
      <c r="E175" s="42"/>
      <c r="F175" s="42"/>
      <c r="G175" s="51"/>
      <c r="H175" s="99">
        <f>IFERROR(GETPIVOTDATA("Value",TD_WEAP_RAW!$A$3,"Variable",H$2,"Escenario",H$1,"Branch","Demand Sites and Catchments\"&amp;$D175),0)</f>
        <v>0</v>
      </c>
      <c r="I175" s="99">
        <f>IFERROR(GETPIVOTDATA("Value",TD_WEAP_RAW!$A$3,"Variable",I$2,"Escenario",I$1,"Branch","Demand Sites and Catchments\"&amp;$D175),0)</f>
        <v>0</v>
      </c>
      <c r="J175" s="99">
        <f>IFERROR(GETPIVOTDATA("Value",TD_WEAP_RAW!$A$3,"Variable",J$2,"Escenario",J$1,"Branch","Demand Sites and Catchments\"&amp;$D175),0)</f>
        <v>0</v>
      </c>
      <c r="K175" s="99">
        <f>IFERROR(GETPIVOTDATA("Value",TD_WEAP_RAW!$A$3,"Variable",K$2,"Escenario",K$1,"Branch","Demand Sites and Catchments\"&amp;$D175),0)</f>
        <v>0</v>
      </c>
      <c r="L175" s="99">
        <f>IFERROR(GETPIVOTDATA("Value",TD_WEAP_RAW!$A$3,"Variable",L$2,"Escenario",L$1,"Branch","Demand Sites and Catchments\"&amp;$D175),0)</f>
        <v>0</v>
      </c>
    </row>
    <row r="176" spans="4:12">
      <c r="D176" s="53"/>
      <c r="E176" s="42"/>
      <c r="F176" s="42"/>
      <c r="G176" s="51"/>
      <c r="H176" s="99">
        <f>IFERROR(GETPIVOTDATA("Value",TD_WEAP_RAW!$A$3,"Variable",H$2,"Escenario",H$1,"Branch","Demand Sites and Catchments\"&amp;$D176),0)</f>
        <v>0</v>
      </c>
      <c r="I176" s="99">
        <f>IFERROR(GETPIVOTDATA("Value",TD_WEAP_RAW!$A$3,"Variable",I$2,"Escenario",I$1,"Branch","Demand Sites and Catchments\"&amp;$D176),0)</f>
        <v>0</v>
      </c>
      <c r="J176" s="99">
        <f>IFERROR(GETPIVOTDATA("Value",TD_WEAP_RAW!$A$3,"Variable",J$2,"Escenario",J$1,"Branch","Demand Sites and Catchments\"&amp;$D176),0)</f>
        <v>0</v>
      </c>
      <c r="K176" s="99">
        <f>IFERROR(GETPIVOTDATA("Value",TD_WEAP_RAW!$A$3,"Variable",K$2,"Escenario",K$1,"Branch","Demand Sites and Catchments\"&amp;$D176),0)</f>
        <v>0</v>
      </c>
      <c r="L176" s="99">
        <f>IFERROR(GETPIVOTDATA("Value",TD_WEAP_RAW!$A$3,"Variable",L$2,"Escenario",L$1,"Branch","Demand Sites and Catchments\"&amp;$D176),0)</f>
        <v>0</v>
      </c>
    </row>
    <row r="177" spans="4:12">
      <c r="D177" s="53"/>
      <c r="E177" s="42"/>
      <c r="F177" s="42"/>
      <c r="G177" s="51"/>
      <c r="H177" s="99">
        <f>IFERROR(GETPIVOTDATA("Value",TD_WEAP_RAW!$A$3,"Variable",H$2,"Escenario",H$1,"Branch","Demand Sites and Catchments\"&amp;$D177),0)</f>
        <v>0</v>
      </c>
      <c r="I177" s="99">
        <f>IFERROR(GETPIVOTDATA("Value",TD_WEAP_RAW!$A$3,"Variable",I$2,"Escenario",I$1,"Branch","Demand Sites and Catchments\"&amp;$D177),0)</f>
        <v>0</v>
      </c>
      <c r="J177" s="99">
        <f>IFERROR(GETPIVOTDATA("Value",TD_WEAP_RAW!$A$3,"Variable",J$2,"Escenario",J$1,"Branch","Demand Sites and Catchments\"&amp;$D177),0)</f>
        <v>0</v>
      </c>
      <c r="K177" s="99">
        <f>IFERROR(GETPIVOTDATA("Value",TD_WEAP_RAW!$A$3,"Variable",K$2,"Escenario",K$1,"Branch","Demand Sites and Catchments\"&amp;$D177),0)</f>
        <v>0</v>
      </c>
      <c r="L177" s="99">
        <f>IFERROR(GETPIVOTDATA("Value",TD_WEAP_RAW!$A$3,"Variable",L$2,"Escenario",L$1,"Branch","Demand Sites and Catchments\"&amp;$D177),0)</f>
        <v>0</v>
      </c>
    </row>
    <row r="178" spans="4:12">
      <c r="D178" s="53"/>
      <c r="E178" s="42"/>
      <c r="F178" s="42"/>
      <c r="G178" s="51"/>
      <c r="H178" s="99">
        <f>IFERROR(GETPIVOTDATA("Value",TD_WEAP_RAW!$A$3,"Variable",H$2,"Escenario",H$1,"Branch","Demand Sites and Catchments\"&amp;$D178),0)</f>
        <v>0</v>
      </c>
      <c r="I178" s="99">
        <f>IFERROR(GETPIVOTDATA("Value",TD_WEAP_RAW!$A$3,"Variable",I$2,"Escenario",I$1,"Branch","Demand Sites and Catchments\"&amp;$D178),0)</f>
        <v>0</v>
      </c>
      <c r="J178" s="99">
        <f>IFERROR(GETPIVOTDATA("Value",TD_WEAP_RAW!$A$3,"Variable",J$2,"Escenario",J$1,"Branch","Demand Sites and Catchments\"&amp;$D178),0)</f>
        <v>0</v>
      </c>
      <c r="K178" s="99">
        <f>IFERROR(GETPIVOTDATA("Value",TD_WEAP_RAW!$A$3,"Variable",K$2,"Escenario",K$1,"Branch","Demand Sites and Catchments\"&amp;$D178),0)</f>
        <v>0</v>
      </c>
      <c r="L178" s="99">
        <f>IFERROR(GETPIVOTDATA("Value",TD_WEAP_RAW!$A$3,"Variable",L$2,"Escenario",L$1,"Branch","Demand Sites and Catchments\"&amp;$D178),0)</f>
        <v>0</v>
      </c>
    </row>
    <row r="179" spans="4:12">
      <c r="D179" s="53"/>
      <c r="E179" s="42"/>
      <c r="F179" s="42"/>
      <c r="G179" s="51"/>
      <c r="H179" s="99">
        <f>IFERROR(GETPIVOTDATA("Value",TD_WEAP_RAW!$A$3,"Variable",H$2,"Escenario",H$1,"Branch","Demand Sites and Catchments\"&amp;$D179),0)</f>
        <v>0</v>
      </c>
      <c r="I179" s="99">
        <f>IFERROR(GETPIVOTDATA("Value",TD_WEAP_RAW!$A$3,"Variable",I$2,"Escenario",I$1,"Branch","Demand Sites and Catchments\"&amp;$D179),0)</f>
        <v>0</v>
      </c>
      <c r="J179" s="99">
        <f>IFERROR(GETPIVOTDATA("Value",TD_WEAP_RAW!$A$3,"Variable",J$2,"Escenario",J$1,"Branch","Demand Sites and Catchments\"&amp;$D179),0)</f>
        <v>0</v>
      </c>
      <c r="K179" s="99">
        <f>IFERROR(GETPIVOTDATA("Value",TD_WEAP_RAW!$A$3,"Variable",K$2,"Escenario",K$1,"Branch","Demand Sites and Catchments\"&amp;$D179),0)</f>
        <v>0</v>
      </c>
      <c r="L179" s="99">
        <f>IFERROR(GETPIVOTDATA("Value",TD_WEAP_RAW!$A$3,"Variable",L$2,"Escenario",L$1,"Branch","Demand Sites and Catchments\"&amp;$D179),0)</f>
        <v>0</v>
      </c>
    </row>
    <row r="180" spans="4:12">
      <c r="D180" s="53"/>
      <c r="E180" s="42"/>
      <c r="F180" s="42"/>
      <c r="G180" s="51"/>
      <c r="H180" s="99">
        <f>IFERROR(GETPIVOTDATA("Value",TD_WEAP_RAW!$A$3,"Variable",H$2,"Escenario",H$1,"Branch","Demand Sites and Catchments\"&amp;$D180),0)</f>
        <v>0</v>
      </c>
      <c r="I180" s="99">
        <f>IFERROR(GETPIVOTDATA("Value",TD_WEAP_RAW!$A$3,"Variable",I$2,"Escenario",I$1,"Branch","Demand Sites and Catchments\"&amp;$D180),0)</f>
        <v>0</v>
      </c>
      <c r="J180" s="99">
        <f>IFERROR(GETPIVOTDATA("Value",TD_WEAP_RAW!$A$3,"Variable",J$2,"Escenario",J$1,"Branch","Demand Sites and Catchments\"&amp;$D180),0)</f>
        <v>0</v>
      </c>
      <c r="K180" s="99">
        <f>IFERROR(GETPIVOTDATA("Value",TD_WEAP_RAW!$A$3,"Variable",K$2,"Escenario",K$1,"Branch","Demand Sites and Catchments\"&amp;$D180),0)</f>
        <v>0</v>
      </c>
      <c r="L180" s="99">
        <f>IFERROR(GETPIVOTDATA("Value",TD_WEAP_RAW!$A$3,"Variable",L$2,"Escenario",L$1,"Branch","Demand Sites and Catchments\"&amp;$D180),0)</f>
        <v>0</v>
      </c>
    </row>
    <row r="181" spans="4:12">
      <c r="D181" s="53"/>
      <c r="E181" s="42"/>
      <c r="F181" s="42"/>
      <c r="G181" s="51"/>
      <c r="H181" s="99">
        <f>IFERROR(GETPIVOTDATA("Value",TD_WEAP_RAW!$A$3,"Variable",H$2,"Escenario",H$1,"Branch","Demand Sites and Catchments\"&amp;$D181),0)</f>
        <v>0</v>
      </c>
      <c r="I181" s="99">
        <f>IFERROR(GETPIVOTDATA("Value",TD_WEAP_RAW!$A$3,"Variable",I$2,"Escenario",I$1,"Branch","Demand Sites and Catchments\"&amp;$D181),0)</f>
        <v>0</v>
      </c>
      <c r="J181" s="99">
        <f>IFERROR(GETPIVOTDATA("Value",TD_WEAP_RAW!$A$3,"Variable",J$2,"Escenario",J$1,"Branch","Demand Sites and Catchments\"&amp;$D181),0)</f>
        <v>0</v>
      </c>
      <c r="K181" s="99">
        <f>IFERROR(GETPIVOTDATA("Value",TD_WEAP_RAW!$A$3,"Variable",K$2,"Escenario",K$1,"Branch","Demand Sites and Catchments\"&amp;$D181),0)</f>
        <v>0</v>
      </c>
      <c r="L181" s="99">
        <f>IFERROR(GETPIVOTDATA("Value",TD_WEAP_RAW!$A$3,"Variable",L$2,"Escenario",L$1,"Branch","Demand Sites and Catchments\"&amp;$D181),0)</f>
        <v>0</v>
      </c>
    </row>
    <row r="182" spans="4:12">
      <c r="D182" s="53"/>
      <c r="E182" s="42"/>
      <c r="F182" s="42"/>
      <c r="G182" s="51"/>
      <c r="H182" s="99">
        <f>IFERROR(GETPIVOTDATA("Value",TD_WEAP_RAW!$A$3,"Variable",H$2,"Escenario",H$1,"Branch","Demand Sites and Catchments\"&amp;$D182),0)</f>
        <v>0</v>
      </c>
      <c r="I182" s="99">
        <f>IFERROR(GETPIVOTDATA("Value",TD_WEAP_RAW!$A$3,"Variable",I$2,"Escenario",I$1,"Branch","Demand Sites and Catchments\"&amp;$D182),0)</f>
        <v>0</v>
      </c>
      <c r="J182" s="99">
        <f>IFERROR(GETPIVOTDATA("Value",TD_WEAP_RAW!$A$3,"Variable",J$2,"Escenario",J$1,"Branch","Demand Sites and Catchments\"&amp;$D182),0)</f>
        <v>0</v>
      </c>
      <c r="K182" s="99">
        <f>IFERROR(GETPIVOTDATA("Value",TD_WEAP_RAW!$A$3,"Variable",K$2,"Escenario",K$1,"Branch","Demand Sites and Catchments\"&amp;$D182),0)</f>
        <v>0</v>
      </c>
      <c r="L182" s="99">
        <f>IFERROR(GETPIVOTDATA("Value",TD_WEAP_RAW!$A$3,"Variable",L$2,"Escenario",L$1,"Branch","Demand Sites and Catchments\"&amp;$D182),0)</f>
        <v>0</v>
      </c>
    </row>
    <row r="183" spans="4:12">
      <c r="D183" s="53"/>
      <c r="E183" s="42"/>
      <c r="F183" s="42"/>
      <c r="G183" s="51"/>
      <c r="H183" s="99">
        <f>IFERROR(GETPIVOTDATA("Value",TD_WEAP_RAW!$A$3,"Variable",H$2,"Escenario",H$1,"Branch","Demand Sites and Catchments\"&amp;$D183),0)</f>
        <v>0</v>
      </c>
      <c r="I183" s="99">
        <f>IFERROR(GETPIVOTDATA("Value",TD_WEAP_RAW!$A$3,"Variable",I$2,"Escenario",I$1,"Branch","Demand Sites and Catchments\"&amp;$D183),0)</f>
        <v>0</v>
      </c>
      <c r="J183" s="99">
        <f>IFERROR(GETPIVOTDATA("Value",TD_WEAP_RAW!$A$3,"Variable",J$2,"Escenario",J$1,"Branch","Demand Sites and Catchments\"&amp;$D183),0)</f>
        <v>0</v>
      </c>
      <c r="K183" s="99">
        <f>IFERROR(GETPIVOTDATA("Value",TD_WEAP_RAW!$A$3,"Variable",K$2,"Escenario",K$1,"Branch","Demand Sites and Catchments\"&amp;$D183),0)</f>
        <v>0</v>
      </c>
      <c r="L183" s="99">
        <f>IFERROR(GETPIVOTDATA("Value",TD_WEAP_RAW!$A$3,"Variable",L$2,"Escenario",L$1,"Branch","Demand Sites and Catchments\"&amp;$D183),0)</f>
        <v>0</v>
      </c>
    </row>
    <row r="184" spans="4:12">
      <c r="D184" s="53"/>
      <c r="E184" s="42"/>
      <c r="F184" s="42"/>
      <c r="G184" s="51"/>
      <c r="H184" s="99">
        <f>IFERROR(GETPIVOTDATA("Value",TD_WEAP_RAW!$A$3,"Variable",H$2,"Escenario",H$1,"Branch","Demand Sites and Catchments\"&amp;$D184),0)</f>
        <v>0</v>
      </c>
      <c r="I184" s="99">
        <f>IFERROR(GETPIVOTDATA("Value",TD_WEAP_RAW!$A$3,"Variable",I$2,"Escenario",I$1,"Branch","Demand Sites and Catchments\"&amp;$D184),0)</f>
        <v>0</v>
      </c>
      <c r="J184" s="99">
        <f>IFERROR(GETPIVOTDATA("Value",TD_WEAP_RAW!$A$3,"Variable",J$2,"Escenario",J$1,"Branch","Demand Sites and Catchments\"&amp;$D184),0)</f>
        <v>0</v>
      </c>
      <c r="K184" s="99">
        <f>IFERROR(GETPIVOTDATA("Value",TD_WEAP_RAW!$A$3,"Variable",K$2,"Escenario",K$1,"Branch","Demand Sites and Catchments\"&amp;$D184),0)</f>
        <v>0</v>
      </c>
      <c r="L184" s="99">
        <f>IFERROR(GETPIVOTDATA("Value",TD_WEAP_RAW!$A$3,"Variable",L$2,"Escenario",L$1,"Branch","Demand Sites and Catchments\"&amp;$D184),0)</f>
        <v>0</v>
      </c>
    </row>
    <row r="185" spans="4:12">
      <c r="D185" s="53"/>
      <c r="E185" s="42"/>
      <c r="F185" s="42"/>
      <c r="G185" s="51"/>
      <c r="H185" s="99">
        <f>IFERROR(GETPIVOTDATA("Value",TD_WEAP_RAW!$A$3,"Variable",H$2,"Escenario",H$1,"Branch","Demand Sites and Catchments\"&amp;$D185),0)</f>
        <v>0</v>
      </c>
      <c r="I185" s="99">
        <f>IFERROR(GETPIVOTDATA("Value",TD_WEAP_RAW!$A$3,"Variable",I$2,"Escenario",I$1,"Branch","Demand Sites and Catchments\"&amp;$D185),0)</f>
        <v>0</v>
      </c>
      <c r="J185" s="99">
        <f>IFERROR(GETPIVOTDATA("Value",TD_WEAP_RAW!$A$3,"Variable",J$2,"Escenario",J$1,"Branch","Demand Sites and Catchments\"&amp;$D185),0)</f>
        <v>0</v>
      </c>
      <c r="K185" s="99">
        <f>IFERROR(GETPIVOTDATA("Value",TD_WEAP_RAW!$A$3,"Variable",K$2,"Escenario",K$1,"Branch","Demand Sites and Catchments\"&amp;$D185),0)</f>
        <v>0</v>
      </c>
      <c r="L185" s="99">
        <f>IFERROR(GETPIVOTDATA("Value",TD_WEAP_RAW!$A$3,"Variable",L$2,"Escenario",L$1,"Branch","Demand Sites and Catchments\"&amp;$D185),0)</f>
        <v>0</v>
      </c>
    </row>
    <row r="186" spans="4:12">
      <c r="D186" s="53"/>
      <c r="E186" s="42"/>
      <c r="F186" s="42"/>
      <c r="G186" s="51"/>
      <c r="H186" s="99">
        <f>IFERROR(GETPIVOTDATA("Value",TD_WEAP_RAW!$A$3,"Variable",H$2,"Escenario",H$1,"Branch","Demand Sites and Catchments\"&amp;$D186),0)</f>
        <v>0</v>
      </c>
      <c r="I186" s="99">
        <f>IFERROR(GETPIVOTDATA("Value",TD_WEAP_RAW!$A$3,"Variable",I$2,"Escenario",I$1,"Branch","Demand Sites and Catchments\"&amp;$D186),0)</f>
        <v>0</v>
      </c>
      <c r="J186" s="99">
        <f>IFERROR(GETPIVOTDATA("Value",TD_WEAP_RAW!$A$3,"Variable",J$2,"Escenario",J$1,"Branch","Demand Sites and Catchments\"&amp;$D186),0)</f>
        <v>0</v>
      </c>
      <c r="K186" s="99">
        <f>IFERROR(GETPIVOTDATA("Value",TD_WEAP_RAW!$A$3,"Variable",K$2,"Escenario",K$1,"Branch","Demand Sites and Catchments\"&amp;$D186),0)</f>
        <v>0</v>
      </c>
      <c r="L186" s="99">
        <f>IFERROR(GETPIVOTDATA("Value",TD_WEAP_RAW!$A$3,"Variable",L$2,"Escenario",L$1,"Branch","Demand Sites and Catchments\"&amp;$D186),0)</f>
        <v>0</v>
      </c>
    </row>
    <row r="187" spans="4:12">
      <c r="D187" s="53"/>
      <c r="E187" s="42"/>
      <c r="F187" s="42"/>
      <c r="G187" s="51"/>
      <c r="H187" s="99">
        <f>IFERROR(GETPIVOTDATA("Value",TD_WEAP_RAW!$A$3,"Variable",H$2,"Escenario",H$1,"Branch","Demand Sites and Catchments\"&amp;$D187),0)</f>
        <v>0</v>
      </c>
      <c r="I187" s="99">
        <f>IFERROR(GETPIVOTDATA("Value",TD_WEAP_RAW!$A$3,"Variable",I$2,"Escenario",I$1,"Branch","Demand Sites and Catchments\"&amp;$D187),0)</f>
        <v>0</v>
      </c>
      <c r="J187" s="99">
        <f>IFERROR(GETPIVOTDATA("Value",TD_WEAP_RAW!$A$3,"Variable",J$2,"Escenario",J$1,"Branch","Demand Sites and Catchments\"&amp;$D187),0)</f>
        <v>0</v>
      </c>
      <c r="K187" s="99">
        <f>IFERROR(GETPIVOTDATA("Value",TD_WEAP_RAW!$A$3,"Variable",K$2,"Escenario",K$1,"Branch","Demand Sites and Catchments\"&amp;$D187),0)</f>
        <v>0</v>
      </c>
      <c r="L187" s="99">
        <f>IFERROR(GETPIVOTDATA("Value",TD_WEAP_RAW!$A$3,"Variable",L$2,"Escenario",L$1,"Branch","Demand Sites and Catchments\"&amp;$D187),0)</f>
        <v>0</v>
      </c>
    </row>
    <row r="188" spans="4:12">
      <c r="D188" s="53"/>
      <c r="E188" s="42"/>
      <c r="F188" s="42"/>
      <c r="G188" s="51"/>
      <c r="H188" s="99">
        <f>IFERROR(GETPIVOTDATA("Value",TD_WEAP_RAW!$A$3,"Variable",H$2,"Escenario",H$1,"Branch","Demand Sites and Catchments\"&amp;$D188),0)</f>
        <v>0</v>
      </c>
      <c r="I188" s="99">
        <f>IFERROR(GETPIVOTDATA("Value",TD_WEAP_RAW!$A$3,"Variable",I$2,"Escenario",I$1,"Branch","Demand Sites and Catchments\"&amp;$D188),0)</f>
        <v>0</v>
      </c>
      <c r="J188" s="99">
        <f>IFERROR(GETPIVOTDATA("Value",TD_WEAP_RAW!$A$3,"Variable",J$2,"Escenario",J$1,"Branch","Demand Sites and Catchments\"&amp;$D188),0)</f>
        <v>0</v>
      </c>
      <c r="K188" s="99">
        <f>IFERROR(GETPIVOTDATA("Value",TD_WEAP_RAW!$A$3,"Variable",K$2,"Escenario",K$1,"Branch","Demand Sites and Catchments\"&amp;$D188),0)</f>
        <v>0</v>
      </c>
      <c r="L188" s="99">
        <f>IFERROR(GETPIVOTDATA("Value",TD_WEAP_RAW!$A$3,"Variable",L$2,"Escenario",L$1,"Branch","Demand Sites and Catchments\"&amp;$D188),0)</f>
        <v>0</v>
      </c>
    </row>
    <row r="189" spans="4:12">
      <c r="D189" s="53"/>
      <c r="E189" s="42"/>
      <c r="F189" s="42"/>
      <c r="G189" s="51"/>
      <c r="H189" s="99">
        <f>IFERROR(GETPIVOTDATA("Value",TD_WEAP_RAW!$A$3,"Variable",H$2,"Escenario",H$1,"Branch","Demand Sites and Catchments\"&amp;$D189),0)</f>
        <v>0</v>
      </c>
      <c r="I189" s="99">
        <f>IFERROR(GETPIVOTDATA("Value",TD_WEAP_RAW!$A$3,"Variable",I$2,"Escenario",I$1,"Branch","Demand Sites and Catchments\"&amp;$D189),0)</f>
        <v>0</v>
      </c>
      <c r="J189" s="99">
        <f>IFERROR(GETPIVOTDATA("Value",TD_WEAP_RAW!$A$3,"Variable",J$2,"Escenario",J$1,"Branch","Demand Sites and Catchments\"&amp;$D189),0)</f>
        <v>0</v>
      </c>
      <c r="K189" s="99">
        <f>IFERROR(GETPIVOTDATA("Value",TD_WEAP_RAW!$A$3,"Variable",K$2,"Escenario",K$1,"Branch","Demand Sites and Catchments\"&amp;$D189),0)</f>
        <v>0</v>
      </c>
      <c r="L189" s="99">
        <f>IFERROR(GETPIVOTDATA("Value",TD_WEAP_RAW!$A$3,"Variable",L$2,"Escenario",L$1,"Branch","Demand Sites and Catchments\"&amp;$D189),0)</f>
        <v>0</v>
      </c>
    </row>
    <row r="190" spans="4:12">
      <c r="D190" s="53"/>
      <c r="E190" s="42"/>
      <c r="F190" s="42"/>
      <c r="G190" s="51"/>
      <c r="H190" s="99">
        <f>IFERROR(GETPIVOTDATA("Value",TD_WEAP_RAW!$A$3,"Variable",H$2,"Escenario",H$1,"Branch","Demand Sites and Catchments\"&amp;$D190),0)</f>
        <v>0</v>
      </c>
      <c r="I190" s="99">
        <f>IFERROR(GETPIVOTDATA("Value",TD_WEAP_RAW!$A$3,"Variable",I$2,"Escenario",I$1,"Branch","Demand Sites and Catchments\"&amp;$D190),0)</f>
        <v>0</v>
      </c>
      <c r="J190" s="99">
        <f>IFERROR(GETPIVOTDATA("Value",TD_WEAP_RAW!$A$3,"Variable",J$2,"Escenario",J$1,"Branch","Demand Sites and Catchments\"&amp;$D190),0)</f>
        <v>0</v>
      </c>
      <c r="K190" s="99">
        <f>IFERROR(GETPIVOTDATA("Value",TD_WEAP_RAW!$A$3,"Variable",K$2,"Escenario",K$1,"Branch","Demand Sites and Catchments\"&amp;$D190),0)</f>
        <v>0</v>
      </c>
      <c r="L190" s="99">
        <f>IFERROR(GETPIVOTDATA("Value",TD_WEAP_RAW!$A$3,"Variable",L$2,"Escenario",L$1,"Branch","Demand Sites and Catchments\"&amp;$D190),0)</f>
        <v>0</v>
      </c>
    </row>
    <row r="191" spans="4:12">
      <c r="D191" s="53"/>
      <c r="E191" s="42"/>
      <c r="F191" s="42"/>
      <c r="G191" s="51"/>
      <c r="H191" s="99">
        <f>IFERROR(GETPIVOTDATA("Value",TD_WEAP_RAW!$A$3,"Variable",H$2,"Escenario",H$1,"Branch","Demand Sites and Catchments\"&amp;$D191),0)</f>
        <v>0</v>
      </c>
      <c r="I191" s="99">
        <f>IFERROR(GETPIVOTDATA("Value",TD_WEAP_RAW!$A$3,"Variable",I$2,"Escenario",I$1,"Branch","Demand Sites and Catchments\"&amp;$D191),0)</f>
        <v>0</v>
      </c>
      <c r="J191" s="99">
        <f>IFERROR(GETPIVOTDATA("Value",TD_WEAP_RAW!$A$3,"Variable",J$2,"Escenario",J$1,"Branch","Demand Sites and Catchments\"&amp;$D191),0)</f>
        <v>0</v>
      </c>
      <c r="K191" s="99">
        <f>IFERROR(GETPIVOTDATA("Value",TD_WEAP_RAW!$A$3,"Variable",K$2,"Escenario",K$1,"Branch","Demand Sites and Catchments\"&amp;$D191),0)</f>
        <v>0</v>
      </c>
      <c r="L191" s="99">
        <f>IFERROR(GETPIVOTDATA("Value",TD_WEAP_RAW!$A$3,"Variable",L$2,"Escenario",L$1,"Branch","Demand Sites and Catchments\"&amp;$D191),0)</f>
        <v>0</v>
      </c>
    </row>
    <row r="192" spans="4:12">
      <c r="D192" s="53"/>
      <c r="E192" s="42"/>
      <c r="F192" s="42"/>
      <c r="G192" s="51"/>
      <c r="H192" s="99">
        <f>IFERROR(GETPIVOTDATA("Value",TD_WEAP_RAW!$A$3,"Variable",H$2,"Escenario",H$1,"Branch","Demand Sites and Catchments\"&amp;$D192),0)</f>
        <v>0</v>
      </c>
      <c r="I192" s="99">
        <f>IFERROR(GETPIVOTDATA("Value",TD_WEAP_RAW!$A$3,"Variable",I$2,"Escenario",I$1,"Branch","Demand Sites and Catchments\"&amp;$D192),0)</f>
        <v>0</v>
      </c>
      <c r="J192" s="99">
        <f>IFERROR(GETPIVOTDATA("Value",TD_WEAP_RAW!$A$3,"Variable",J$2,"Escenario",J$1,"Branch","Demand Sites and Catchments\"&amp;$D192),0)</f>
        <v>0</v>
      </c>
      <c r="K192" s="99">
        <f>IFERROR(GETPIVOTDATA("Value",TD_WEAP_RAW!$A$3,"Variable",K$2,"Escenario",K$1,"Branch","Demand Sites and Catchments\"&amp;$D192),0)</f>
        <v>0</v>
      </c>
      <c r="L192" s="99">
        <f>IFERROR(GETPIVOTDATA("Value",TD_WEAP_RAW!$A$3,"Variable",L$2,"Escenario",L$1,"Branch","Demand Sites and Catchments\"&amp;$D192),0)</f>
        <v>0</v>
      </c>
    </row>
    <row r="193" spans="4:12">
      <c r="D193" s="53"/>
      <c r="E193" s="42"/>
      <c r="F193" s="42"/>
      <c r="G193" s="51"/>
      <c r="H193" s="99">
        <f>IFERROR(GETPIVOTDATA("Value",TD_WEAP_RAW!$A$3,"Variable",H$2,"Escenario",H$1,"Branch","Demand Sites and Catchments\"&amp;$D193),0)</f>
        <v>0</v>
      </c>
      <c r="I193" s="99">
        <f>IFERROR(GETPIVOTDATA("Value",TD_WEAP_RAW!$A$3,"Variable",I$2,"Escenario",I$1,"Branch","Demand Sites and Catchments\"&amp;$D193),0)</f>
        <v>0</v>
      </c>
      <c r="J193" s="99">
        <f>IFERROR(GETPIVOTDATA("Value",TD_WEAP_RAW!$A$3,"Variable",J$2,"Escenario",J$1,"Branch","Demand Sites and Catchments\"&amp;$D193),0)</f>
        <v>0</v>
      </c>
      <c r="K193" s="99">
        <f>IFERROR(GETPIVOTDATA("Value",TD_WEAP_RAW!$A$3,"Variable",K$2,"Escenario",K$1,"Branch","Demand Sites and Catchments\"&amp;$D193),0)</f>
        <v>0</v>
      </c>
      <c r="L193" s="99">
        <f>IFERROR(GETPIVOTDATA("Value",TD_WEAP_RAW!$A$3,"Variable",L$2,"Escenario",L$1,"Branch","Demand Sites and Catchments\"&amp;$D193),0)</f>
        <v>0</v>
      </c>
    </row>
    <row r="194" spans="4:12">
      <c r="D194" s="53"/>
      <c r="E194" s="42"/>
      <c r="F194" s="42"/>
      <c r="G194" s="51"/>
      <c r="H194" s="99">
        <f>IFERROR(GETPIVOTDATA("Value",TD_WEAP_RAW!$A$3,"Variable",H$2,"Escenario",H$1,"Branch","Demand Sites and Catchments\"&amp;$D194),0)</f>
        <v>0</v>
      </c>
      <c r="I194" s="99">
        <f>IFERROR(GETPIVOTDATA("Value",TD_WEAP_RAW!$A$3,"Variable",I$2,"Escenario",I$1,"Branch","Demand Sites and Catchments\"&amp;$D194),0)</f>
        <v>0</v>
      </c>
      <c r="J194" s="99">
        <f>IFERROR(GETPIVOTDATA("Value",TD_WEAP_RAW!$A$3,"Variable",J$2,"Escenario",J$1,"Branch","Demand Sites and Catchments\"&amp;$D194),0)</f>
        <v>0</v>
      </c>
      <c r="K194" s="99">
        <f>IFERROR(GETPIVOTDATA("Value",TD_WEAP_RAW!$A$3,"Variable",K$2,"Escenario",K$1,"Branch","Demand Sites and Catchments\"&amp;$D194),0)</f>
        <v>0</v>
      </c>
      <c r="L194" s="99">
        <f>IFERROR(GETPIVOTDATA("Value",TD_WEAP_RAW!$A$3,"Variable",L$2,"Escenario",L$1,"Branch","Demand Sites and Catchments\"&amp;$D194),0)</f>
        <v>0</v>
      </c>
    </row>
    <row r="195" spans="4:12">
      <c r="D195" s="53"/>
      <c r="E195" s="42"/>
      <c r="F195" s="42"/>
      <c r="G195" s="51"/>
      <c r="H195" s="99">
        <f>IFERROR(GETPIVOTDATA("Value",TD_WEAP_RAW!$A$3,"Variable",H$2,"Escenario",H$1,"Branch","Demand Sites and Catchments\"&amp;$D195),0)</f>
        <v>0</v>
      </c>
      <c r="I195" s="99">
        <f>IFERROR(GETPIVOTDATA("Value",TD_WEAP_RAW!$A$3,"Variable",I$2,"Escenario",I$1,"Branch","Demand Sites and Catchments\"&amp;$D195),0)</f>
        <v>0</v>
      </c>
      <c r="J195" s="99">
        <f>IFERROR(GETPIVOTDATA("Value",TD_WEAP_RAW!$A$3,"Variable",J$2,"Escenario",J$1,"Branch","Demand Sites and Catchments\"&amp;$D195),0)</f>
        <v>0</v>
      </c>
      <c r="K195" s="99">
        <f>IFERROR(GETPIVOTDATA("Value",TD_WEAP_RAW!$A$3,"Variable",K$2,"Escenario",K$1,"Branch","Demand Sites and Catchments\"&amp;$D195),0)</f>
        <v>0</v>
      </c>
      <c r="L195" s="99">
        <f>IFERROR(GETPIVOTDATA("Value",TD_WEAP_RAW!$A$3,"Variable",L$2,"Escenario",L$1,"Branch","Demand Sites and Catchments\"&amp;$D195),0)</f>
        <v>0</v>
      </c>
    </row>
    <row r="196" spans="4:12">
      <c r="D196" s="53"/>
      <c r="E196" s="42"/>
      <c r="F196" s="42"/>
      <c r="G196" s="51"/>
      <c r="H196" s="99">
        <f>IFERROR(GETPIVOTDATA("Value",TD_WEAP_RAW!$A$3,"Variable",H$2,"Escenario",H$1,"Branch","Demand Sites and Catchments\"&amp;$D196),0)</f>
        <v>0</v>
      </c>
      <c r="I196" s="99">
        <f>IFERROR(GETPIVOTDATA("Value",TD_WEAP_RAW!$A$3,"Variable",I$2,"Escenario",I$1,"Branch","Demand Sites and Catchments\"&amp;$D196),0)</f>
        <v>0</v>
      </c>
      <c r="J196" s="99">
        <f>IFERROR(GETPIVOTDATA("Value",TD_WEAP_RAW!$A$3,"Variable",J$2,"Escenario",J$1,"Branch","Demand Sites and Catchments\"&amp;$D196),0)</f>
        <v>0</v>
      </c>
      <c r="K196" s="99">
        <f>IFERROR(GETPIVOTDATA("Value",TD_WEAP_RAW!$A$3,"Variable",K$2,"Escenario",K$1,"Branch","Demand Sites and Catchments\"&amp;$D196),0)</f>
        <v>0</v>
      </c>
      <c r="L196" s="99">
        <f>IFERROR(GETPIVOTDATA("Value",TD_WEAP_RAW!$A$3,"Variable",L$2,"Escenario",L$1,"Branch","Demand Sites and Catchments\"&amp;$D196),0)</f>
        <v>0</v>
      </c>
    </row>
    <row r="197" spans="4:12">
      <c r="D197" s="53"/>
      <c r="E197" s="42"/>
      <c r="F197" s="42"/>
      <c r="G197" s="51"/>
      <c r="H197" s="99">
        <f>IFERROR(GETPIVOTDATA("Value",TD_WEAP_RAW!$A$3,"Variable",H$2,"Escenario",H$1,"Branch","Demand Sites and Catchments\"&amp;$D197),0)</f>
        <v>0</v>
      </c>
      <c r="I197" s="99">
        <f>IFERROR(GETPIVOTDATA("Value",TD_WEAP_RAW!$A$3,"Variable",I$2,"Escenario",I$1,"Branch","Demand Sites and Catchments\"&amp;$D197),0)</f>
        <v>0</v>
      </c>
      <c r="J197" s="99">
        <f>IFERROR(GETPIVOTDATA("Value",TD_WEAP_RAW!$A$3,"Variable",J$2,"Escenario",J$1,"Branch","Demand Sites and Catchments\"&amp;$D197),0)</f>
        <v>0</v>
      </c>
      <c r="K197" s="99">
        <f>IFERROR(GETPIVOTDATA("Value",TD_WEAP_RAW!$A$3,"Variable",K$2,"Escenario",K$1,"Branch","Demand Sites and Catchments\"&amp;$D197),0)</f>
        <v>0</v>
      </c>
      <c r="L197" s="99">
        <f>IFERROR(GETPIVOTDATA("Value",TD_WEAP_RAW!$A$3,"Variable",L$2,"Escenario",L$1,"Branch","Demand Sites and Catchments\"&amp;$D197),0)</f>
        <v>0</v>
      </c>
    </row>
    <row r="198" spans="4:12">
      <c r="D198" s="53"/>
      <c r="E198" s="42"/>
      <c r="F198" s="42"/>
      <c r="G198" s="51"/>
      <c r="H198" s="99">
        <f>IFERROR(GETPIVOTDATA("Value",TD_WEAP_RAW!$A$3,"Variable",H$2,"Escenario",H$1,"Branch","Demand Sites and Catchments\"&amp;$D198),0)</f>
        <v>0</v>
      </c>
      <c r="I198" s="99">
        <f>IFERROR(GETPIVOTDATA("Value",TD_WEAP_RAW!$A$3,"Variable",I$2,"Escenario",I$1,"Branch","Demand Sites and Catchments\"&amp;$D198),0)</f>
        <v>0</v>
      </c>
      <c r="J198" s="99">
        <f>IFERROR(GETPIVOTDATA("Value",TD_WEAP_RAW!$A$3,"Variable",J$2,"Escenario",J$1,"Branch","Demand Sites and Catchments\"&amp;$D198),0)</f>
        <v>0</v>
      </c>
      <c r="K198" s="99">
        <f>IFERROR(GETPIVOTDATA("Value",TD_WEAP_RAW!$A$3,"Variable",K$2,"Escenario",K$1,"Branch","Demand Sites and Catchments\"&amp;$D198),0)</f>
        <v>0</v>
      </c>
      <c r="L198" s="99">
        <f>IFERROR(GETPIVOTDATA("Value",TD_WEAP_RAW!$A$3,"Variable",L$2,"Escenario",L$1,"Branch","Demand Sites and Catchments\"&amp;$D198),0)</f>
        <v>0</v>
      </c>
    </row>
    <row r="199" spans="4:12">
      <c r="D199" s="53"/>
      <c r="E199" s="42"/>
      <c r="F199" s="42"/>
      <c r="G199" s="51"/>
      <c r="H199" s="99">
        <f>IFERROR(GETPIVOTDATA("Value",TD_WEAP_RAW!$A$3,"Variable",H$2,"Escenario",H$1,"Branch","Demand Sites and Catchments\"&amp;$D199),0)</f>
        <v>0</v>
      </c>
      <c r="I199" s="99">
        <f>IFERROR(GETPIVOTDATA("Value",TD_WEAP_RAW!$A$3,"Variable",I$2,"Escenario",I$1,"Branch","Demand Sites and Catchments\"&amp;$D199),0)</f>
        <v>0</v>
      </c>
      <c r="J199" s="99">
        <f>IFERROR(GETPIVOTDATA("Value",TD_WEAP_RAW!$A$3,"Variable",J$2,"Escenario",J$1,"Branch","Demand Sites and Catchments\"&amp;$D199),0)</f>
        <v>0</v>
      </c>
      <c r="K199" s="99">
        <f>IFERROR(GETPIVOTDATA("Value",TD_WEAP_RAW!$A$3,"Variable",K$2,"Escenario",K$1,"Branch","Demand Sites and Catchments\"&amp;$D199),0)</f>
        <v>0</v>
      </c>
      <c r="L199" s="99">
        <f>IFERROR(GETPIVOTDATA("Value",TD_WEAP_RAW!$A$3,"Variable",L$2,"Escenario",L$1,"Branch","Demand Sites and Catchments\"&amp;$D199),0)</f>
        <v>0</v>
      </c>
    </row>
    <row r="200" spans="4:12">
      <c r="D200" s="53"/>
      <c r="E200" s="42"/>
      <c r="F200" s="42"/>
      <c r="G200" s="51"/>
      <c r="H200" s="99">
        <f>IFERROR(GETPIVOTDATA("Value",TD_WEAP_RAW!$A$3,"Variable",H$2,"Escenario",H$1,"Branch","Demand Sites and Catchments\"&amp;$D200),0)</f>
        <v>0</v>
      </c>
      <c r="I200" s="99">
        <f>IFERROR(GETPIVOTDATA("Value",TD_WEAP_RAW!$A$3,"Variable",I$2,"Escenario",I$1,"Branch","Demand Sites and Catchments\"&amp;$D200),0)</f>
        <v>0</v>
      </c>
      <c r="J200" s="99">
        <f>IFERROR(GETPIVOTDATA("Value",TD_WEAP_RAW!$A$3,"Variable",J$2,"Escenario",J$1,"Branch","Demand Sites and Catchments\"&amp;$D200),0)</f>
        <v>0</v>
      </c>
      <c r="K200" s="99">
        <f>IFERROR(GETPIVOTDATA("Value",TD_WEAP_RAW!$A$3,"Variable",K$2,"Escenario",K$1,"Branch","Demand Sites and Catchments\"&amp;$D200),0)</f>
        <v>0</v>
      </c>
      <c r="L200" s="99">
        <f>IFERROR(GETPIVOTDATA("Value",TD_WEAP_RAW!$A$3,"Variable",L$2,"Escenario",L$1,"Branch","Demand Sites and Catchments\"&amp;$D200),0)</f>
        <v>0</v>
      </c>
    </row>
    <row r="201" spans="4:12">
      <c r="D201" s="53"/>
      <c r="E201" s="42"/>
      <c r="F201" s="42"/>
      <c r="G201" s="51"/>
      <c r="H201" s="99">
        <f>IFERROR(GETPIVOTDATA("Value",TD_WEAP_RAW!$A$3,"Variable",H$2,"Escenario",H$1,"Branch","Demand Sites and Catchments\"&amp;$D201),0)</f>
        <v>0</v>
      </c>
      <c r="I201" s="99">
        <f>IFERROR(GETPIVOTDATA("Value",TD_WEAP_RAW!$A$3,"Variable",I$2,"Escenario",I$1,"Branch","Demand Sites and Catchments\"&amp;$D201),0)</f>
        <v>0</v>
      </c>
      <c r="J201" s="99">
        <f>IFERROR(GETPIVOTDATA("Value",TD_WEAP_RAW!$A$3,"Variable",J$2,"Escenario",J$1,"Branch","Demand Sites and Catchments\"&amp;$D201),0)</f>
        <v>0</v>
      </c>
      <c r="K201" s="99">
        <f>IFERROR(GETPIVOTDATA("Value",TD_WEAP_RAW!$A$3,"Variable",K$2,"Escenario",K$1,"Branch","Demand Sites and Catchments\"&amp;$D201),0)</f>
        <v>0</v>
      </c>
      <c r="L201" s="99">
        <f>IFERROR(GETPIVOTDATA("Value",TD_WEAP_RAW!$A$3,"Variable",L$2,"Escenario",L$1,"Branch","Demand Sites and Catchments\"&amp;$D201),0)</f>
        <v>0</v>
      </c>
    </row>
    <row r="202" spans="4:12">
      <c r="D202" s="53"/>
      <c r="E202" s="42"/>
      <c r="F202" s="42"/>
      <c r="G202" s="51"/>
      <c r="H202" s="99">
        <f>IFERROR(GETPIVOTDATA("Value",TD_WEAP_RAW!$A$3,"Variable",H$2,"Escenario",H$1,"Branch","Demand Sites and Catchments\"&amp;$D202),0)</f>
        <v>0</v>
      </c>
      <c r="I202" s="99">
        <f>IFERROR(GETPIVOTDATA("Value",TD_WEAP_RAW!$A$3,"Variable",I$2,"Escenario",I$1,"Branch","Demand Sites and Catchments\"&amp;$D202),0)</f>
        <v>0</v>
      </c>
      <c r="J202" s="99">
        <f>IFERROR(GETPIVOTDATA("Value",TD_WEAP_RAW!$A$3,"Variable",J$2,"Escenario",J$1,"Branch","Demand Sites and Catchments\"&amp;$D202),0)</f>
        <v>0</v>
      </c>
      <c r="K202" s="99">
        <f>IFERROR(GETPIVOTDATA("Value",TD_WEAP_RAW!$A$3,"Variable",K$2,"Escenario",K$1,"Branch","Demand Sites and Catchments\"&amp;$D202),0)</f>
        <v>0</v>
      </c>
      <c r="L202" s="99">
        <f>IFERROR(GETPIVOTDATA("Value",TD_WEAP_RAW!$A$3,"Variable",L$2,"Escenario",L$1,"Branch","Demand Sites and Catchments\"&amp;$D202),0)</f>
        <v>0</v>
      </c>
    </row>
    <row r="203" spans="4:12">
      <c r="D203" s="53"/>
      <c r="E203" s="42"/>
      <c r="F203" s="42"/>
      <c r="G203" s="51"/>
      <c r="H203" s="99">
        <f>IFERROR(GETPIVOTDATA("Value",TD_WEAP_RAW!$A$3,"Variable",H$2,"Escenario",H$1,"Branch","Demand Sites and Catchments\"&amp;$D203),0)</f>
        <v>0</v>
      </c>
      <c r="I203" s="99">
        <f>IFERROR(GETPIVOTDATA("Value",TD_WEAP_RAW!$A$3,"Variable",I$2,"Escenario",I$1,"Branch","Demand Sites and Catchments\"&amp;$D203),0)</f>
        <v>0</v>
      </c>
      <c r="J203" s="99">
        <f>IFERROR(GETPIVOTDATA("Value",TD_WEAP_RAW!$A$3,"Variable",J$2,"Escenario",J$1,"Branch","Demand Sites and Catchments\"&amp;$D203),0)</f>
        <v>0</v>
      </c>
      <c r="K203" s="99">
        <f>IFERROR(GETPIVOTDATA("Value",TD_WEAP_RAW!$A$3,"Variable",K$2,"Escenario",K$1,"Branch","Demand Sites and Catchments\"&amp;$D203),0)</f>
        <v>0</v>
      </c>
      <c r="L203" s="99">
        <f>IFERROR(GETPIVOTDATA("Value",TD_WEAP_RAW!$A$3,"Variable",L$2,"Escenario",L$1,"Branch","Demand Sites and Catchments\"&amp;$D203),0)</f>
        <v>0</v>
      </c>
    </row>
    <row r="204" spans="4:12">
      <c r="D204" s="53"/>
      <c r="E204" s="42"/>
      <c r="F204" s="42"/>
      <c r="G204" s="51"/>
      <c r="H204" s="99">
        <f>IFERROR(GETPIVOTDATA("Value",TD_WEAP_RAW!$A$3,"Variable",H$2,"Escenario",H$1,"Branch","Demand Sites and Catchments\"&amp;$D204),0)</f>
        <v>0</v>
      </c>
      <c r="I204" s="99">
        <f>IFERROR(GETPIVOTDATA("Value",TD_WEAP_RAW!$A$3,"Variable",I$2,"Escenario",I$1,"Branch","Demand Sites and Catchments\"&amp;$D204),0)</f>
        <v>0</v>
      </c>
      <c r="J204" s="99">
        <f>IFERROR(GETPIVOTDATA("Value",TD_WEAP_RAW!$A$3,"Variable",J$2,"Escenario",J$1,"Branch","Demand Sites and Catchments\"&amp;$D204),0)</f>
        <v>0</v>
      </c>
      <c r="K204" s="99">
        <f>IFERROR(GETPIVOTDATA("Value",TD_WEAP_RAW!$A$3,"Variable",K$2,"Escenario",K$1,"Branch","Demand Sites and Catchments\"&amp;$D204),0)</f>
        <v>0</v>
      </c>
      <c r="L204" s="99">
        <f>IFERROR(GETPIVOTDATA("Value",TD_WEAP_RAW!$A$3,"Variable",L$2,"Escenario",L$1,"Branch","Demand Sites and Catchments\"&amp;$D204),0)</f>
        <v>0</v>
      </c>
    </row>
    <row r="205" spans="4:12">
      <c r="D205" s="53"/>
      <c r="E205" s="42"/>
      <c r="F205" s="42"/>
      <c r="G205" s="51"/>
      <c r="H205" s="99">
        <f>IFERROR(GETPIVOTDATA("Value",TD_WEAP_RAW!$A$3,"Variable",H$2,"Escenario",H$1,"Branch","Demand Sites and Catchments\"&amp;$D205),0)</f>
        <v>0</v>
      </c>
      <c r="I205" s="99">
        <f>IFERROR(GETPIVOTDATA("Value",TD_WEAP_RAW!$A$3,"Variable",I$2,"Escenario",I$1,"Branch","Demand Sites and Catchments\"&amp;$D205),0)</f>
        <v>0</v>
      </c>
      <c r="J205" s="99">
        <f>IFERROR(GETPIVOTDATA("Value",TD_WEAP_RAW!$A$3,"Variable",J$2,"Escenario",J$1,"Branch","Demand Sites and Catchments\"&amp;$D205),0)</f>
        <v>0</v>
      </c>
      <c r="K205" s="99">
        <f>IFERROR(GETPIVOTDATA("Value",TD_WEAP_RAW!$A$3,"Variable",K$2,"Escenario",K$1,"Branch","Demand Sites and Catchments\"&amp;$D205),0)</f>
        <v>0</v>
      </c>
      <c r="L205" s="99">
        <f>IFERROR(GETPIVOTDATA("Value",TD_WEAP_RAW!$A$3,"Variable",L$2,"Escenario",L$1,"Branch","Demand Sites and Catchments\"&amp;$D205),0)</f>
        <v>0</v>
      </c>
    </row>
    <row r="206" spans="4:12">
      <c r="D206" s="53"/>
      <c r="E206" s="42"/>
      <c r="F206" s="42"/>
      <c r="G206" s="51"/>
      <c r="H206" s="99">
        <f>IFERROR(GETPIVOTDATA("Value",TD_WEAP_RAW!$A$3,"Variable",H$2,"Escenario",H$1,"Branch","Demand Sites and Catchments\"&amp;$D206),0)</f>
        <v>0</v>
      </c>
      <c r="I206" s="99">
        <f>IFERROR(GETPIVOTDATA("Value",TD_WEAP_RAW!$A$3,"Variable",I$2,"Escenario",I$1,"Branch","Demand Sites and Catchments\"&amp;$D206),0)</f>
        <v>0</v>
      </c>
      <c r="J206" s="99">
        <f>IFERROR(GETPIVOTDATA("Value",TD_WEAP_RAW!$A$3,"Variable",J$2,"Escenario",J$1,"Branch","Demand Sites and Catchments\"&amp;$D206),0)</f>
        <v>0</v>
      </c>
      <c r="K206" s="99">
        <f>IFERROR(GETPIVOTDATA("Value",TD_WEAP_RAW!$A$3,"Variable",K$2,"Escenario",K$1,"Branch","Demand Sites and Catchments\"&amp;$D206),0)</f>
        <v>0</v>
      </c>
      <c r="L206" s="99">
        <f>IFERROR(GETPIVOTDATA("Value",TD_WEAP_RAW!$A$3,"Variable",L$2,"Escenario",L$1,"Branch","Demand Sites and Catchments\"&amp;$D206),0)</f>
        <v>0</v>
      </c>
    </row>
    <row r="207" spans="4:12">
      <c r="D207" s="53"/>
      <c r="E207" s="42"/>
      <c r="F207" s="42"/>
      <c r="G207" s="51"/>
      <c r="H207" s="99">
        <f>IFERROR(GETPIVOTDATA("Value",TD_WEAP_RAW!$A$3,"Variable",H$2,"Escenario",H$1,"Branch","Demand Sites and Catchments\"&amp;$D207),0)</f>
        <v>0</v>
      </c>
      <c r="I207" s="99">
        <f>IFERROR(GETPIVOTDATA("Value",TD_WEAP_RAW!$A$3,"Variable",I$2,"Escenario",I$1,"Branch","Demand Sites and Catchments\"&amp;$D207),0)</f>
        <v>0</v>
      </c>
      <c r="J207" s="99">
        <f>IFERROR(GETPIVOTDATA("Value",TD_WEAP_RAW!$A$3,"Variable",J$2,"Escenario",J$1,"Branch","Demand Sites and Catchments\"&amp;$D207),0)</f>
        <v>0</v>
      </c>
      <c r="K207" s="99">
        <f>IFERROR(GETPIVOTDATA("Value",TD_WEAP_RAW!$A$3,"Variable",K$2,"Escenario",K$1,"Branch","Demand Sites and Catchments\"&amp;$D207),0)</f>
        <v>0</v>
      </c>
      <c r="L207" s="99">
        <f>IFERROR(GETPIVOTDATA("Value",TD_WEAP_RAW!$A$3,"Variable",L$2,"Escenario",L$1,"Branch","Demand Sites and Catchments\"&amp;$D207),0)</f>
        <v>0</v>
      </c>
    </row>
    <row r="208" spans="4:12">
      <c r="D208" s="53"/>
      <c r="E208" s="42"/>
      <c r="F208" s="42"/>
      <c r="G208" s="51"/>
      <c r="H208" s="99">
        <f>IFERROR(GETPIVOTDATA("Value",TD_WEAP_RAW!$A$3,"Variable",H$2,"Escenario",H$1,"Branch","Demand Sites and Catchments\"&amp;$D208),0)</f>
        <v>0</v>
      </c>
      <c r="I208" s="99">
        <f>IFERROR(GETPIVOTDATA("Value",TD_WEAP_RAW!$A$3,"Variable",I$2,"Escenario",I$1,"Branch","Demand Sites and Catchments\"&amp;$D208),0)</f>
        <v>0</v>
      </c>
      <c r="J208" s="99">
        <f>IFERROR(GETPIVOTDATA("Value",TD_WEAP_RAW!$A$3,"Variable",J$2,"Escenario",J$1,"Branch","Demand Sites and Catchments\"&amp;$D208),0)</f>
        <v>0</v>
      </c>
      <c r="K208" s="99">
        <f>IFERROR(GETPIVOTDATA("Value",TD_WEAP_RAW!$A$3,"Variable",K$2,"Escenario",K$1,"Branch","Demand Sites and Catchments\"&amp;$D208),0)</f>
        <v>0</v>
      </c>
      <c r="L208" s="99">
        <f>IFERROR(GETPIVOTDATA("Value",TD_WEAP_RAW!$A$3,"Variable",L$2,"Escenario",L$1,"Branch","Demand Sites and Catchments\"&amp;$D208),0)</f>
        <v>0</v>
      </c>
    </row>
    <row r="209" spans="4:12">
      <c r="D209" s="53"/>
      <c r="E209" s="42"/>
      <c r="F209" s="42"/>
      <c r="G209" s="51"/>
      <c r="H209" s="99">
        <f>IFERROR(GETPIVOTDATA("Value",TD_WEAP_RAW!$A$3,"Variable",H$2,"Escenario",H$1,"Branch","Demand Sites and Catchments\"&amp;$D209),0)</f>
        <v>0</v>
      </c>
      <c r="I209" s="99">
        <f>IFERROR(GETPIVOTDATA("Value",TD_WEAP_RAW!$A$3,"Variable",I$2,"Escenario",I$1,"Branch","Demand Sites and Catchments\"&amp;$D209),0)</f>
        <v>0</v>
      </c>
      <c r="J209" s="99">
        <f>IFERROR(GETPIVOTDATA("Value",TD_WEAP_RAW!$A$3,"Variable",J$2,"Escenario",J$1,"Branch","Demand Sites and Catchments\"&amp;$D209),0)</f>
        <v>0</v>
      </c>
      <c r="K209" s="99">
        <f>IFERROR(GETPIVOTDATA("Value",TD_WEAP_RAW!$A$3,"Variable",K$2,"Escenario",K$1,"Branch","Demand Sites and Catchments\"&amp;$D209),0)</f>
        <v>0</v>
      </c>
      <c r="L209" s="99">
        <f>IFERROR(GETPIVOTDATA("Value",TD_WEAP_RAW!$A$3,"Variable",L$2,"Escenario",L$1,"Branch","Demand Sites and Catchments\"&amp;$D209),0)</f>
        <v>0</v>
      </c>
    </row>
    <row r="210" spans="4:12">
      <c r="D210" s="53"/>
      <c r="E210" s="42"/>
      <c r="F210" s="42"/>
      <c r="G210" s="51"/>
      <c r="H210" s="99">
        <f>IFERROR(GETPIVOTDATA("Value",TD_WEAP_RAW!$A$3,"Variable",H$2,"Escenario",H$1,"Branch","Demand Sites and Catchments\"&amp;$D210),0)</f>
        <v>0</v>
      </c>
      <c r="I210" s="99">
        <f>IFERROR(GETPIVOTDATA("Value",TD_WEAP_RAW!$A$3,"Variable",I$2,"Escenario",I$1,"Branch","Demand Sites and Catchments\"&amp;$D210),0)</f>
        <v>0</v>
      </c>
      <c r="J210" s="99">
        <f>IFERROR(GETPIVOTDATA("Value",TD_WEAP_RAW!$A$3,"Variable",J$2,"Escenario",J$1,"Branch","Demand Sites and Catchments\"&amp;$D210),0)</f>
        <v>0</v>
      </c>
      <c r="K210" s="99">
        <f>IFERROR(GETPIVOTDATA("Value",TD_WEAP_RAW!$A$3,"Variable",K$2,"Escenario",K$1,"Branch","Demand Sites and Catchments\"&amp;$D210),0)</f>
        <v>0</v>
      </c>
      <c r="L210" s="99">
        <f>IFERROR(GETPIVOTDATA("Value",TD_WEAP_RAW!$A$3,"Variable",L$2,"Escenario",L$1,"Branch","Demand Sites and Catchments\"&amp;$D210),0)</f>
        <v>0</v>
      </c>
    </row>
    <row r="211" spans="4:12">
      <c r="D211" s="53"/>
      <c r="E211" s="42"/>
      <c r="F211" s="42"/>
      <c r="G211" s="51"/>
      <c r="H211" s="99">
        <f>IFERROR(GETPIVOTDATA("Value",TD_WEAP_RAW!$A$3,"Variable",H$2,"Escenario",H$1,"Branch","Demand Sites and Catchments\"&amp;$D211),0)</f>
        <v>0</v>
      </c>
      <c r="I211" s="99">
        <f>IFERROR(GETPIVOTDATA("Value",TD_WEAP_RAW!$A$3,"Variable",I$2,"Escenario",I$1,"Branch","Demand Sites and Catchments\"&amp;$D211),0)</f>
        <v>0</v>
      </c>
      <c r="J211" s="99">
        <f>IFERROR(GETPIVOTDATA("Value",TD_WEAP_RAW!$A$3,"Variable",J$2,"Escenario",J$1,"Branch","Demand Sites and Catchments\"&amp;$D211),0)</f>
        <v>0</v>
      </c>
      <c r="K211" s="99">
        <f>IFERROR(GETPIVOTDATA("Value",TD_WEAP_RAW!$A$3,"Variable",K$2,"Escenario",K$1,"Branch","Demand Sites and Catchments\"&amp;$D211),0)</f>
        <v>0</v>
      </c>
      <c r="L211" s="99">
        <f>IFERROR(GETPIVOTDATA("Value",TD_WEAP_RAW!$A$3,"Variable",L$2,"Escenario",L$1,"Branch","Demand Sites and Catchments\"&amp;$D211),0)</f>
        <v>0</v>
      </c>
    </row>
    <row r="212" spans="4:12">
      <c r="D212" s="53"/>
      <c r="E212" s="42"/>
      <c r="F212" s="42"/>
      <c r="G212" s="51"/>
      <c r="H212" s="99">
        <f>IFERROR(GETPIVOTDATA("Value",TD_WEAP_RAW!$A$3,"Variable",H$2,"Escenario",H$1,"Branch","Demand Sites and Catchments\"&amp;$D212),0)</f>
        <v>0</v>
      </c>
      <c r="I212" s="99">
        <f>IFERROR(GETPIVOTDATA("Value",TD_WEAP_RAW!$A$3,"Variable",I$2,"Escenario",I$1,"Branch","Demand Sites and Catchments\"&amp;$D212),0)</f>
        <v>0</v>
      </c>
      <c r="J212" s="99">
        <f>IFERROR(GETPIVOTDATA("Value",TD_WEAP_RAW!$A$3,"Variable",J$2,"Escenario",J$1,"Branch","Demand Sites and Catchments\"&amp;$D212),0)</f>
        <v>0</v>
      </c>
      <c r="K212" s="99">
        <f>IFERROR(GETPIVOTDATA("Value",TD_WEAP_RAW!$A$3,"Variable",K$2,"Escenario",K$1,"Branch","Demand Sites and Catchments\"&amp;$D212),0)</f>
        <v>0</v>
      </c>
      <c r="L212" s="99">
        <f>IFERROR(GETPIVOTDATA("Value",TD_WEAP_RAW!$A$3,"Variable",L$2,"Escenario",L$1,"Branch","Demand Sites and Catchments\"&amp;$D212),0)</f>
        <v>0</v>
      </c>
    </row>
    <row r="213" spans="4:12">
      <c r="D213" s="53"/>
      <c r="E213" s="42"/>
      <c r="F213" s="42"/>
      <c r="G213" s="51"/>
      <c r="H213" s="99">
        <f>IFERROR(GETPIVOTDATA("Value",TD_WEAP_RAW!$A$3,"Variable",H$2,"Escenario",H$1,"Branch","Demand Sites and Catchments\"&amp;$D213),0)</f>
        <v>0</v>
      </c>
      <c r="I213" s="99">
        <f>IFERROR(GETPIVOTDATA("Value",TD_WEAP_RAW!$A$3,"Variable",I$2,"Escenario",I$1,"Branch","Demand Sites and Catchments\"&amp;$D213),0)</f>
        <v>0</v>
      </c>
      <c r="J213" s="99">
        <f>IFERROR(GETPIVOTDATA("Value",TD_WEAP_RAW!$A$3,"Variable",J$2,"Escenario",J$1,"Branch","Demand Sites and Catchments\"&amp;$D213),0)</f>
        <v>0</v>
      </c>
      <c r="K213" s="99">
        <f>IFERROR(GETPIVOTDATA("Value",TD_WEAP_RAW!$A$3,"Variable",K$2,"Escenario",K$1,"Branch","Demand Sites and Catchments\"&amp;$D213),0)</f>
        <v>0</v>
      </c>
      <c r="L213" s="99">
        <f>IFERROR(GETPIVOTDATA("Value",TD_WEAP_RAW!$A$3,"Variable",L$2,"Escenario",L$1,"Branch","Demand Sites and Catchments\"&amp;$D213),0)</f>
        <v>0</v>
      </c>
    </row>
    <row r="214" spans="4:12">
      <c r="D214" s="53"/>
      <c r="E214" s="42"/>
      <c r="F214" s="42"/>
      <c r="G214" s="51"/>
      <c r="H214" s="99">
        <f>IFERROR(GETPIVOTDATA("Value",TD_WEAP_RAW!$A$3,"Variable",H$2,"Escenario",H$1,"Branch","Demand Sites and Catchments\"&amp;$D214),0)</f>
        <v>0</v>
      </c>
      <c r="I214" s="99">
        <f>IFERROR(GETPIVOTDATA("Value",TD_WEAP_RAW!$A$3,"Variable",I$2,"Escenario",I$1,"Branch","Demand Sites and Catchments\"&amp;$D214),0)</f>
        <v>0</v>
      </c>
      <c r="J214" s="99">
        <f>IFERROR(GETPIVOTDATA("Value",TD_WEAP_RAW!$A$3,"Variable",J$2,"Escenario",J$1,"Branch","Demand Sites and Catchments\"&amp;$D214),0)</f>
        <v>0</v>
      </c>
      <c r="K214" s="99">
        <f>IFERROR(GETPIVOTDATA("Value",TD_WEAP_RAW!$A$3,"Variable",K$2,"Escenario",K$1,"Branch","Demand Sites and Catchments\"&amp;$D214),0)</f>
        <v>0</v>
      </c>
      <c r="L214" s="99">
        <f>IFERROR(GETPIVOTDATA("Value",TD_WEAP_RAW!$A$3,"Variable",L$2,"Escenario",L$1,"Branch","Demand Sites and Catchments\"&amp;$D214),0)</f>
        <v>0</v>
      </c>
    </row>
    <row r="215" spans="4:12">
      <c r="D215" s="53"/>
      <c r="E215" s="42"/>
      <c r="F215" s="42"/>
      <c r="G215" s="51"/>
      <c r="H215" s="99">
        <f>IFERROR(GETPIVOTDATA("Value",TD_WEAP_RAW!$A$3,"Variable",H$2,"Escenario",H$1,"Branch","Demand Sites and Catchments\"&amp;$D215),0)</f>
        <v>0</v>
      </c>
      <c r="I215" s="99">
        <f>IFERROR(GETPIVOTDATA("Value",TD_WEAP_RAW!$A$3,"Variable",I$2,"Escenario",I$1,"Branch","Demand Sites and Catchments\"&amp;$D215),0)</f>
        <v>0</v>
      </c>
      <c r="J215" s="99">
        <f>IFERROR(GETPIVOTDATA("Value",TD_WEAP_RAW!$A$3,"Variable",J$2,"Escenario",J$1,"Branch","Demand Sites and Catchments\"&amp;$D215),0)</f>
        <v>0</v>
      </c>
      <c r="K215" s="99">
        <f>IFERROR(GETPIVOTDATA("Value",TD_WEAP_RAW!$A$3,"Variable",K$2,"Escenario",K$1,"Branch","Demand Sites and Catchments\"&amp;$D215),0)</f>
        <v>0</v>
      </c>
      <c r="L215" s="99">
        <f>IFERROR(GETPIVOTDATA("Value",TD_WEAP_RAW!$A$3,"Variable",L$2,"Escenario",L$1,"Branch","Demand Sites and Catchments\"&amp;$D215),0)</f>
        <v>0</v>
      </c>
    </row>
    <row r="216" spans="4:12">
      <c r="D216" s="53"/>
      <c r="E216" s="42"/>
      <c r="F216" s="42"/>
      <c r="G216" s="51"/>
      <c r="H216" s="99">
        <f>IFERROR(GETPIVOTDATA("Value",TD_WEAP_RAW!$A$3,"Variable",H$2,"Escenario",H$1,"Branch","Demand Sites and Catchments\"&amp;$D216),0)</f>
        <v>0</v>
      </c>
      <c r="I216" s="99">
        <f>IFERROR(GETPIVOTDATA("Value",TD_WEAP_RAW!$A$3,"Variable",I$2,"Escenario",I$1,"Branch","Demand Sites and Catchments\"&amp;$D216),0)</f>
        <v>0</v>
      </c>
      <c r="J216" s="99">
        <f>IFERROR(GETPIVOTDATA("Value",TD_WEAP_RAW!$A$3,"Variable",J$2,"Escenario",J$1,"Branch","Demand Sites and Catchments\"&amp;$D216),0)</f>
        <v>0</v>
      </c>
      <c r="K216" s="99">
        <f>IFERROR(GETPIVOTDATA("Value",TD_WEAP_RAW!$A$3,"Variable",K$2,"Escenario",K$1,"Branch","Demand Sites and Catchments\"&amp;$D216),0)</f>
        <v>0</v>
      </c>
      <c r="L216" s="99">
        <f>IFERROR(GETPIVOTDATA("Value",TD_WEAP_RAW!$A$3,"Variable",L$2,"Escenario",L$1,"Branch","Demand Sites and Catchments\"&amp;$D216),0)</f>
        <v>0</v>
      </c>
    </row>
    <row r="217" spans="4:12">
      <c r="D217" s="53"/>
      <c r="E217" s="42"/>
      <c r="F217" s="42"/>
      <c r="G217" s="51"/>
      <c r="H217" s="99">
        <f>IFERROR(GETPIVOTDATA("Value",TD_WEAP_RAW!$A$3,"Variable",H$2,"Escenario",H$1,"Branch","Demand Sites and Catchments\"&amp;$D217),0)</f>
        <v>0</v>
      </c>
      <c r="I217" s="99">
        <f>IFERROR(GETPIVOTDATA("Value",TD_WEAP_RAW!$A$3,"Variable",I$2,"Escenario",I$1,"Branch","Demand Sites and Catchments\"&amp;$D217),0)</f>
        <v>0</v>
      </c>
      <c r="J217" s="99">
        <f>IFERROR(GETPIVOTDATA("Value",TD_WEAP_RAW!$A$3,"Variable",J$2,"Escenario",J$1,"Branch","Demand Sites and Catchments\"&amp;$D217),0)</f>
        <v>0</v>
      </c>
      <c r="K217" s="99">
        <f>IFERROR(GETPIVOTDATA("Value",TD_WEAP_RAW!$A$3,"Variable",K$2,"Escenario",K$1,"Branch","Demand Sites and Catchments\"&amp;$D217),0)</f>
        <v>0</v>
      </c>
      <c r="L217" s="99">
        <f>IFERROR(GETPIVOTDATA("Value",TD_WEAP_RAW!$A$3,"Variable",L$2,"Escenario",L$1,"Branch","Demand Sites and Catchments\"&amp;$D217),0)</f>
        <v>0</v>
      </c>
    </row>
    <row r="218" spans="4:12">
      <c r="D218" s="53"/>
      <c r="E218" s="42"/>
      <c r="F218" s="42"/>
      <c r="G218" s="51"/>
      <c r="H218" s="99">
        <f>IFERROR(GETPIVOTDATA("Value",TD_WEAP_RAW!$A$3,"Variable",H$2,"Escenario",H$1,"Branch","Demand Sites and Catchments\"&amp;$D218),0)</f>
        <v>0</v>
      </c>
      <c r="I218" s="99">
        <f>IFERROR(GETPIVOTDATA("Value",TD_WEAP_RAW!$A$3,"Variable",I$2,"Escenario",I$1,"Branch","Demand Sites and Catchments\"&amp;$D218),0)</f>
        <v>0</v>
      </c>
      <c r="J218" s="99">
        <f>IFERROR(GETPIVOTDATA("Value",TD_WEAP_RAW!$A$3,"Variable",J$2,"Escenario",J$1,"Branch","Demand Sites and Catchments\"&amp;$D218),0)</f>
        <v>0</v>
      </c>
      <c r="K218" s="99">
        <f>IFERROR(GETPIVOTDATA("Value",TD_WEAP_RAW!$A$3,"Variable",K$2,"Escenario",K$1,"Branch","Demand Sites and Catchments\"&amp;$D218),0)</f>
        <v>0</v>
      </c>
      <c r="L218" s="99">
        <f>IFERROR(GETPIVOTDATA("Value",TD_WEAP_RAW!$A$3,"Variable",L$2,"Escenario",L$1,"Branch","Demand Sites and Catchments\"&amp;$D218),0)</f>
        <v>0</v>
      </c>
    </row>
    <row r="219" spans="4:12">
      <c r="D219" s="53"/>
      <c r="E219" s="42"/>
      <c r="F219" s="42"/>
      <c r="G219" s="51"/>
      <c r="H219" s="99">
        <f>IFERROR(GETPIVOTDATA("Value",TD_WEAP_RAW!$A$3,"Variable",H$2,"Escenario",H$1,"Branch","Demand Sites and Catchments\"&amp;$D219),0)</f>
        <v>0</v>
      </c>
      <c r="I219" s="99">
        <f>IFERROR(GETPIVOTDATA("Value",TD_WEAP_RAW!$A$3,"Variable",I$2,"Escenario",I$1,"Branch","Demand Sites and Catchments\"&amp;$D219),0)</f>
        <v>0</v>
      </c>
      <c r="J219" s="99">
        <f>IFERROR(GETPIVOTDATA("Value",TD_WEAP_RAW!$A$3,"Variable",J$2,"Escenario",J$1,"Branch","Demand Sites and Catchments\"&amp;$D219),0)</f>
        <v>0</v>
      </c>
      <c r="K219" s="99">
        <f>IFERROR(GETPIVOTDATA("Value",TD_WEAP_RAW!$A$3,"Variable",K$2,"Escenario",K$1,"Branch","Demand Sites and Catchments\"&amp;$D219),0)</f>
        <v>0</v>
      </c>
      <c r="L219" s="99">
        <f>IFERROR(GETPIVOTDATA("Value",TD_WEAP_RAW!$A$3,"Variable",L$2,"Escenario",L$1,"Branch","Demand Sites and Catchments\"&amp;$D219),0)</f>
        <v>0</v>
      </c>
    </row>
    <row r="220" spans="4:12">
      <c r="D220" s="53"/>
      <c r="E220" s="42"/>
      <c r="F220" s="42"/>
      <c r="G220" s="51"/>
      <c r="H220" s="99">
        <f>IFERROR(GETPIVOTDATA("Value",TD_WEAP_RAW!$A$3,"Variable",H$2,"Escenario",H$1,"Branch","Demand Sites and Catchments\"&amp;$D220),0)</f>
        <v>0</v>
      </c>
      <c r="I220" s="99">
        <f>IFERROR(GETPIVOTDATA("Value",TD_WEAP_RAW!$A$3,"Variable",I$2,"Escenario",I$1,"Branch","Demand Sites and Catchments\"&amp;$D220),0)</f>
        <v>0</v>
      </c>
      <c r="J220" s="99">
        <f>IFERROR(GETPIVOTDATA("Value",TD_WEAP_RAW!$A$3,"Variable",J$2,"Escenario",J$1,"Branch","Demand Sites and Catchments\"&amp;$D220),0)</f>
        <v>0</v>
      </c>
      <c r="K220" s="99">
        <f>IFERROR(GETPIVOTDATA("Value",TD_WEAP_RAW!$A$3,"Variable",K$2,"Escenario",K$1,"Branch","Demand Sites and Catchments\"&amp;$D220),0)</f>
        <v>0</v>
      </c>
      <c r="L220" s="99">
        <f>IFERROR(GETPIVOTDATA("Value",TD_WEAP_RAW!$A$3,"Variable",L$2,"Escenario",L$1,"Branch","Demand Sites and Catchments\"&amp;$D220),0)</f>
        <v>0</v>
      </c>
    </row>
    <row r="221" spans="4:12">
      <c r="D221" s="53"/>
      <c r="E221" s="42"/>
      <c r="F221" s="42"/>
      <c r="G221" s="51"/>
      <c r="H221" s="99">
        <f>IFERROR(GETPIVOTDATA("Value",TD_WEAP_RAW!$A$3,"Variable",H$2,"Escenario",H$1,"Branch","Demand Sites and Catchments\"&amp;$D221),0)</f>
        <v>0</v>
      </c>
      <c r="I221" s="99">
        <f>IFERROR(GETPIVOTDATA("Value",TD_WEAP_RAW!$A$3,"Variable",I$2,"Escenario",I$1,"Branch","Demand Sites and Catchments\"&amp;$D221),0)</f>
        <v>0</v>
      </c>
      <c r="J221" s="99">
        <f>IFERROR(GETPIVOTDATA("Value",TD_WEAP_RAW!$A$3,"Variable",J$2,"Escenario",J$1,"Branch","Demand Sites and Catchments\"&amp;$D221),0)</f>
        <v>0</v>
      </c>
      <c r="K221" s="99">
        <f>IFERROR(GETPIVOTDATA("Value",TD_WEAP_RAW!$A$3,"Variable",K$2,"Escenario",K$1,"Branch","Demand Sites and Catchments\"&amp;$D221),0)</f>
        <v>0</v>
      </c>
      <c r="L221" s="99">
        <f>IFERROR(GETPIVOTDATA("Value",TD_WEAP_RAW!$A$3,"Variable",L$2,"Escenario",L$1,"Branch","Demand Sites and Catchments\"&amp;$D221),0)</f>
        <v>0</v>
      </c>
    </row>
    <row r="222" spans="4:12">
      <c r="D222" s="53"/>
      <c r="E222" s="42"/>
      <c r="F222" s="42"/>
      <c r="G222" s="51"/>
      <c r="H222" s="99">
        <f>IFERROR(GETPIVOTDATA("Value",TD_WEAP_RAW!$A$3,"Variable",H$2,"Escenario",H$1,"Branch","Demand Sites and Catchments\"&amp;$D222),0)</f>
        <v>0</v>
      </c>
      <c r="I222" s="99">
        <f>IFERROR(GETPIVOTDATA("Value",TD_WEAP_RAW!$A$3,"Variable",I$2,"Escenario",I$1,"Branch","Demand Sites and Catchments\"&amp;$D222),0)</f>
        <v>0</v>
      </c>
      <c r="J222" s="99">
        <f>IFERROR(GETPIVOTDATA("Value",TD_WEAP_RAW!$A$3,"Variable",J$2,"Escenario",J$1,"Branch","Demand Sites and Catchments\"&amp;$D222),0)</f>
        <v>0</v>
      </c>
      <c r="K222" s="99">
        <f>IFERROR(GETPIVOTDATA("Value",TD_WEAP_RAW!$A$3,"Variable",K$2,"Escenario",K$1,"Branch","Demand Sites and Catchments\"&amp;$D222),0)</f>
        <v>0</v>
      </c>
      <c r="L222" s="99">
        <f>IFERROR(GETPIVOTDATA("Value",TD_WEAP_RAW!$A$3,"Variable",L$2,"Escenario",L$1,"Branch","Demand Sites and Catchments\"&amp;$D222),0)</f>
        <v>0</v>
      </c>
    </row>
    <row r="223" spans="4:12">
      <c r="D223" s="53"/>
      <c r="E223" s="42"/>
      <c r="F223" s="42"/>
      <c r="G223" s="51"/>
      <c r="H223" s="99">
        <f>IFERROR(GETPIVOTDATA("Value",TD_WEAP_RAW!$A$3,"Variable",H$2,"Escenario",H$1,"Branch","Demand Sites and Catchments\"&amp;$D223),0)</f>
        <v>0</v>
      </c>
      <c r="I223" s="99">
        <f>IFERROR(GETPIVOTDATA("Value",TD_WEAP_RAW!$A$3,"Variable",I$2,"Escenario",I$1,"Branch","Demand Sites and Catchments\"&amp;$D223),0)</f>
        <v>0</v>
      </c>
      <c r="J223" s="99">
        <f>IFERROR(GETPIVOTDATA("Value",TD_WEAP_RAW!$A$3,"Variable",J$2,"Escenario",J$1,"Branch","Demand Sites and Catchments\"&amp;$D223),0)</f>
        <v>0</v>
      </c>
      <c r="K223" s="99">
        <f>IFERROR(GETPIVOTDATA("Value",TD_WEAP_RAW!$A$3,"Variable",K$2,"Escenario",K$1,"Branch","Demand Sites and Catchments\"&amp;$D223),0)</f>
        <v>0</v>
      </c>
      <c r="L223" s="99">
        <f>IFERROR(GETPIVOTDATA("Value",TD_WEAP_RAW!$A$3,"Variable",L$2,"Escenario",L$1,"Branch","Demand Sites and Catchments\"&amp;$D223),0)</f>
        <v>0</v>
      </c>
    </row>
    <row r="224" spans="4:12">
      <c r="D224" s="53"/>
      <c r="E224" s="42"/>
      <c r="F224" s="42"/>
      <c r="G224" s="51"/>
      <c r="H224" s="99">
        <f>IFERROR(GETPIVOTDATA("Value",TD_WEAP_RAW!$A$3,"Variable",H$2,"Escenario",H$1,"Branch","Demand Sites and Catchments\"&amp;$D224),0)</f>
        <v>0</v>
      </c>
      <c r="I224" s="99">
        <f>IFERROR(GETPIVOTDATA("Value",TD_WEAP_RAW!$A$3,"Variable",I$2,"Escenario",I$1,"Branch","Demand Sites and Catchments\"&amp;$D224),0)</f>
        <v>0</v>
      </c>
      <c r="J224" s="99">
        <f>IFERROR(GETPIVOTDATA("Value",TD_WEAP_RAW!$A$3,"Variable",J$2,"Escenario",J$1,"Branch","Demand Sites and Catchments\"&amp;$D224),0)</f>
        <v>0</v>
      </c>
      <c r="K224" s="99">
        <f>IFERROR(GETPIVOTDATA("Value",TD_WEAP_RAW!$A$3,"Variable",K$2,"Escenario",K$1,"Branch","Demand Sites and Catchments\"&amp;$D224),0)</f>
        <v>0</v>
      </c>
      <c r="L224" s="99">
        <f>IFERROR(GETPIVOTDATA("Value",TD_WEAP_RAW!$A$3,"Variable",L$2,"Escenario",L$1,"Branch","Demand Sites and Catchments\"&amp;$D224),0)</f>
        <v>0</v>
      </c>
    </row>
    <row r="225" spans="4:12">
      <c r="D225" s="53"/>
      <c r="E225" s="42"/>
      <c r="F225" s="42"/>
      <c r="G225" s="51"/>
      <c r="H225" s="99">
        <f>IFERROR(GETPIVOTDATA("Value",TD_WEAP_RAW!$A$3,"Variable",H$2,"Escenario",H$1,"Branch","Demand Sites and Catchments\"&amp;$D225),0)</f>
        <v>0</v>
      </c>
      <c r="I225" s="99">
        <f>IFERROR(GETPIVOTDATA("Value",TD_WEAP_RAW!$A$3,"Variable",I$2,"Escenario",I$1,"Branch","Demand Sites and Catchments\"&amp;$D225),0)</f>
        <v>0</v>
      </c>
      <c r="J225" s="99">
        <f>IFERROR(GETPIVOTDATA("Value",TD_WEAP_RAW!$A$3,"Variable",J$2,"Escenario",J$1,"Branch","Demand Sites and Catchments\"&amp;$D225),0)</f>
        <v>0</v>
      </c>
      <c r="K225" s="99">
        <f>IFERROR(GETPIVOTDATA("Value",TD_WEAP_RAW!$A$3,"Variable",K$2,"Escenario",K$1,"Branch","Demand Sites and Catchments\"&amp;$D225),0)</f>
        <v>0</v>
      </c>
      <c r="L225" s="99">
        <f>IFERROR(GETPIVOTDATA("Value",TD_WEAP_RAW!$A$3,"Variable",L$2,"Escenario",L$1,"Branch","Demand Sites and Catchments\"&amp;$D225),0)</f>
        <v>0</v>
      </c>
    </row>
    <row r="226" spans="4:12">
      <c r="D226" s="53"/>
      <c r="E226" s="42"/>
      <c r="F226" s="42"/>
      <c r="G226" s="51"/>
      <c r="H226" s="99">
        <f>IFERROR(GETPIVOTDATA("Value",TD_WEAP_RAW!$A$3,"Variable",H$2,"Escenario",H$1,"Branch","Demand Sites and Catchments\"&amp;$D226),0)</f>
        <v>0</v>
      </c>
      <c r="I226" s="99">
        <f>IFERROR(GETPIVOTDATA("Value",TD_WEAP_RAW!$A$3,"Variable",I$2,"Escenario",I$1,"Branch","Demand Sites and Catchments\"&amp;$D226),0)</f>
        <v>0</v>
      </c>
      <c r="J226" s="99">
        <f>IFERROR(GETPIVOTDATA("Value",TD_WEAP_RAW!$A$3,"Variable",J$2,"Escenario",J$1,"Branch","Demand Sites and Catchments\"&amp;$D226),0)</f>
        <v>0</v>
      </c>
      <c r="K226" s="99">
        <f>IFERROR(GETPIVOTDATA("Value",TD_WEAP_RAW!$A$3,"Variable",K$2,"Escenario",K$1,"Branch","Demand Sites and Catchments\"&amp;$D226),0)</f>
        <v>0</v>
      </c>
      <c r="L226" s="99">
        <f>IFERROR(GETPIVOTDATA("Value",TD_WEAP_RAW!$A$3,"Variable",L$2,"Escenario",L$1,"Branch","Demand Sites and Catchments\"&amp;$D226),0)</f>
        <v>0</v>
      </c>
    </row>
    <row r="227" spans="4:12">
      <c r="D227" s="53"/>
      <c r="E227" s="42"/>
      <c r="F227" s="42"/>
      <c r="G227" s="51"/>
      <c r="H227" s="99">
        <f>IFERROR(GETPIVOTDATA("Value",TD_WEAP_RAW!$A$3,"Variable",H$2,"Escenario",H$1,"Branch","Demand Sites and Catchments\"&amp;$D227),0)</f>
        <v>0</v>
      </c>
      <c r="I227" s="99">
        <f>IFERROR(GETPIVOTDATA("Value",TD_WEAP_RAW!$A$3,"Variable",I$2,"Escenario",I$1,"Branch","Demand Sites and Catchments\"&amp;$D227),0)</f>
        <v>0</v>
      </c>
      <c r="J227" s="99">
        <f>IFERROR(GETPIVOTDATA("Value",TD_WEAP_RAW!$A$3,"Variable",J$2,"Escenario",J$1,"Branch","Demand Sites and Catchments\"&amp;$D227),0)</f>
        <v>0</v>
      </c>
      <c r="K227" s="99">
        <f>IFERROR(GETPIVOTDATA("Value",TD_WEAP_RAW!$A$3,"Variable",K$2,"Escenario",K$1,"Branch","Demand Sites and Catchments\"&amp;$D227),0)</f>
        <v>0</v>
      </c>
      <c r="L227" s="99">
        <f>IFERROR(GETPIVOTDATA("Value",TD_WEAP_RAW!$A$3,"Variable",L$2,"Escenario",L$1,"Branch","Demand Sites and Catchments\"&amp;$D227),0)</f>
        <v>0</v>
      </c>
    </row>
    <row r="228" spans="4:12">
      <c r="D228" s="53"/>
      <c r="E228" s="42"/>
      <c r="F228" s="42"/>
      <c r="G228" s="51"/>
      <c r="H228" s="99">
        <f>IFERROR(GETPIVOTDATA("Value",TD_WEAP_RAW!$A$3,"Variable",H$2,"Escenario",H$1,"Branch","Demand Sites and Catchments\"&amp;$D228),0)</f>
        <v>0</v>
      </c>
      <c r="I228" s="99">
        <f>IFERROR(GETPIVOTDATA("Value",TD_WEAP_RAW!$A$3,"Variable",I$2,"Escenario",I$1,"Branch","Demand Sites and Catchments\"&amp;$D228),0)</f>
        <v>0</v>
      </c>
      <c r="J228" s="99">
        <f>IFERROR(GETPIVOTDATA("Value",TD_WEAP_RAW!$A$3,"Variable",J$2,"Escenario",J$1,"Branch","Demand Sites and Catchments\"&amp;$D228),0)</f>
        <v>0</v>
      </c>
      <c r="K228" s="99">
        <f>IFERROR(GETPIVOTDATA("Value",TD_WEAP_RAW!$A$3,"Variable",K$2,"Escenario",K$1,"Branch","Demand Sites and Catchments\"&amp;$D228),0)</f>
        <v>0</v>
      </c>
      <c r="L228" s="99">
        <f>IFERROR(GETPIVOTDATA("Value",TD_WEAP_RAW!$A$3,"Variable",L$2,"Escenario",L$1,"Branch","Demand Sites and Catchments\"&amp;$D228),0)</f>
        <v>0</v>
      </c>
    </row>
    <row r="229" spans="4:12">
      <c r="D229" s="53"/>
      <c r="E229" s="42"/>
      <c r="F229" s="42"/>
      <c r="G229" s="51"/>
      <c r="H229" s="99">
        <f>IFERROR(GETPIVOTDATA("Value",TD_WEAP_RAW!$A$3,"Variable",H$2,"Escenario",H$1,"Branch","Demand Sites and Catchments\"&amp;$D229),0)</f>
        <v>0</v>
      </c>
      <c r="I229" s="99">
        <f>IFERROR(GETPIVOTDATA("Value",TD_WEAP_RAW!$A$3,"Variable",I$2,"Escenario",I$1,"Branch","Demand Sites and Catchments\"&amp;$D229),0)</f>
        <v>0</v>
      </c>
      <c r="J229" s="99">
        <f>IFERROR(GETPIVOTDATA("Value",TD_WEAP_RAW!$A$3,"Variable",J$2,"Escenario",J$1,"Branch","Demand Sites and Catchments\"&amp;$D229),0)</f>
        <v>0</v>
      </c>
      <c r="K229" s="99">
        <f>IFERROR(GETPIVOTDATA("Value",TD_WEAP_RAW!$A$3,"Variable",K$2,"Escenario",K$1,"Branch","Demand Sites and Catchments\"&amp;$D229),0)</f>
        <v>0</v>
      </c>
      <c r="L229" s="99">
        <f>IFERROR(GETPIVOTDATA("Value",TD_WEAP_RAW!$A$3,"Variable",L$2,"Escenario",L$1,"Branch","Demand Sites and Catchments\"&amp;$D229),0)</f>
        <v>0</v>
      </c>
    </row>
    <row r="230" spans="4:12">
      <c r="D230" s="53"/>
      <c r="E230" s="42"/>
      <c r="F230" s="42"/>
      <c r="G230" s="51"/>
      <c r="H230" s="99">
        <f>IFERROR(GETPIVOTDATA("Value",TD_WEAP_RAW!$A$3,"Variable",H$2,"Escenario",H$1,"Branch","Demand Sites and Catchments\"&amp;$D230),0)</f>
        <v>0</v>
      </c>
      <c r="I230" s="99">
        <f>IFERROR(GETPIVOTDATA("Value",TD_WEAP_RAW!$A$3,"Variable",I$2,"Escenario",I$1,"Branch","Demand Sites and Catchments\"&amp;$D230),0)</f>
        <v>0</v>
      </c>
      <c r="J230" s="99">
        <f>IFERROR(GETPIVOTDATA("Value",TD_WEAP_RAW!$A$3,"Variable",J$2,"Escenario",J$1,"Branch","Demand Sites and Catchments\"&amp;$D230),0)</f>
        <v>0</v>
      </c>
      <c r="K230" s="99">
        <f>IFERROR(GETPIVOTDATA("Value",TD_WEAP_RAW!$A$3,"Variable",K$2,"Escenario",K$1,"Branch","Demand Sites and Catchments\"&amp;$D230),0)</f>
        <v>0</v>
      </c>
      <c r="L230" s="99">
        <f>IFERROR(GETPIVOTDATA("Value",TD_WEAP_RAW!$A$3,"Variable",L$2,"Escenario",L$1,"Branch","Demand Sites and Catchments\"&amp;$D230),0)</f>
        <v>0</v>
      </c>
    </row>
    <row r="231" spans="4:12">
      <c r="D231" s="53"/>
      <c r="E231" s="42"/>
      <c r="F231" s="42"/>
      <c r="G231" s="51"/>
      <c r="H231" s="99">
        <f>IFERROR(GETPIVOTDATA("Value",TD_WEAP_RAW!$A$3,"Variable",H$2,"Escenario",H$1,"Branch","Demand Sites and Catchments\"&amp;$D231),0)</f>
        <v>0</v>
      </c>
      <c r="I231" s="99">
        <f>IFERROR(GETPIVOTDATA("Value",TD_WEAP_RAW!$A$3,"Variable",I$2,"Escenario",I$1,"Branch","Demand Sites and Catchments\"&amp;$D231),0)</f>
        <v>0</v>
      </c>
      <c r="J231" s="99">
        <f>IFERROR(GETPIVOTDATA("Value",TD_WEAP_RAW!$A$3,"Variable",J$2,"Escenario",J$1,"Branch","Demand Sites and Catchments\"&amp;$D231),0)</f>
        <v>0</v>
      </c>
      <c r="K231" s="99">
        <f>IFERROR(GETPIVOTDATA("Value",TD_WEAP_RAW!$A$3,"Variable",K$2,"Escenario",K$1,"Branch","Demand Sites and Catchments\"&amp;$D231),0)</f>
        <v>0</v>
      </c>
      <c r="L231" s="99">
        <f>IFERROR(GETPIVOTDATA("Value",TD_WEAP_RAW!$A$3,"Variable",L$2,"Escenario",L$1,"Branch","Demand Sites and Catchments\"&amp;$D231),0)</f>
        <v>0</v>
      </c>
    </row>
    <row r="232" spans="4:12">
      <c r="D232" s="53"/>
      <c r="E232" s="42"/>
      <c r="F232" s="42"/>
      <c r="G232" s="51"/>
      <c r="H232" s="99">
        <f>IFERROR(GETPIVOTDATA("Value",TD_WEAP_RAW!$A$3,"Variable",H$2,"Escenario",H$1,"Branch","Demand Sites and Catchments\"&amp;$D232),0)</f>
        <v>0</v>
      </c>
      <c r="I232" s="99">
        <f>IFERROR(GETPIVOTDATA("Value",TD_WEAP_RAW!$A$3,"Variable",I$2,"Escenario",I$1,"Branch","Demand Sites and Catchments\"&amp;$D232),0)</f>
        <v>0</v>
      </c>
      <c r="J232" s="99">
        <f>IFERROR(GETPIVOTDATA("Value",TD_WEAP_RAW!$A$3,"Variable",J$2,"Escenario",J$1,"Branch","Demand Sites and Catchments\"&amp;$D232),0)</f>
        <v>0</v>
      </c>
      <c r="K232" s="99">
        <f>IFERROR(GETPIVOTDATA("Value",TD_WEAP_RAW!$A$3,"Variable",K$2,"Escenario",K$1,"Branch","Demand Sites and Catchments\"&amp;$D232),0)</f>
        <v>0</v>
      </c>
      <c r="L232" s="99">
        <f>IFERROR(GETPIVOTDATA("Value",TD_WEAP_RAW!$A$3,"Variable",L$2,"Escenario",L$1,"Branch","Demand Sites and Catchments\"&amp;$D232),0)</f>
        <v>0</v>
      </c>
    </row>
    <row r="233" spans="4:12">
      <c r="D233" s="53"/>
      <c r="E233" s="42"/>
      <c r="F233" s="42"/>
      <c r="G233" s="51"/>
      <c r="H233" s="99">
        <f>IFERROR(GETPIVOTDATA("Value",TD_WEAP_RAW!$A$3,"Variable",H$2,"Escenario",H$1,"Branch","Demand Sites and Catchments\"&amp;$D233),0)</f>
        <v>0</v>
      </c>
      <c r="I233" s="99">
        <f>IFERROR(GETPIVOTDATA("Value",TD_WEAP_RAW!$A$3,"Variable",I$2,"Escenario",I$1,"Branch","Demand Sites and Catchments\"&amp;$D233),0)</f>
        <v>0</v>
      </c>
      <c r="J233" s="99">
        <f>IFERROR(GETPIVOTDATA("Value",TD_WEAP_RAW!$A$3,"Variable",J$2,"Escenario",J$1,"Branch","Demand Sites and Catchments\"&amp;$D233),0)</f>
        <v>0</v>
      </c>
      <c r="K233" s="99">
        <f>IFERROR(GETPIVOTDATA("Value",TD_WEAP_RAW!$A$3,"Variable",K$2,"Escenario",K$1,"Branch","Demand Sites and Catchments\"&amp;$D233),0)</f>
        <v>0</v>
      </c>
      <c r="L233" s="99">
        <f>IFERROR(GETPIVOTDATA("Value",TD_WEAP_RAW!$A$3,"Variable",L$2,"Escenario",L$1,"Branch","Demand Sites and Catchments\"&amp;$D233),0)</f>
        <v>0</v>
      </c>
    </row>
    <row r="234" spans="4:12">
      <c r="D234" s="53"/>
      <c r="E234" s="42"/>
      <c r="F234" s="42"/>
      <c r="G234" s="51"/>
      <c r="H234" s="99">
        <f>IFERROR(GETPIVOTDATA("Value",TD_WEAP_RAW!$A$3,"Variable",H$2,"Escenario",H$1,"Branch","Demand Sites and Catchments\"&amp;$D234),0)</f>
        <v>0</v>
      </c>
      <c r="I234" s="99">
        <f>IFERROR(GETPIVOTDATA("Value",TD_WEAP_RAW!$A$3,"Variable",I$2,"Escenario",I$1,"Branch","Demand Sites and Catchments\"&amp;$D234),0)</f>
        <v>0</v>
      </c>
      <c r="J234" s="99">
        <f>IFERROR(GETPIVOTDATA("Value",TD_WEAP_RAW!$A$3,"Variable",J$2,"Escenario",J$1,"Branch","Demand Sites and Catchments\"&amp;$D234),0)</f>
        <v>0</v>
      </c>
      <c r="K234" s="99">
        <f>IFERROR(GETPIVOTDATA("Value",TD_WEAP_RAW!$A$3,"Variable",K$2,"Escenario",K$1,"Branch","Demand Sites and Catchments\"&amp;$D234),0)</f>
        <v>0</v>
      </c>
      <c r="L234" s="99">
        <f>IFERROR(GETPIVOTDATA("Value",TD_WEAP_RAW!$A$3,"Variable",L$2,"Escenario",L$1,"Branch","Demand Sites and Catchments\"&amp;$D234),0)</f>
        <v>0</v>
      </c>
    </row>
    <row r="235" spans="4:12">
      <c r="D235" s="53"/>
      <c r="E235" s="42"/>
      <c r="F235" s="42"/>
      <c r="G235" s="51"/>
      <c r="H235" s="99">
        <f>IFERROR(GETPIVOTDATA("Value",TD_WEAP_RAW!$A$3,"Variable",H$2,"Escenario",H$1,"Branch","Demand Sites and Catchments\"&amp;$D235),0)</f>
        <v>0</v>
      </c>
      <c r="I235" s="99">
        <f>IFERROR(GETPIVOTDATA("Value",TD_WEAP_RAW!$A$3,"Variable",I$2,"Escenario",I$1,"Branch","Demand Sites and Catchments\"&amp;$D235),0)</f>
        <v>0</v>
      </c>
      <c r="J235" s="99">
        <f>IFERROR(GETPIVOTDATA("Value",TD_WEAP_RAW!$A$3,"Variable",J$2,"Escenario",J$1,"Branch","Demand Sites and Catchments\"&amp;$D235),0)</f>
        <v>0</v>
      </c>
      <c r="K235" s="99">
        <f>IFERROR(GETPIVOTDATA("Value",TD_WEAP_RAW!$A$3,"Variable",K$2,"Escenario",K$1,"Branch","Demand Sites and Catchments\"&amp;$D235),0)</f>
        <v>0</v>
      </c>
      <c r="L235" s="99">
        <f>IFERROR(GETPIVOTDATA("Value",TD_WEAP_RAW!$A$3,"Variable",L$2,"Escenario",L$1,"Branch","Demand Sites and Catchments\"&amp;$D235),0)</f>
        <v>0</v>
      </c>
    </row>
    <row r="236" spans="4:12">
      <c r="D236" s="53"/>
      <c r="E236" s="42"/>
      <c r="F236" s="42"/>
      <c r="G236" s="51"/>
      <c r="H236" s="99">
        <f>IFERROR(GETPIVOTDATA("Value",TD_WEAP_RAW!$A$3,"Variable",H$2,"Escenario",H$1,"Branch","Demand Sites and Catchments\"&amp;$D236),0)</f>
        <v>0</v>
      </c>
      <c r="I236" s="99">
        <f>IFERROR(GETPIVOTDATA("Value",TD_WEAP_RAW!$A$3,"Variable",I$2,"Escenario",I$1,"Branch","Demand Sites and Catchments\"&amp;$D236),0)</f>
        <v>0</v>
      </c>
      <c r="J236" s="99">
        <f>IFERROR(GETPIVOTDATA("Value",TD_WEAP_RAW!$A$3,"Variable",J$2,"Escenario",J$1,"Branch","Demand Sites and Catchments\"&amp;$D236),0)</f>
        <v>0</v>
      </c>
      <c r="K236" s="99">
        <f>IFERROR(GETPIVOTDATA("Value",TD_WEAP_RAW!$A$3,"Variable",K$2,"Escenario",K$1,"Branch","Demand Sites and Catchments\"&amp;$D236),0)</f>
        <v>0</v>
      </c>
      <c r="L236" s="99">
        <f>IFERROR(GETPIVOTDATA("Value",TD_WEAP_RAW!$A$3,"Variable",L$2,"Escenario",L$1,"Branch","Demand Sites and Catchments\"&amp;$D236),0)</f>
        <v>0</v>
      </c>
    </row>
    <row r="237" spans="4:12">
      <c r="D237" s="53"/>
      <c r="E237" s="42"/>
      <c r="F237" s="42"/>
      <c r="G237" s="51"/>
      <c r="H237" s="99">
        <f>IFERROR(GETPIVOTDATA("Value",TD_WEAP_RAW!$A$3,"Variable",H$2,"Escenario",H$1,"Branch","Demand Sites and Catchments\"&amp;$D237),0)</f>
        <v>0</v>
      </c>
      <c r="I237" s="99">
        <f>IFERROR(GETPIVOTDATA("Value",TD_WEAP_RAW!$A$3,"Variable",I$2,"Escenario",I$1,"Branch","Demand Sites and Catchments\"&amp;$D237),0)</f>
        <v>0</v>
      </c>
      <c r="J237" s="99">
        <f>IFERROR(GETPIVOTDATA("Value",TD_WEAP_RAW!$A$3,"Variable",J$2,"Escenario",J$1,"Branch","Demand Sites and Catchments\"&amp;$D237),0)</f>
        <v>0</v>
      </c>
      <c r="K237" s="99">
        <f>IFERROR(GETPIVOTDATA("Value",TD_WEAP_RAW!$A$3,"Variable",K$2,"Escenario",K$1,"Branch","Demand Sites and Catchments\"&amp;$D237),0)</f>
        <v>0</v>
      </c>
      <c r="L237" s="99">
        <f>IFERROR(GETPIVOTDATA("Value",TD_WEAP_RAW!$A$3,"Variable",L$2,"Escenario",L$1,"Branch","Demand Sites and Catchments\"&amp;$D237),0)</f>
        <v>0</v>
      </c>
    </row>
    <row r="238" spans="4:12">
      <c r="D238" s="53"/>
      <c r="E238" s="42"/>
      <c r="F238" s="42"/>
      <c r="G238" s="51"/>
      <c r="H238" s="99">
        <f>IFERROR(GETPIVOTDATA("Value",TD_WEAP_RAW!$A$3,"Variable",H$2,"Escenario",H$1,"Branch","Demand Sites and Catchments\"&amp;$D238),0)</f>
        <v>0</v>
      </c>
      <c r="I238" s="99">
        <f>IFERROR(GETPIVOTDATA("Value",TD_WEAP_RAW!$A$3,"Variable",I$2,"Escenario",I$1,"Branch","Demand Sites and Catchments\"&amp;$D238),0)</f>
        <v>0</v>
      </c>
      <c r="J238" s="99">
        <f>IFERROR(GETPIVOTDATA("Value",TD_WEAP_RAW!$A$3,"Variable",J$2,"Escenario",J$1,"Branch","Demand Sites and Catchments\"&amp;$D238),0)</f>
        <v>0</v>
      </c>
      <c r="K238" s="99">
        <f>IFERROR(GETPIVOTDATA("Value",TD_WEAP_RAW!$A$3,"Variable",K$2,"Escenario",K$1,"Branch","Demand Sites and Catchments\"&amp;$D238),0)</f>
        <v>0</v>
      </c>
      <c r="L238" s="99">
        <f>IFERROR(GETPIVOTDATA("Value",TD_WEAP_RAW!$A$3,"Variable",L$2,"Escenario",L$1,"Branch","Demand Sites and Catchments\"&amp;$D238),0)</f>
        <v>0</v>
      </c>
    </row>
    <row r="239" spans="4:12">
      <c r="D239" s="53"/>
      <c r="E239" s="42"/>
      <c r="F239" s="42"/>
      <c r="G239" s="51"/>
      <c r="H239" s="99">
        <f>IFERROR(GETPIVOTDATA("Value",TD_WEAP_RAW!$A$3,"Variable",H$2,"Escenario",H$1,"Branch","Demand Sites and Catchments\"&amp;$D239),0)</f>
        <v>0</v>
      </c>
      <c r="I239" s="99">
        <f>IFERROR(GETPIVOTDATA("Value",TD_WEAP_RAW!$A$3,"Variable",I$2,"Escenario",I$1,"Branch","Demand Sites and Catchments\"&amp;$D239),0)</f>
        <v>0</v>
      </c>
      <c r="J239" s="99">
        <f>IFERROR(GETPIVOTDATA("Value",TD_WEAP_RAW!$A$3,"Variable",J$2,"Escenario",J$1,"Branch","Demand Sites and Catchments\"&amp;$D239),0)</f>
        <v>0</v>
      </c>
      <c r="K239" s="99">
        <f>IFERROR(GETPIVOTDATA("Value",TD_WEAP_RAW!$A$3,"Variable",K$2,"Escenario",K$1,"Branch","Demand Sites and Catchments\"&amp;$D239),0)</f>
        <v>0</v>
      </c>
      <c r="L239" s="99">
        <f>IFERROR(GETPIVOTDATA("Value",TD_WEAP_RAW!$A$3,"Variable",L$2,"Escenario",L$1,"Branch","Demand Sites and Catchments\"&amp;$D239),0)</f>
        <v>0</v>
      </c>
    </row>
    <row r="240" spans="4:12">
      <c r="D240" s="53"/>
      <c r="E240" s="42"/>
      <c r="F240" s="42"/>
      <c r="G240" s="51"/>
      <c r="H240" s="99">
        <f>IFERROR(GETPIVOTDATA("Value",TD_WEAP_RAW!$A$3,"Variable",H$2,"Escenario",H$1,"Branch","Demand Sites and Catchments\"&amp;$D240),0)</f>
        <v>0</v>
      </c>
      <c r="I240" s="99">
        <f>IFERROR(GETPIVOTDATA("Value",TD_WEAP_RAW!$A$3,"Variable",I$2,"Escenario",I$1,"Branch","Demand Sites and Catchments\"&amp;$D240),0)</f>
        <v>0</v>
      </c>
      <c r="J240" s="99">
        <f>IFERROR(GETPIVOTDATA("Value",TD_WEAP_RAW!$A$3,"Variable",J$2,"Escenario",J$1,"Branch","Demand Sites and Catchments\"&amp;$D240),0)</f>
        <v>0</v>
      </c>
      <c r="K240" s="99">
        <f>IFERROR(GETPIVOTDATA("Value",TD_WEAP_RAW!$A$3,"Variable",K$2,"Escenario",K$1,"Branch","Demand Sites and Catchments\"&amp;$D240),0)</f>
        <v>0</v>
      </c>
      <c r="L240" s="99">
        <f>IFERROR(GETPIVOTDATA("Value",TD_WEAP_RAW!$A$3,"Variable",L$2,"Escenario",L$1,"Branch","Demand Sites and Catchments\"&amp;$D240),0)</f>
        <v>0</v>
      </c>
    </row>
    <row r="241" spans="4:12">
      <c r="D241" s="53"/>
      <c r="E241" s="42"/>
      <c r="F241" s="42"/>
      <c r="G241" s="51"/>
      <c r="H241" s="99">
        <f>IFERROR(GETPIVOTDATA("Value",TD_WEAP_RAW!$A$3,"Variable",H$2,"Escenario",H$1,"Branch","Demand Sites and Catchments\"&amp;$D241),0)</f>
        <v>0</v>
      </c>
      <c r="I241" s="99">
        <f>IFERROR(GETPIVOTDATA("Value",TD_WEAP_RAW!$A$3,"Variable",I$2,"Escenario",I$1,"Branch","Demand Sites and Catchments\"&amp;$D241),0)</f>
        <v>0</v>
      </c>
      <c r="J241" s="99">
        <f>IFERROR(GETPIVOTDATA("Value",TD_WEAP_RAW!$A$3,"Variable",J$2,"Escenario",J$1,"Branch","Demand Sites and Catchments\"&amp;$D241),0)</f>
        <v>0</v>
      </c>
      <c r="K241" s="99">
        <f>IFERROR(GETPIVOTDATA("Value",TD_WEAP_RAW!$A$3,"Variable",K$2,"Escenario",K$1,"Branch","Demand Sites and Catchments\"&amp;$D241),0)</f>
        <v>0</v>
      </c>
      <c r="L241" s="99">
        <f>IFERROR(GETPIVOTDATA("Value",TD_WEAP_RAW!$A$3,"Variable",L$2,"Escenario",L$1,"Branch","Demand Sites and Catchments\"&amp;$D241),0)</f>
        <v>0</v>
      </c>
    </row>
    <row r="242" spans="4:12">
      <c r="D242" s="53"/>
      <c r="E242" s="42"/>
      <c r="F242" s="42"/>
      <c r="G242" s="51"/>
      <c r="H242" s="99">
        <f>IFERROR(GETPIVOTDATA("Value",TD_WEAP_RAW!$A$3,"Variable",H$2,"Escenario",H$1,"Branch","Demand Sites and Catchments\"&amp;$D242),0)</f>
        <v>0</v>
      </c>
      <c r="I242" s="99">
        <f>IFERROR(GETPIVOTDATA("Value",TD_WEAP_RAW!$A$3,"Variable",I$2,"Escenario",I$1,"Branch","Demand Sites and Catchments\"&amp;$D242),0)</f>
        <v>0</v>
      </c>
      <c r="J242" s="99">
        <f>IFERROR(GETPIVOTDATA("Value",TD_WEAP_RAW!$A$3,"Variable",J$2,"Escenario",J$1,"Branch","Demand Sites and Catchments\"&amp;$D242),0)</f>
        <v>0</v>
      </c>
      <c r="K242" s="99">
        <f>IFERROR(GETPIVOTDATA("Value",TD_WEAP_RAW!$A$3,"Variable",K$2,"Escenario",K$1,"Branch","Demand Sites and Catchments\"&amp;$D242),0)</f>
        <v>0</v>
      </c>
      <c r="L242" s="99">
        <f>IFERROR(GETPIVOTDATA("Value",TD_WEAP_RAW!$A$3,"Variable",L$2,"Escenario",L$1,"Branch","Demand Sites and Catchments\"&amp;$D242),0)</f>
        <v>0</v>
      </c>
    </row>
    <row r="243" spans="4:12">
      <c r="D243" s="53"/>
      <c r="E243" s="42"/>
      <c r="F243" s="42"/>
      <c r="G243" s="51"/>
      <c r="H243" s="99">
        <f>IFERROR(GETPIVOTDATA("Value",TD_WEAP_RAW!$A$3,"Variable",H$2,"Escenario",H$1,"Branch","Demand Sites and Catchments\"&amp;$D243),0)</f>
        <v>0</v>
      </c>
      <c r="I243" s="99">
        <f>IFERROR(GETPIVOTDATA("Value",TD_WEAP_RAW!$A$3,"Variable",I$2,"Escenario",I$1,"Branch","Demand Sites and Catchments\"&amp;$D243),0)</f>
        <v>0</v>
      </c>
      <c r="J243" s="99">
        <f>IFERROR(GETPIVOTDATA("Value",TD_WEAP_RAW!$A$3,"Variable",J$2,"Escenario",J$1,"Branch","Demand Sites and Catchments\"&amp;$D243),0)</f>
        <v>0</v>
      </c>
      <c r="K243" s="99">
        <f>IFERROR(GETPIVOTDATA("Value",TD_WEAP_RAW!$A$3,"Variable",K$2,"Escenario",K$1,"Branch","Demand Sites and Catchments\"&amp;$D243),0)</f>
        <v>0</v>
      </c>
      <c r="L243" s="99">
        <f>IFERROR(GETPIVOTDATA("Value",TD_WEAP_RAW!$A$3,"Variable",L$2,"Escenario",L$1,"Branch","Demand Sites and Catchments\"&amp;$D243),0)</f>
        <v>0</v>
      </c>
    </row>
    <row r="244" spans="4:12">
      <c r="D244" s="53"/>
      <c r="E244" s="42"/>
      <c r="F244" s="42"/>
      <c r="G244" s="51"/>
      <c r="H244" s="99">
        <f>IFERROR(GETPIVOTDATA("Value",TD_WEAP_RAW!$A$3,"Variable",H$2,"Escenario",H$1,"Branch","Demand Sites and Catchments\"&amp;$D244),0)</f>
        <v>0</v>
      </c>
      <c r="I244" s="99">
        <f>IFERROR(GETPIVOTDATA("Value",TD_WEAP_RAW!$A$3,"Variable",I$2,"Escenario",I$1,"Branch","Demand Sites and Catchments\"&amp;$D244),0)</f>
        <v>0</v>
      </c>
      <c r="J244" s="99">
        <f>IFERROR(GETPIVOTDATA("Value",TD_WEAP_RAW!$A$3,"Variable",J$2,"Escenario",J$1,"Branch","Demand Sites and Catchments\"&amp;$D244),0)</f>
        <v>0</v>
      </c>
      <c r="K244" s="99">
        <f>IFERROR(GETPIVOTDATA("Value",TD_WEAP_RAW!$A$3,"Variable",K$2,"Escenario",K$1,"Branch","Demand Sites and Catchments\"&amp;$D244),0)</f>
        <v>0</v>
      </c>
      <c r="L244" s="99">
        <f>IFERROR(GETPIVOTDATA("Value",TD_WEAP_RAW!$A$3,"Variable",L$2,"Escenario",L$1,"Branch","Demand Sites and Catchments\"&amp;$D244),0)</f>
        <v>0</v>
      </c>
    </row>
    <row r="245" spans="4:12">
      <c r="D245" s="53"/>
      <c r="E245" s="42"/>
      <c r="F245" s="42"/>
      <c r="G245" s="51"/>
      <c r="H245" s="99">
        <f>IFERROR(GETPIVOTDATA("Value",TD_WEAP_RAW!$A$3,"Variable",H$2,"Escenario",H$1,"Branch","Demand Sites and Catchments\"&amp;$D245),0)</f>
        <v>0</v>
      </c>
      <c r="I245" s="99">
        <f>IFERROR(GETPIVOTDATA("Value",TD_WEAP_RAW!$A$3,"Variable",I$2,"Escenario",I$1,"Branch","Demand Sites and Catchments\"&amp;$D245),0)</f>
        <v>0</v>
      </c>
      <c r="J245" s="99">
        <f>IFERROR(GETPIVOTDATA("Value",TD_WEAP_RAW!$A$3,"Variable",J$2,"Escenario",J$1,"Branch","Demand Sites and Catchments\"&amp;$D245),0)</f>
        <v>0</v>
      </c>
      <c r="K245" s="99">
        <f>IFERROR(GETPIVOTDATA("Value",TD_WEAP_RAW!$A$3,"Variable",K$2,"Escenario",K$1,"Branch","Demand Sites and Catchments\"&amp;$D245),0)</f>
        <v>0</v>
      </c>
      <c r="L245" s="99">
        <f>IFERROR(GETPIVOTDATA("Value",TD_WEAP_RAW!$A$3,"Variable",L$2,"Escenario",L$1,"Branch","Demand Sites and Catchments\"&amp;$D245),0)</f>
        <v>0</v>
      </c>
    </row>
    <row r="246" spans="4:12">
      <c r="D246" s="53"/>
      <c r="E246" s="42"/>
      <c r="F246" s="42"/>
      <c r="G246" s="51"/>
      <c r="H246" s="99">
        <f>IFERROR(GETPIVOTDATA("Value",TD_WEAP_RAW!$A$3,"Variable",H$2,"Escenario",H$1,"Branch","Demand Sites and Catchments\"&amp;$D246),0)</f>
        <v>0</v>
      </c>
      <c r="I246" s="99">
        <f>IFERROR(GETPIVOTDATA("Value",TD_WEAP_RAW!$A$3,"Variable",I$2,"Escenario",I$1,"Branch","Demand Sites and Catchments\"&amp;$D246),0)</f>
        <v>0</v>
      </c>
      <c r="J246" s="99">
        <f>IFERROR(GETPIVOTDATA("Value",TD_WEAP_RAW!$A$3,"Variable",J$2,"Escenario",J$1,"Branch","Demand Sites and Catchments\"&amp;$D246),0)</f>
        <v>0</v>
      </c>
      <c r="K246" s="99">
        <f>IFERROR(GETPIVOTDATA("Value",TD_WEAP_RAW!$A$3,"Variable",K$2,"Escenario",K$1,"Branch","Demand Sites and Catchments\"&amp;$D246),0)</f>
        <v>0</v>
      </c>
      <c r="L246" s="99">
        <f>IFERROR(GETPIVOTDATA("Value",TD_WEAP_RAW!$A$3,"Variable",L$2,"Escenario",L$1,"Branch","Demand Sites and Catchments\"&amp;$D246),0)</f>
        <v>0</v>
      </c>
    </row>
    <row r="247" spans="4:12">
      <c r="D247" s="53"/>
      <c r="E247" s="42"/>
      <c r="F247" s="42"/>
      <c r="G247" s="51"/>
      <c r="H247" s="99">
        <f>IFERROR(GETPIVOTDATA("Value",TD_WEAP_RAW!$A$3,"Variable",H$2,"Escenario",H$1,"Branch","Demand Sites and Catchments\"&amp;$D247),0)</f>
        <v>0</v>
      </c>
      <c r="I247" s="99">
        <f>IFERROR(GETPIVOTDATA("Value",TD_WEAP_RAW!$A$3,"Variable",I$2,"Escenario",I$1,"Branch","Demand Sites and Catchments\"&amp;$D247),0)</f>
        <v>0</v>
      </c>
      <c r="J247" s="99">
        <f>IFERROR(GETPIVOTDATA("Value",TD_WEAP_RAW!$A$3,"Variable",J$2,"Escenario",J$1,"Branch","Demand Sites and Catchments\"&amp;$D247),0)</f>
        <v>0</v>
      </c>
      <c r="K247" s="99">
        <f>IFERROR(GETPIVOTDATA("Value",TD_WEAP_RAW!$A$3,"Variable",K$2,"Escenario",K$1,"Branch","Demand Sites and Catchments\"&amp;$D247),0)</f>
        <v>0</v>
      </c>
      <c r="L247" s="99">
        <f>IFERROR(GETPIVOTDATA("Value",TD_WEAP_RAW!$A$3,"Variable",L$2,"Escenario",L$1,"Branch","Demand Sites and Catchments\"&amp;$D247),0)</f>
        <v>0</v>
      </c>
    </row>
    <row r="248" spans="4:12">
      <c r="D248" s="53"/>
      <c r="E248" s="42"/>
      <c r="F248" s="42"/>
      <c r="G248" s="51"/>
      <c r="H248" s="99">
        <f>IFERROR(GETPIVOTDATA("Value",TD_WEAP_RAW!$A$3,"Variable",H$2,"Escenario",H$1,"Branch","Demand Sites and Catchments\"&amp;$D248),0)</f>
        <v>0</v>
      </c>
      <c r="I248" s="99">
        <f>IFERROR(GETPIVOTDATA("Value",TD_WEAP_RAW!$A$3,"Variable",I$2,"Escenario",I$1,"Branch","Demand Sites and Catchments\"&amp;$D248),0)</f>
        <v>0</v>
      </c>
      <c r="J248" s="99">
        <f>IFERROR(GETPIVOTDATA("Value",TD_WEAP_RAW!$A$3,"Variable",J$2,"Escenario",J$1,"Branch","Demand Sites and Catchments\"&amp;$D248),0)</f>
        <v>0</v>
      </c>
      <c r="K248" s="99">
        <f>IFERROR(GETPIVOTDATA("Value",TD_WEAP_RAW!$A$3,"Variable",K$2,"Escenario",K$1,"Branch","Demand Sites and Catchments\"&amp;$D248),0)</f>
        <v>0</v>
      </c>
      <c r="L248" s="99">
        <f>IFERROR(GETPIVOTDATA("Value",TD_WEAP_RAW!$A$3,"Variable",L$2,"Escenario",L$1,"Branch","Demand Sites and Catchments\"&amp;$D248),0)</f>
        <v>0</v>
      </c>
    </row>
    <row r="249" spans="4:12">
      <c r="D249" s="53"/>
      <c r="E249" s="42"/>
      <c r="F249" s="42"/>
      <c r="G249" s="51"/>
      <c r="H249" s="99">
        <f>IFERROR(GETPIVOTDATA("Value",TD_WEAP_RAW!$A$3,"Variable",H$2,"Escenario",H$1,"Branch","Demand Sites and Catchments\"&amp;$D249),0)</f>
        <v>0</v>
      </c>
      <c r="I249" s="99">
        <f>IFERROR(GETPIVOTDATA("Value",TD_WEAP_RAW!$A$3,"Variable",I$2,"Escenario",I$1,"Branch","Demand Sites and Catchments\"&amp;$D249),0)</f>
        <v>0</v>
      </c>
      <c r="J249" s="99">
        <f>IFERROR(GETPIVOTDATA("Value",TD_WEAP_RAW!$A$3,"Variable",J$2,"Escenario",J$1,"Branch","Demand Sites and Catchments\"&amp;$D249),0)</f>
        <v>0</v>
      </c>
      <c r="K249" s="99">
        <f>IFERROR(GETPIVOTDATA("Value",TD_WEAP_RAW!$A$3,"Variable",K$2,"Escenario",K$1,"Branch","Demand Sites and Catchments\"&amp;$D249),0)</f>
        <v>0</v>
      </c>
      <c r="L249" s="99">
        <f>IFERROR(GETPIVOTDATA("Value",TD_WEAP_RAW!$A$3,"Variable",L$2,"Escenario",L$1,"Branch","Demand Sites and Catchments\"&amp;$D249),0)</f>
        <v>0</v>
      </c>
    </row>
    <row r="250" spans="4:12">
      <c r="D250" s="53"/>
      <c r="E250" s="42"/>
      <c r="F250" s="42"/>
      <c r="G250" s="51"/>
      <c r="H250" s="99">
        <f>IFERROR(GETPIVOTDATA("Value",TD_WEAP_RAW!$A$3,"Variable",H$2,"Escenario",H$1,"Branch","Demand Sites and Catchments\"&amp;$D250),0)</f>
        <v>0</v>
      </c>
      <c r="I250" s="99">
        <f>IFERROR(GETPIVOTDATA("Value",TD_WEAP_RAW!$A$3,"Variable",I$2,"Escenario",I$1,"Branch","Demand Sites and Catchments\"&amp;$D250),0)</f>
        <v>0</v>
      </c>
      <c r="J250" s="99">
        <f>IFERROR(GETPIVOTDATA("Value",TD_WEAP_RAW!$A$3,"Variable",J$2,"Escenario",J$1,"Branch","Demand Sites and Catchments\"&amp;$D250),0)</f>
        <v>0</v>
      </c>
      <c r="K250" s="99">
        <f>IFERROR(GETPIVOTDATA("Value",TD_WEAP_RAW!$A$3,"Variable",K$2,"Escenario",K$1,"Branch","Demand Sites and Catchments\"&amp;$D250),0)</f>
        <v>0</v>
      </c>
      <c r="L250" s="99">
        <f>IFERROR(GETPIVOTDATA("Value",TD_WEAP_RAW!$A$3,"Variable",L$2,"Escenario",L$1,"Branch","Demand Sites and Catchments\"&amp;$D250),0)</f>
        <v>0</v>
      </c>
    </row>
    <row r="251" spans="4:12">
      <c r="D251" s="53"/>
      <c r="E251" s="42"/>
      <c r="F251" s="42"/>
      <c r="G251" s="51"/>
      <c r="H251" s="99">
        <f>IFERROR(GETPIVOTDATA("Value",TD_WEAP_RAW!$A$3,"Variable",H$2,"Escenario",H$1,"Branch","Demand Sites and Catchments\"&amp;$D251),0)</f>
        <v>0</v>
      </c>
      <c r="I251" s="99">
        <f>IFERROR(GETPIVOTDATA("Value",TD_WEAP_RAW!$A$3,"Variable",I$2,"Escenario",I$1,"Branch","Demand Sites and Catchments\"&amp;$D251),0)</f>
        <v>0</v>
      </c>
      <c r="J251" s="99">
        <f>IFERROR(GETPIVOTDATA("Value",TD_WEAP_RAW!$A$3,"Variable",J$2,"Escenario",J$1,"Branch","Demand Sites and Catchments\"&amp;$D251),0)</f>
        <v>0</v>
      </c>
      <c r="K251" s="99">
        <f>IFERROR(GETPIVOTDATA("Value",TD_WEAP_RAW!$A$3,"Variable",K$2,"Escenario",K$1,"Branch","Demand Sites and Catchments\"&amp;$D251),0)</f>
        <v>0</v>
      </c>
      <c r="L251" s="99">
        <f>IFERROR(GETPIVOTDATA("Value",TD_WEAP_RAW!$A$3,"Variable",L$2,"Escenario",L$1,"Branch","Demand Sites and Catchments\"&amp;$D251),0)</f>
        <v>0</v>
      </c>
    </row>
    <row r="252" spans="4:12">
      <c r="D252" s="53"/>
      <c r="E252" s="42"/>
      <c r="F252" s="42"/>
      <c r="G252" s="51"/>
      <c r="H252" s="99">
        <f>IFERROR(GETPIVOTDATA("Value",TD_WEAP_RAW!$A$3,"Variable",H$2,"Escenario",H$1,"Branch","Demand Sites and Catchments\"&amp;$D252),0)</f>
        <v>0</v>
      </c>
      <c r="I252" s="99">
        <f>IFERROR(GETPIVOTDATA("Value",TD_WEAP_RAW!$A$3,"Variable",I$2,"Escenario",I$1,"Branch","Demand Sites and Catchments\"&amp;$D252),0)</f>
        <v>0</v>
      </c>
      <c r="J252" s="99">
        <f>IFERROR(GETPIVOTDATA("Value",TD_WEAP_RAW!$A$3,"Variable",J$2,"Escenario",J$1,"Branch","Demand Sites and Catchments\"&amp;$D252),0)</f>
        <v>0</v>
      </c>
      <c r="K252" s="99">
        <f>IFERROR(GETPIVOTDATA("Value",TD_WEAP_RAW!$A$3,"Variable",K$2,"Escenario",K$1,"Branch","Demand Sites and Catchments\"&amp;$D252),0)</f>
        <v>0</v>
      </c>
      <c r="L252" s="99">
        <f>IFERROR(GETPIVOTDATA("Value",TD_WEAP_RAW!$A$3,"Variable",L$2,"Escenario",L$1,"Branch","Demand Sites and Catchments\"&amp;$D252),0)</f>
        <v>0</v>
      </c>
    </row>
    <row r="253" spans="4:12">
      <c r="D253" s="53"/>
      <c r="E253" s="42"/>
      <c r="F253" s="42"/>
      <c r="G253" s="51"/>
      <c r="H253" s="99">
        <f>IFERROR(GETPIVOTDATA("Value",TD_WEAP_RAW!$A$3,"Variable",H$2,"Escenario",H$1,"Branch","Demand Sites and Catchments\"&amp;$D253),0)</f>
        <v>0</v>
      </c>
      <c r="I253" s="99">
        <f>IFERROR(GETPIVOTDATA("Value",TD_WEAP_RAW!$A$3,"Variable",I$2,"Escenario",I$1,"Branch","Demand Sites and Catchments\"&amp;$D253),0)</f>
        <v>0</v>
      </c>
      <c r="J253" s="99">
        <f>IFERROR(GETPIVOTDATA("Value",TD_WEAP_RAW!$A$3,"Variable",J$2,"Escenario",J$1,"Branch","Demand Sites and Catchments\"&amp;$D253),0)</f>
        <v>0</v>
      </c>
      <c r="K253" s="99">
        <f>IFERROR(GETPIVOTDATA("Value",TD_WEAP_RAW!$A$3,"Variable",K$2,"Escenario",K$1,"Branch","Demand Sites and Catchments\"&amp;$D253),0)</f>
        <v>0</v>
      </c>
      <c r="L253" s="99">
        <f>IFERROR(GETPIVOTDATA("Value",TD_WEAP_RAW!$A$3,"Variable",L$2,"Escenario",L$1,"Branch","Demand Sites and Catchments\"&amp;$D253),0)</f>
        <v>0</v>
      </c>
    </row>
    <row r="254" spans="4:12">
      <c r="D254" s="53"/>
      <c r="E254" s="42"/>
      <c r="F254" s="42"/>
      <c r="G254" s="51"/>
      <c r="H254" s="99">
        <f>IFERROR(GETPIVOTDATA("Value",TD_WEAP_RAW!$A$3,"Variable",H$2,"Escenario",H$1,"Branch","Demand Sites and Catchments\"&amp;$D254),0)</f>
        <v>0</v>
      </c>
      <c r="I254" s="99">
        <f>IFERROR(GETPIVOTDATA("Value",TD_WEAP_RAW!$A$3,"Variable",I$2,"Escenario",I$1,"Branch","Demand Sites and Catchments\"&amp;$D254),0)</f>
        <v>0</v>
      </c>
      <c r="J254" s="99">
        <f>IFERROR(GETPIVOTDATA("Value",TD_WEAP_RAW!$A$3,"Variable",J$2,"Escenario",J$1,"Branch","Demand Sites and Catchments\"&amp;$D254),0)</f>
        <v>0</v>
      </c>
      <c r="K254" s="99">
        <f>IFERROR(GETPIVOTDATA("Value",TD_WEAP_RAW!$A$3,"Variable",K$2,"Escenario",K$1,"Branch","Demand Sites and Catchments\"&amp;$D254),0)</f>
        <v>0</v>
      </c>
      <c r="L254" s="99">
        <f>IFERROR(GETPIVOTDATA("Value",TD_WEAP_RAW!$A$3,"Variable",L$2,"Escenario",L$1,"Branch","Demand Sites and Catchments\"&amp;$D254),0)</f>
        <v>0</v>
      </c>
    </row>
    <row r="255" spans="4:12">
      <c r="D255" s="53"/>
      <c r="E255" s="42"/>
      <c r="F255" s="42"/>
      <c r="G255" s="51"/>
      <c r="H255" s="99">
        <f>IFERROR(GETPIVOTDATA("Value",TD_WEAP_RAW!$A$3,"Variable",H$2,"Escenario",H$1,"Branch","Demand Sites and Catchments\"&amp;$D255),0)</f>
        <v>0</v>
      </c>
      <c r="I255" s="99">
        <f>IFERROR(GETPIVOTDATA("Value",TD_WEAP_RAW!$A$3,"Variable",I$2,"Escenario",I$1,"Branch","Demand Sites and Catchments\"&amp;$D255),0)</f>
        <v>0</v>
      </c>
      <c r="J255" s="99">
        <f>IFERROR(GETPIVOTDATA("Value",TD_WEAP_RAW!$A$3,"Variable",J$2,"Escenario",J$1,"Branch","Demand Sites and Catchments\"&amp;$D255),0)</f>
        <v>0</v>
      </c>
      <c r="K255" s="99">
        <f>IFERROR(GETPIVOTDATA("Value",TD_WEAP_RAW!$A$3,"Variable",K$2,"Escenario",K$1,"Branch","Demand Sites and Catchments\"&amp;$D255),0)</f>
        <v>0</v>
      </c>
      <c r="L255" s="99">
        <f>IFERROR(GETPIVOTDATA("Value",TD_WEAP_RAW!$A$3,"Variable",L$2,"Escenario",L$1,"Branch","Demand Sites and Catchments\"&amp;$D255),0)</f>
        <v>0</v>
      </c>
    </row>
    <row r="256" spans="4:12">
      <c r="D256" s="53"/>
      <c r="E256" s="42"/>
      <c r="F256" s="42"/>
      <c r="G256" s="51"/>
      <c r="H256" s="99">
        <f>IFERROR(GETPIVOTDATA("Value",TD_WEAP_RAW!$A$3,"Variable",H$2,"Escenario",H$1,"Branch","Demand Sites and Catchments\"&amp;$D256),0)</f>
        <v>0</v>
      </c>
      <c r="I256" s="99">
        <f>IFERROR(GETPIVOTDATA("Value",TD_WEAP_RAW!$A$3,"Variable",I$2,"Escenario",I$1,"Branch","Demand Sites and Catchments\"&amp;$D256),0)</f>
        <v>0</v>
      </c>
      <c r="J256" s="99">
        <f>IFERROR(GETPIVOTDATA("Value",TD_WEAP_RAW!$A$3,"Variable",J$2,"Escenario",J$1,"Branch","Demand Sites and Catchments\"&amp;$D256),0)</f>
        <v>0</v>
      </c>
      <c r="K256" s="99">
        <f>IFERROR(GETPIVOTDATA("Value",TD_WEAP_RAW!$A$3,"Variable",K$2,"Escenario",K$1,"Branch","Demand Sites and Catchments\"&amp;$D256),0)</f>
        <v>0</v>
      </c>
      <c r="L256" s="99">
        <f>IFERROR(GETPIVOTDATA("Value",TD_WEAP_RAW!$A$3,"Variable",L$2,"Escenario",L$1,"Branch","Demand Sites and Catchments\"&amp;$D256),0)</f>
        <v>0</v>
      </c>
    </row>
    <row r="257" spans="4:12">
      <c r="D257" s="53"/>
      <c r="E257" s="42"/>
      <c r="F257" s="42"/>
      <c r="G257" s="51"/>
      <c r="H257" s="99">
        <f>IFERROR(GETPIVOTDATA("Value",TD_WEAP_RAW!$A$3,"Variable",H$2,"Escenario",H$1,"Branch","Demand Sites and Catchments\"&amp;$D257),0)</f>
        <v>0</v>
      </c>
      <c r="I257" s="99">
        <f>IFERROR(GETPIVOTDATA("Value",TD_WEAP_RAW!$A$3,"Variable",I$2,"Escenario",I$1,"Branch","Demand Sites and Catchments\"&amp;$D257),0)</f>
        <v>0</v>
      </c>
      <c r="J257" s="99">
        <f>IFERROR(GETPIVOTDATA("Value",TD_WEAP_RAW!$A$3,"Variable",J$2,"Escenario",J$1,"Branch","Demand Sites and Catchments\"&amp;$D257),0)</f>
        <v>0</v>
      </c>
      <c r="K257" s="99">
        <f>IFERROR(GETPIVOTDATA("Value",TD_WEAP_RAW!$A$3,"Variable",K$2,"Escenario",K$1,"Branch","Demand Sites and Catchments\"&amp;$D257),0)</f>
        <v>0</v>
      </c>
      <c r="L257" s="99">
        <f>IFERROR(GETPIVOTDATA("Value",TD_WEAP_RAW!$A$3,"Variable",L$2,"Escenario",L$1,"Branch","Demand Sites and Catchments\"&amp;$D257),0)</f>
        <v>0</v>
      </c>
    </row>
    <row r="258" spans="4:12">
      <c r="D258" s="53"/>
      <c r="E258" s="42"/>
      <c r="F258" s="42"/>
      <c r="G258" s="51"/>
      <c r="H258" s="99">
        <f>IFERROR(GETPIVOTDATA("Value",TD_WEAP_RAW!$A$3,"Variable",H$2,"Escenario",H$1,"Branch","Demand Sites and Catchments\"&amp;$D258),0)</f>
        <v>0</v>
      </c>
      <c r="I258" s="99">
        <f>IFERROR(GETPIVOTDATA("Value",TD_WEAP_RAW!$A$3,"Variable",I$2,"Escenario",I$1,"Branch","Demand Sites and Catchments\"&amp;$D258),0)</f>
        <v>0</v>
      </c>
      <c r="J258" s="99">
        <f>IFERROR(GETPIVOTDATA("Value",TD_WEAP_RAW!$A$3,"Variable",J$2,"Escenario",J$1,"Branch","Demand Sites and Catchments\"&amp;$D258),0)</f>
        <v>0</v>
      </c>
      <c r="K258" s="99">
        <f>IFERROR(GETPIVOTDATA("Value",TD_WEAP_RAW!$A$3,"Variable",K$2,"Escenario",K$1,"Branch","Demand Sites and Catchments\"&amp;$D258),0)</f>
        <v>0</v>
      </c>
      <c r="L258" s="99">
        <f>IFERROR(GETPIVOTDATA("Value",TD_WEAP_RAW!$A$3,"Variable",L$2,"Escenario",L$1,"Branch","Demand Sites and Catchments\"&amp;$D258),0)</f>
        <v>0</v>
      </c>
    </row>
    <row r="259" spans="4:12">
      <c r="D259" s="53"/>
      <c r="E259" s="42"/>
      <c r="F259" s="42"/>
      <c r="G259" s="51"/>
      <c r="H259" s="99">
        <f>IFERROR(GETPIVOTDATA("Value",TD_WEAP_RAW!$A$3,"Variable",H$2,"Escenario",H$1,"Branch","Demand Sites and Catchments\"&amp;$D259),0)</f>
        <v>0</v>
      </c>
      <c r="I259" s="99">
        <f>IFERROR(GETPIVOTDATA("Value",TD_WEAP_RAW!$A$3,"Variable",I$2,"Escenario",I$1,"Branch","Demand Sites and Catchments\"&amp;$D259),0)</f>
        <v>0</v>
      </c>
      <c r="J259" s="99">
        <f>IFERROR(GETPIVOTDATA("Value",TD_WEAP_RAW!$A$3,"Variable",J$2,"Escenario",J$1,"Branch","Demand Sites and Catchments\"&amp;$D259),0)</f>
        <v>0</v>
      </c>
      <c r="K259" s="99">
        <f>IFERROR(GETPIVOTDATA("Value",TD_WEAP_RAW!$A$3,"Variable",K$2,"Escenario",K$1,"Branch","Demand Sites and Catchments\"&amp;$D259),0)</f>
        <v>0</v>
      </c>
      <c r="L259" s="99">
        <f>IFERROR(GETPIVOTDATA("Value",TD_WEAP_RAW!$A$3,"Variable",L$2,"Escenario",L$1,"Branch","Demand Sites and Catchments\"&amp;$D259),0)</f>
        <v>0</v>
      </c>
    </row>
    <row r="260" spans="4:12">
      <c r="D260" s="53"/>
      <c r="E260" s="42"/>
      <c r="F260" s="42"/>
      <c r="G260" s="51"/>
      <c r="H260" s="99">
        <f>IFERROR(GETPIVOTDATA("Value",TD_WEAP_RAW!$A$3,"Variable",H$2,"Escenario",H$1,"Branch","Demand Sites and Catchments\"&amp;$D260),0)</f>
        <v>0</v>
      </c>
      <c r="I260" s="99">
        <f>IFERROR(GETPIVOTDATA("Value",TD_WEAP_RAW!$A$3,"Variable",I$2,"Escenario",I$1,"Branch","Demand Sites and Catchments\"&amp;$D260),0)</f>
        <v>0</v>
      </c>
      <c r="J260" s="99">
        <f>IFERROR(GETPIVOTDATA("Value",TD_WEAP_RAW!$A$3,"Variable",J$2,"Escenario",J$1,"Branch","Demand Sites and Catchments\"&amp;$D260),0)</f>
        <v>0</v>
      </c>
      <c r="K260" s="99">
        <f>IFERROR(GETPIVOTDATA("Value",TD_WEAP_RAW!$A$3,"Variable",K$2,"Escenario",K$1,"Branch","Demand Sites and Catchments\"&amp;$D260),0)</f>
        <v>0</v>
      </c>
      <c r="L260" s="99">
        <f>IFERROR(GETPIVOTDATA("Value",TD_WEAP_RAW!$A$3,"Variable",L$2,"Escenario",L$1,"Branch","Demand Sites and Catchments\"&amp;$D260),0)</f>
        <v>0</v>
      </c>
    </row>
    <row r="261" spans="4:12">
      <c r="D261" s="53"/>
      <c r="E261" s="42"/>
      <c r="F261" s="42"/>
      <c r="G261" s="51"/>
      <c r="H261" s="99">
        <f>IFERROR(GETPIVOTDATA("Value",TD_WEAP_RAW!$A$3,"Variable",H$2,"Escenario",H$1,"Branch","Demand Sites and Catchments\"&amp;$D261),0)</f>
        <v>0</v>
      </c>
      <c r="I261" s="99">
        <f>IFERROR(GETPIVOTDATA("Value",TD_WEAP_RAW!$A$3,"Variable",I$2,"Escenario",I$1,"Branch","Demand Sites and Catchments\"&amp;$D261),0)</f>
        <v>0</v>
      </c>
      <c r="J261" s="99">
        <f>IFERROR(GETPIVOTDATA("Value",TD_WEAP_RAW!$A$3,"Variable",J$2,"Escenario",J$1,"Branch","Demand Sites and Catchments\"&amp;$D261),0)</f>
        <v>0</v>
      </c>
      <c r="K261" s="99">
        <f>IFERROR(GETPIVOTDATA("Value",TD_WEAP_RAW!$A$3,"Variable",K$2,"Escenario",K$1,"Branch","Demand Sites and Catchments\"&amp;$D261),0)</f>
        <v>0</v>
      </c>
      <c r="L261" s="99">
        <f>IFERROR(GETPIVOTDATA("Value",TD_WEAP_RAW!$A$3,"Variable",L$2,"Escenario",L$1,"Branch","Demand Sites and Catchments\"&amp;$D261),0)</f>
        <v>0</v>
      </c>
    </row>
    <row r="262" spans="4:12">
      <c r="D262" s="53"/>
      <c r="E262" s="42"/>
      <c r="F262" s="42"/>
      <c r="G262" s="51"/>
      <c r="H262" s="99">
        <f>IFERROR(GETPIVOTDATA("Value",TD_WEAP_RAW!$A$3,"Variable",H$2,"Escenario",H$1,"Branch","Demand Sites and Catchments\"&amp;$D262),0)</f>
        <v>0</v>
      </c>
      <c r="I262" s="99">
        <f>IFERROR(GETPIVOTDATA("Value",TD_WEAP_RAW!$A$3,"Variable",I$2,"Escenario",I$1,"Branch","Demand Sites and Catchments\"&amp;$D262),0)</f>
        <v>0</v>
      </c>
      <c r="J262" s="99">
        <f>IFERROR(GETPIVOTDATA("Value",TD_WEAP_RAW!$A$3,"Variable",J$2,"Escenario",J$1,"Branch","Demand Sites and Catchments\"&amp;$D262),0)</f>
        <v>0</v>
      </c>
      <c r="K262" s="99">
        <f>IFERROR(GETPIVOTDATA("Value",TD_WEAP_RAW!$A$3,"Variable",K$2,"Escenario",K$1,"Branch","Demand Sites and Catchments\"&amp;$D262),0)</f>
        <v>0</v>
      </c>
      <c r="L262" s="99">
        <f>IFERROR(GETPIVOTDATA("Value",TD_WEAP_RAW!$A$3,"Variable",L$2,"Escenario",L$1,"Branch","Demand Sites and Catchments\"&amp;$D262),0)</f>
        <v>0</v>
      </c>
    </row>
    <row r="263" spans="4:12">
      <c r="D263" s="53"/>
      <c r="E263" s="42"/>
      <c r="F263" s="42"/>
      <c r="G263" s="51"/>
      <c r="H263" s="99">
        <f>IFERROR(GETPIVOTDATA("Value",TD_WEAP_RAW!$A$3,"Variable",H$2,"Escenario",H$1,"Branch","Demand Sites and Catchments\"&amp;$D263),0)</f>
        <v>0</v>
      </c>
      <c r="I263" s="99">
        <f>IFERROR(GETPIVOTDATA("Value",TD_WEAP_RAW!$A$3,"Variable",I$2,"Escenario",I$1,"Branch","Demand Sites and Catchments\"&amp;$D263),0)</f>
        <v>0</v>
      </c>
      <c r="J263" s="99">
        <f>IFERROR(GETPIVOTDATA("Value",TD_WEAP_RAW!$A$3,"Variable",J$2,"Escenario",J$1,"Branch","Demand Sites and Catchments\"&amp;$D263),0)</f>
        <v>0</v>
      </c>
      <c r="K263" s="99">
        <f>IFERROR(GETPIVOTDATA("Value",TD_WEAP_RAW!$A$3,"Variable",K$2,"Escenario",K$1,"Branch","Demand Sites and Catchments\"&amp;$D263),0)</f>
        <v>0</v>
      </c>
      <c r="L263" s="99">
        <f>IFERROR(GETPIVOTDATA("Value",TD_WEAP_RAW!$A$3,"Variable",L$2,"Escenario",L$1,"Branch","Demand Sites and Catchments\"&amp;$D263),0)</f>
        <v>0</v>
      </c>
    </row>
    <row r="264" spans="4:12">
      <c r="D264" s="53"/>
      <c r="E264" s="42"/>
      <c r="F264" s="42"/>
      <c r="G264" s="51"/>
      <c r="H264" s="99">
        <f>IFERROR(GETPIVOTDATA("Value",TD_WEAP_RAW!$A$3,"Variable",H$2,"Escenario",H$1,"Branch","Demand Sites and Catchments\"&amp;$D264),0)</f>
        <v>0</v>
      </c>
      <c r="I264" s="99">
        <f>IFERROR(GETPIVOTDATA("Value",TD_WEAP_RAW!$A$3,"Variable",I$2,"Escenario",I$1,"Branch","Demand Sites and Catchments\"&amp;$D264),0)</f>
        <v>0</v>
      </c>
      <c r="J264" s="99">
        <f>IFERROR(GETPIVOTDATA("Value",TD_WEAP_RAW!$A$3,"Variable",J$2,"Escenario",J$1,"Branch","Demand Sites and Catchments\"&amp;$D264),0)</f>
        <v>0</v>
      </c>
      <c r="K264" s="99">
        <f>IFERROR(GETPIVOTDATA("Value",TD_WEAP_RAW!$A$3,"Variable",K$2,"Escenario",K$1,"Branch","Demand Sites and Catchments\"&amp;$D264),0)</f>
        <v>0</v>
      </c>
      <c r="L264" s="99">
        <f>IFERROR(GETPIVOTDATA("Value",TD_WEAP_RAW!$A$3,"Variable",L$2,"Escenario",L$1,"Branch","Demand Sites and Catchments\"&amp;$D264),0)</f>
        <v>0</v>
      </c>
    </row>
    <row r="265" spans="4:12">
      <c r="D265" s="53"/>
      <c r="E265" s="42"/>
      <c r="F265" s="42"/>
      <c r="G265" s="51"/>
      <c r="H265" s="99">
        <f>IFERROR(GETPIVOTDATA("Value",TD_WEAP_RAW!$A$3,"Variable",H$2,"Escenario",H$1,"Branch","Demand Sites and Catchments\"&amp;$D265),0)</f>
        <v>0</v>
      </c>
      <c r="I265" s="99">
        <f>IFERROR(GETPIVOTDATA("Value",TD_WEAP_RAW!$A$3,"Variable",I$2,"Escenario",I$1,"Branch","Demand Sites and Catchments\"&amp;$D265),0)</f>
        <v>0</v>
      </c>
      <c r="J265" s="99">
        <f>IFERROR(GETPIVOTDATA("Value",TD_WEAP_RAW!$A$3,"Variable",J$2,"Escenario",J$1,"Branch","Demand Sites and Catchments\"&amp;$D265),0)</f>
        <v>0</v>
      </c>
      <c r="K265" s="99">
        <f>IFERROR(GETPIVOTDATA("Value",TD_WEAP_RAW!$A$3,"Variable",K$2,"Escenario",K$1,"Branch","Demand Sites and Catchments\"&amp;$D265),0)</f>
        <v>0</v>
      </c>
      <c r="L265" s="99">
        <f>IFERROR(GETPIVOTDATA("Value",TD_WEAP_RAW!$A$3,"Variable",L$2,"Escenario",L$1,"Branch","Demand Sites and Catchments\"&amp;$D265),0)</f>
        <v>0</v>
      </c>
    </row>
    <row r="266" spans="4:12">
      <c r="D266" s="53"/>
      <c r="E266" s="42"/>
      <c r="F266" s="42"/>
      <c r="G266" s="51"/>
      <c r="H266" s="99">
        <f>IFERROR(GETPIVOTDATA("Value",TD_WEAP_RAW!$A$3,"Variable",H$2,"Escenario",H$1,"Branch","Demand Sites and Catchments\"&amp;$D266),0)</f>
        <v>0</v>
      </c>
      <c r="I266" s="99">
        <f>IFERROR(GETPIVOTDATA("Value",TD_WEAP_RAW!$A$3,"Variable",I$2,"Escenario",I$1,"Branch","Demand Sites and Catchments\"&amp;$D266),0)</f>
        <v>0</v>
      </c>
      <c r="J266" s="99">
        <f>IFERROR(GETPIVOTDATA("Value",TD_WEAP_RAW!$A$3,"Variable",J$2,"Escenario",J$1,"Branch","Demand Sites and Catchments\"&amp;$D266),0)</f>
        <v>0</v>
      </c>
      <c r="K266" s="99">
        <f>IFERROR(GETPIVOTDATA("Value",TD_WEAP_RAW!$A$3,"Variable",K$2,"Escenario",K$1,"Branch","Demand Sites and Catchments\"&amp;$D266),0)</f>
        <v>0</v>
      </c>
      <c r="L266" s="99">
        <f>IFERROR(GETPIVOTDATA("Value",TD_WEAP_RAW!$A$3,"Variable",L$2,"Escenario",L$1,"Branch","Demand Sites and Catchments\"&amp;$D266),0)</f>
        <v>0</v>
      </c>
    </row>
    <row r="267" spans="4:12">
      <c r="D267" s="53"/>
      <c r="E267" s="42"/>
      <c r="F267" s="42"/>
      <c r="G267" s="51"/>
      <c r="H267" s="99">
        <f>IFERROR(GETPIVOTDATA("Value",TD_WEAP_RAW!$A$3,"Variable",H$2,"Escenario",H$1,"Branch","Demand Sites and Catchments\"&amp;$D267),0)</f>
        <v>0</v>
      </c>
      <c r="I267" s="99">
        <f>IFERROR(GETPIVOTDATA("Value",TD_WEAP_RAW!$A$3,"Variable",I$2,"Escenario",I$1,"Branch","Demand Sites and Catchments\"&amp;$D267),0)</f>
        <v>0</v>
      </c>
      <c r="J267" s="99">
        <f>IFERROR(GETPIVOTDATA("Value",TD_WEAP_RAW!$A$3,"Variable",J$2,"Escenario",J$1,"Branch","Demand Sites and Catchments\"&amp;$D267),0)</f>
        <v>0</v>
      </c>
      <c r="K267" s="99">
        <f>IFERROR(GETPIVOTDATA("Value",TD_WEAP_RAW!$A$3,"Variable",K$2,"Escenario",K$1,"Branch","Demand Sites and Catchments\"&amp;$D267),0)</f>
        <v>0</v>
      </c>
      <c r="L267" s="99">
        <f>IFERROR(GETPIVOTDATA("Value",TD_WEAP_RAW!$A$3,"Variable",L$2,"Escenario",L$1,"Branch","Demand Sites and Catchments\"&amp;$D267),0)</f>
        <v>0</v>
      </c>
    </row>
    <row r="268" spans="4:12">
      <c r="D268" s="53"/>
      <c r="E268" s="42"/>
      <c r="F268" s="42"/>
      <c r="G268" s="51"/>
      <c r="H268" s="99">
        <f>IFERROR(GETPIVOTDATA("Value",TD_WEAP_RAW!$A$3,"Variable",H$2,"Escenario",H$1,"Branch","Demand Sites and Catchments\"&amp;$D268),0)</f>
        <v>0</v>
      </c>
      <c r="I268" s="99">
        <f>IFERROR(GETPIVOTDATA("Value",TD_WEAP_RAW!$A$3,"Variable",I$2,"Escenario",I$1,"Branch","Demand Sites and Catchments\"&amp;$D268),0)</f>
        <v>0</v>
      </c>
      <c r="J268" s="99">
        <f>IFERROR(GETPIVOTDATA("Value",TD_WEAP_RAW!$A$3,"Variable",J$2,"Escenario",J$1,"Branch","Demand Sites and Catchments\"&amp;$D268),0)</f>
        <v>0</v>
      </c>
      <c r="K268" s="99">
        <f>IFERROR(GETPIVOTDATA("Value",TD_WEAP_RAW!$A$3,"Variable",K$2,"Escenario",K$1,"Branch","Demand Sites and Catchments\"&amp;$D268),0)</f>
        <v>0</v>
      </c>
      <c r="L268" s="99">
        <f>IFERROR(GETPIVOTDATA("Value",TD_WEAP_RAW!$A$3,"Variable",L$2,"Escenario",L$1,"Branch","Demand Sites and Catchments\"&amp;$D268),0)</f>
        <v>0</v>
      </c>
    </row>
    <row r="269" spans="4:12">
      <c r="D269" s="53"/>
      <c r="E269" s="42"/>
      <c r="F269" s="42"/>
      <c r="G269" s="51"/>
      <c r="H269" s="99">
        <f>IFERROR(GETPIVOTDATA("Value",TD_WEAP_RAW!$A$3,"Variable",H$2,"Escenario",H$1,"Branch","Demand Sites and Catchments\"&amp;$D269),0)</f>
        <v>0</v>
      </c>
      <c r="I269" s="99">
        <f>IFERROR(GETPIVOTDATA("Value",TD_WEAP_RAW!$A$3,"Variable",I$2,"Escenario",I$1,"Branch","Demand Sites and Catchments\"&amp;$D269),0)</f>
        <v>0</v>
      </c>
      <c r="J269" s="99">
        <f>IFERROR(GETPIVOTDATA("Value",TD_WEAP_RAW!$A$3,"Variable",J$2,"Escenario",J$1,"Branch","Demand Sites and Catchments\"&amp;$D269),0)</f>
        <v>0</v>
      </c>
      <c r="K269" s="99">
        <f>IFERROR(GETPIVOTDATA("Value",TD_WEAP_RAW!$A$3,"Variable",K$2,"Escenario",K$1,"Branch","Demand Sites and Catchments\"&amp;$D269),0)</f>
        <v>0</v>
      </c>
      <c r="L269" s="99">
        <f>IFERROR(GETPIVOTDATA("Value",TD_WEAP_RAW!$A$3,"Variable",L$2,"Escenario",L$1,"Branch","Demand Sites and Catchments\"&amp;$D269),0)</f>
        <v>0</v>
      </c>
    </row>
    <row r="270" spans="4:12">
      <c r="D270" s="53"/>
      <c r="E270" s="42"/>
      <c r="F270" s="42"/>
      <c r="G270" s="51"/>
      <c r="H270" s="99">
        <f>IFERROR(GETPIVOTDATA("Value",TD_WEAP_RAW!$A$3,"Variable",H$2,"Escenario",H$1,"Branch","Demand Sites and Catchments\"&amp;$D270),0)</f>
        <v>0</v>
      </c>
      <c r="I270" s="99">
        <f>IFERROR(GETPIVOTDATA("Value",TD_WEAP_RAW!$A$3,"Variable",I$2,"Escenario",I$1,"Branch","Demand Sites and Catchments\"&amp;$D270),0)</f>
        <v>0</v>
      </c>
      <c r="J270" s="99">
        <f>IFERROR(GETPIVOTDATA("Value",TD_WEAP_RAW!$A$3,"Variable",J$2,"Escenario",J$1,"Branch","Demand Sites and Catchments\"&amp;$D270),0)</f>
        <v>0</v>
      </c>
      <c r="K270" s="99">
        <f>IFERROR(GETPIVOTDATA("Value",TD_WEAP_RAW!$A$3,"Variable",K$2,"Escenario",K$1,"Branch","Demand Sites and Catchments\"&amp;$D270),0)</f>
        <v>0</v>
      </c>
      <c r="L270" s="99">
        <f>IFERROR(GETPIVOTDATA("Value",TD_WEAP_RAW!$A$3,"Variable",L$2,"Escenario",L$1,"Branch","Demand Sites and Catchments\"&amp;$D270),0)</f>
        <v>0</v>
      </c>
    </row>
    <row r="271" spans="4:12">
      <c r="D271" s="53"/>
      <c r="E271" s="42"/>
      <c r="F271" s="42"/>
      <c r="G271" s="51"/>
      <c r="H271" s="99">
        <f>IFERROR(GETPIVOTDATA("Value",TD_WEAP_RAW!$A$3,"Variable",H$2,"Escenario",H$1,"Branch","Demand Sites and Catchments\"&amp;$D271),0)</f>
        <v>0</v>
      </c>
      <c r="I271" s="99">
        <f>IFERROR(GETPIVOTDATA("Value",TD_WEAP_RAW!$A$3,"Variable",I$2,"Escenario",I$1,"Branch","Demand Sites and Catchments\"&amp;$D271),0)</f>
        <v>0</v>
      </c>
      <c r="J271" s="99">
        <f>IFERROR(GETPIVOTDATA("Value",TD_WEAP_RAW!$A$3,"Variable",J$2,"Escenario",J$1,"Branch","Demand Sites and Catchments\"&amp;$D271),0)</f>
        <v>0</v>
      </c>
      <c r="K271" s="99">
        <f>IFERROR(GETPIVOTDATA("Value",TD_WEAP_RAW!$A$3,"Variable",K$2,"Escenario",K$1,"Branch","Demand Sites and Catchments\"&amp;$D271),0)</f>
        <v>0</v>
      </c>
      <c r="L271" s="99">
        <f>IFERROR(GETPIVOTDATA("Value",TD_WEAP_RAW!$A$3,"Variable",L$2,"Escenario",L$1,"Branch","Demand Sites and Catchments\"&amp;$D271),0)</f>
        <v>0</v>
      </c>
    </row>
    <row r="272" spans="4:12">
      <c r="D272" s="53"/>
      <c r="E272" s="42"/>
      <c r="F272" s="42"/>
      <c r="G272" s="51"/>
      <c r="H272" s="99">
        <f>IFERROR(GETPIVOTDATA("Value",TD_WEAP_RAW!$A$3,"Variable",H$2,"Escenario",H$1,"Branch","Demand Sites and Catchments\"&amp;$D272),0)</f>
        <v>0</v>
      </c>
      <c r="I272" s="99">
        <f>IFERROR(GETPIVOTDATA("Value",TD_WEAP_RAW!$A$3,"Variable",I$2,"Escenario",I$1,"Branch","Demand Sites and Catchments\"&amp;$D272),0)</f>
        <v>0</v>
      </c>
      <c r="J272" s="99">
        <f>IFERROR(GETPIVOTDATA("Value",TD_WEAP_RAW!$A$3,"Variable",J$2,"Escenario",J$1,"Branch","Demand Sites and Catchments\"&amp;$D272),0)</f>
        <v>0</v>
      </c>
      <c r="K272" s="99">
        <f>IFERROR(GETPIVOTDATA("Value",TD_WEAP_RAW!$A$3,"Variable",K$2,"Escenario",K$1,"Branch","Demand Sites and Catchments\"&amp;$D272),0)</f>
        <v>0</v>
      </c>
      <c r="L272" s="99">
        <f>IFERROR(GETPIVOTDATA("Value",TD_WEAP_RAW!$A$3,"Variable",L$2,"Escenario",L$1,"Branch","Demand Sites and Catchments\"&amp;$D272),0)</f>
        <v>0</v>
      </c>
    </row>
    <row r="273" spans="4:12">
      <c r="D273" s="53"/>
      <c r="E273" s="42"/>
      <c r="F273" s="42"/>
      <c r="G273" s="51"/>
      <c r="H273" s="99">
        <f>IFERROR(GETPIVOTDATA("Value",TD_WEAP_RAW!$A$3,"Variable",H$2,"Escenario",H$1,"Branch","Demand Sites and Catchments\"&amp;$D273),0)</f>
        <v>0</v>
      </c>
      <c r="I273" s="99">
        <f>IFERROR(GETPIVOTDATA("Value",TD_WEAP_RAW!$A$3,"Variable",I$2,"Escenario",I$1,"Branch","Demand Sites and Catchments\"&amp;$D273),0)</f>
        <v>0</v>
      </c>
      <c r="J273" s="99">
        <f>IFERROR(GETPIVOTDATA("Value",TD_WEAP_RAW!$A$3,"Variable",J$2,"Escenario",J$1,"Branch","Demand Sites and Catchments\"&amp;$D273),0)</f>
        <v>0</v>
      </c>
      <c r="K273" s="99">
        <f>IFERROR(GETPIVOTDATA("Value",TD_WEAP_RAW!$A$3,"Variable",K$2,"Escenario",K$1,"Branch","Demand Sites and Catchments\"&amp;$D273),0)</f>
        <v>0</v>
      </c>
      <c r="L273" s="99">
        <f>IFERROR(GETPIVOTDATA("Value",TD_WEAP_RAW!$A$3,"Variable",L$2,"Escenario",L$1,"Branch","Demand Sites and Catchments\"&amp;$D273),0)</f>
        <v>0</v>
      </c>
    </row>
    <row r="274" spans="4:12">
      <c r="D274" s="53"/>
      <c r="E274" s="42"/>
      <c r="F274" s="42"/>
      <c r="G274" s="51"/>
      <c r="H274" s="99">
        <f>IFERROR(GETPIVOTDATA("Value",TD_WEAP_RAW!$A$3,"Variable",H$2,"Escenario",H$1,"Branch","Demand Sites and Catchments\"&amp;$D274),0)</f>
        <v>0</v>
      </c>
      <c r="I274" s="99">
        <f>IFERROR(GETPIVOTDATA("Value",TD_WEAP_RAW!$A$3,"Variable",I$2,"Escenario",I$1,"Branch","Demand Sites and Catchments\"&amp;$D274),0)</f>
        <v>0</v>
      </c>
      <c r="J274" s="99">
        <f>IFERROR(GETPIVOTDATA("Value",TD_WEAP_RAW!$A$3,"Variable",J$2,"Escenario",J$1,"Branch","Demand Sites and Catchments\"&amp;$D274),0)</f>
        <v>0</v>
      </c>
      <c r="K274" s="99">
        <f>IFERROR(GETPIVOTDATA("Value",TD_WEAP_RAW!$A$3,"Variable",K$2,"Escenario",K$1,"Branch","Demand Sites and Catchments\"&amp;$D274),0)</f>
        <v>0</v>
      </c>
      <c r="L274" s="99">
        <f>IFERROR(GETPIVOTDATA("Value",TD_WEAP_RAW!$A$3,"Variable",L$2,"Escenario",L$1,"Branch","Demand Sites and Catchments\"&amp;$D274),0)</f>
        <v>0</v>
      </c>
    </row>
    <row r="275" spans="4:12">
      <c r="D275" s="53"/>
      <c r="E275" s="42"/>
      <c r="F275" s="42"/>
      <c r="G275" s="51"/>
      <c r="H275" s="99">
        <f>IFERROR(GETPIVOTDATA("Value",TD_WEAP_RAW!$A$3,"Variable",H$2,"Escenario",H$1,"Branch","Demand Sites and Catchments\"&amp;$D275),0)</f>
        <v>0</v>
      </c>
      <c r="I275" s="99">
        <f>IFERROR(GETPIVOTDATA("Value",TD_WEAP_RAW!$A$3,"Variable",I$2,"Escenario",I$1,"Branch","Demand Sites and Catchments\"&amp;$D275),0)</f>
        <v>0</v>
      </c>
      <c r="J275" s="99">
        <f>IFERROR(GETPIVOTDATA("Value",TD_WEAP_RAW!$A$3,"Variable",J$2,"Escenario",J$1,"Branch","Demand Sites and Catchments\"&amp;$D275),0)</f>
        <v>0</v>
      </c>
      <c r="K275" s="99">
        <f>IFERROR(GETPIVOTDATA("Value",TD_WEAP_RAW!$A$3,"Variable",K$2,"Escenario",K$1,"Branch","Demand Sites and Catchments\"&amp;$D275),0)</f>
        <v>0</v>
      </c>
      <c r="L275" s="99">
        <f>IFERROR(GETPIVOTDATA("Value",TD_WEAP_RAW!$A$3,"Variable",L$2,"Escenario",L$1,"Branch","Demand Sites and Catchments\"&amp;$D275),0)</f>
        <v>0</v>
      </c>
    </row>
    <row r="276" spans="4:12">
      <c r="D276" s="53"/>
      <c r="E276" s="42"/>
      <c r="F276" s="42"/>
      <c r="G276" s="51"/>
      <c r="H276" s="99">
        <f>IFERROR(GETPIVOTDATA("Value",TD_WEAP_RAW!$A$3,"Variable",H$2,"Escenario",H$1,"Branch","Demand Sites and Catchments\"&amp;$D276),0)</f>
        <v>0</v>
      </c>
      <c r="I276" s="99">
        <f>IFERROR(GETPIVOTDATA("Value",TD_WEAP_RAW!$A$3,"Variable",I$2,"Escenario",I$1,"Branch","Demand Sites and Catchments\"&amp;$D276),0)</f>
        <v>0</v>
      </c>
      <c r="J276" s="99">
        <f>IFERROR(GETPIVOTDATA("Value",TD_WEAP_RAW!$A$3,"Variable",J$2,"Escenario",J$1,"Branch","Demand Sites and Catchments\"&amp;$D276),0)</f>
        <v>0</v>
      </c>
      <c r="K276" s="99">
        <f>IFERROR(GETPIVOTDATA("Value",TD_WEAP_RAW!$A$3,"Variable",K$2,"Escenario",K$1,"Branch","Demand Sites and Catchments\"&amp;$D276),0)</f>
        <v>0</v>
      </c>
      <c r="L276" s="99">
        <f>IFERROR(GETPIVOTDATA("Value",TD_WEAP_RAW!$A$3,"Variable",L$2,"Escenario",L$1,"Branch","Demand Sites and Catchments\"&amp;$D276),0)</f>
        <v>0</v>
      </c>
    </row>
    <row r="277" spans="4:12">
      <c r="D277" s="53"/>
      <c r="E277" s="42"/>
      <c r="F277" s="42"/>
      <c r="G277" s="51"/>
      <c r="H277" s="99">
        <f>IFERROR(GETPIVOTDATA("Value",TD_WEAP_RAW!$A$3,"Variable",H$2,"Escenario",H$1,"Branch","Demand Sites and Catchments\"&amp;$D277),0)</f>
        <v>0</v>
      </c>
      <c r="I277" s="99">
        <f>IFERROR(GETPIVOTDATA("Value",TD_WEAP_RAW!$A$3,"Variable",I$2,"Escenario",I$1,"Branch","Demand Sites and Catchments\"&amp;$D277),0)</f>
        <v>0</v>
      </c>
      <c r="J277" s="99">
        <f>IFERROR(GETPIVOTDATA("Value",TD_WEAP_RAW!$A$3,"Variable",J$2,"Escenario",J$1,"Branch","Demand Sites and Catchments\"&amp;$D277),0)</f>
        <v>0</v>
      </c>
      <c r="K277" s="99">
        <f>IFERROR(GETPIVOTDATA("Value",TD_WEAP_RAW!$A$3,"Variable",K$2,"Escenario",K$1,"Branch","Demand Sites and Catchments\"&amp;$D277),0)</f>
        <v>0</v>
      </c>
      <c r="L277" s="99">
        <f>IFERROR(GETPIVOTDATA("Value",TD_WEAP_RAW!$A$3,"Variable",L$2,"Escenario",L$1,"Branch","Demand Sites and Catchments\"&amp;$D277),0)</f>
        <v>0</v>
      </c>
    </row>
    <row r="278" spans="4:12">
      <c r="D278" s="53"/>
      <c r="E278" s="42"/>
      <c r="F278" s="42"/>
      <c r="G278" s="51"/>
      <c r="H278" s="99">
        <f>IFERROR(GETPIVOTDATA("Value",TD_WEAP_RAW!$A$3,"Variable",H$2,"Escenario",H$1,"Branch","Demand Sites and Catchments\"&amp;$D278),0)</f>
        <v>0</v>
      </c>
      <c r="I278" s="99">
        <f>IFERROR(GETPIVOTDATA("Value",TD_WEAP_RAW!$A$3,"Variable",I$2,"Escenario",I$1,"Branch","Demand Sites and Catchments\"&amp;$D278),0)</f>
        <v>0</v>
      </c>
      <c r="J278" s="99">
        <f>IFERROR(GETPIVOTDATA("Value",TD_WEAP_RAW!$A$3,"Variable",J$2,"Escenario",J$1,"Branch","Demand Sites and Catchments\"&amp;$D278),0)</f>
        <v>0</v>
      </c>
      <c r="K278" s="99">
        <f>IFERROR(GETPIVOTDATA("Value",TD_WEAP_RAW!$A$3,"Variable",K$2,"Escenario",K$1,"Branch","Demand Sites and Catchments\"&amp;$D278),0)</f>
        <v>0</v>
      </c>
      <c r="L278" s="99">
        <f>IFERROR(GETPIVOTDATA("Value",TD_WEAP_RAW!$A$3,"Variable",L$2,"Escenario",L$1,"Branch","Demand Sites and Catchments\"&amp;$D278),0)</f>
        <v>0</v>
      </c>
    </row>
    <row r="279" spans="4:12">
      <c r="D279" s="53"/>
      <c r="E279" s="42"/>
      <c r="F279" s="42"/>
      <c r="G279" s="51"/>
      <c r="H279" s="99">
        <f>IFERROR(GETPIVOTDATA("Value",TD_WEAP_RAW!$A$3,"Variable",H$2,"Escenario",H$1,"Branch","Demand Sites and Catchments\"&amp;$D279),0)</f>
        <v>0</v>
      </c>
      <c r="I279" s="99">
        <f>IFERROR(GETPIVOTDATA("Value",TD_WEAP_RAW!$A$3,"Variable",I$2,"Escenario",I$1,"Branch","Demand Sites and Catchments\"&amp;$D279),0)</f>
        <v>0</v>
      </c>
      <c r="J279" s="99">
        <f>IFERROR(GETPIVOTDATA("Value",TD_WEAP_RAW!$A$3,"Variable",J$2,"Escenario",J$1,"Branch","Demand Sites and Catchments\"&amp;$D279),0)</f>
        <v>0</v>
      </c>
      <c r="K279" s="99">
        <f>IFERROR(GETPIVOTDATA("Value",TD_WEAP_RAW!$A$3,"Variable",K$2,"Escenario",K$1,"Branch","Demand Sites and Catchments\"&amp;$D279),0)</f>
        <v>0</v>
      </c>
      <c r="L279" s="99">
        <f>IFERROR(GETPIVOTDATA("Value",TD_WEAP_RAW!$A$3,"Variable",L$2,"Escenario",L$1,"Branch","Demand Sites and Catchments\"&amp;$D279),0)</f>
        <v>0</v>
      </c>
    </row>
    <row r="280" spans="4:12">
      <c r="D280" s="53"/>
      <c r="E280" s="42"/>
      <c r="F280" s="42"/>
      <c r="G280" s="51"/>
      <c r="H280" s="99">
        <f>IFERROR(GETPIVOTDATA("Value",TD_WEAP_RAW!$A$3,"Variable",H$2,"Escenario",H$1,"Branch","Demand Sites and Catchments\"&amp;$D280),0)</f>
        <v>0</v>
      </c>
      <c r="I280" s="99">
        <f>IFERROR(GETPIVOTDATA("Value",TD_WEAP_RAW!$A$3,"Variable",I$2,"Escenario",I$1,"Branch","Demand Sites and Catchments\"&amp;$D280),0)</f>
        <v>0</v>
      </c>
      <c r="J280" s="99">
        <f>IFERROR(GETPIVOTDATA("Value",TD_WEAP_RAW!$A$3,"Variable",J$2,"Escenario",J$1,"Branch","Demand Sites and Catchments\"&amp;$D280),0)</f>
        <v>0</v>
      </c>
      <c r="K280" s="99">
        <f>IFERROR(GETPIVOTDATA("Value",TD_WEAP_RAW!$A$3,"Variable",K$2,"Escenario",K$1,"Branch","Demand Sites and Catchments\"&amp;$D280),0)</f>
        <v>0</v>
      </c>
      <c r="L280" s="99">
        <f>IFERROR(GETPIVOTDATA("Value",TD_WEAP_RAW!$A$3,"Variable",L$2,"Escenario",L$1,"Branch","Demand Sites and Catchments\"&amp;$D280),0)</f>
        <v>0</v>
      </c>
    </row>
    <row r="281" spans="4:12">
      <c r="D281" s="53"/>
      <c r="E281" s="42"/>
      <c r="F281" s="42"/>
      <c r="G281" s="51"/>
      <c r="H281" s="99">
        <f>IFERROR(GETPIVOTDATA("Value",TD_WEAP_RAW!$A$3,"Variable",H$2,"Escenario",H$1,"Branch","Demand Sites and Catchments\"&amp;$D281),0)</f>
        <v>0</v>
      </c>
      <c r="I281" s="99">
        <f>IFERROR(GETPIVOTDATA("Value",TD_WEAP_RAW!$A$3,"Variable",I$2,"Escenario",I$1,"Branch","Demand Sites and Catchments\"&amp;$D281),0)</f>
        <v>0</v>
      </c>
      <c r="J281" s="99">
        <f>IFERROR(GETPIVOTDATA("Value",TD_WEAP_RAW!$A$3,"Variable",J$2,"Escenario",J$1,"Branch","Demand Sites and Catchments\"&amp;$D281),0)</f>
        <v>0</v>
      </c>
      <c r="K281" s="99">
        <f>IFERROR(GETPIVOTDATA("Value",TD_WEAP_RAW!$A$3,"Variable",K$2,"Escenario",K$1,"Branch","Demand Sites and Catchments\"&amp;$D281),0)</f>
        <v>0</v>
      </c>
      <c r="L281" s="99">
        <f>IFERROR(GETPIVOTDATA("Value",TD_WEAP_RAW!$A$3,"Variable",L$2,"Escenario",L$1,"Branch","Demand Sites and Catchments\"&amp;$D281),0)</f>
        <v>0</v>
      </c>
    </row>
    <row r="282" spans="4:12">
      <c r="D282" s="53"/>
      <c r="E282" s="42"/>
      <c r="F282" s="42"/>
      <c r="G282" s="51"/>
      <c r="H282" s="99">
        <f>IFERROR(GETPIVOTDATA("Value",TD_WEAP_RAW!$A$3,"Variable",H$2,"Escenario",H$1,"Branch","Demand Sites and Catchments\"&amp;$D282),0)</f>
        <v>0</v>
      </c>
      <c r="I282" s="99">
        <f>IFERROR(GETPIVOTDATA("Value",TD_WEAP_RAW!$A$3,"Variable",I$2,"Escenario",I$1,"Branch","Demand Sites and Catchments\"&amp;$D282),0)</f>
        <v>0</v>
      </c>
      <c r="J282" s="99">
        <f>IFERROR(GETPIVOTDATA("Value",TD_WEAP_RAW!$A$3,"Variable",J$2,"Escenario",J$1,"Branch","Demand Sites and Catchments\"&amp;$D282),0)</f>
        <v>0</v>
      </c>
      <c r="K282" s="99">
        <f>IFERROR(GETPIVOTDATA("Value",TD_WEAP_RAW!$A$3,"Variable",K$2,"Escenario",K$1,"Branch","Demand Sites and Catchments\"&amp;$D282),0)</f>
        <v>0</v>
      </c>
      <c r="L282" s="99">
        <f>IFERROR(GETPIVOTDATA("Value",TD_WEAP_RAW!$A$3,"Variable",L$2,"Escenario",L$1,"Branch","Demand Sites and Catchments\"&amp;$D282),0)</f>
        <v>0</v>
      </c>
    </row>
    <row r="283" spans="4:12">
      <c r="D283" s="53"/>
      <c r="E283" s="42"/>
      <c r="F283" s="42"/>
      <c r="G283" s="51"/>
      <c r="H283" s="99">
        <f>IFERROR(GETPIVOTDATA("Value",TD_WEAP_RAW!$A$3,"Variable",H$2,"Escenario",H$1,"Branch","Demand Sites and Catchments\"&amp;$D283),0)</f>
        <v>0</v>
      </c>
      <c r="I283" s="99">
        <f>IFERROR(GETPIVOTDATA("Value",TD_WEAP_RAW!$A$3,"Variable",I$2,"Escenario",I$1,"Branch","Demand Sites and Catchments\"&amp;$D283),0)</f>
        <v>0</v>
      </c>
      <c r="J283" s="99">
        <f>IFERROR(GETPIVOTDATA("Value",TD_WEAP_RAW!$A$3,"Variable",J$2,"Escenario",J$1,"Branch","Demand Sites and Catchments\"&amp;$D283),0)</f>
        <v>0</v>
      </c>
      <c r="K283" s="99">
        <f>IFERROR(GETPIVOTDATA("Value",TD_WEAP_RAW!$A$3,"Variable",K$2,"Escenario",K$1,"Branch","Demand Sites and Catchments\"&amp;$D283),0)</f>
        <v>0</v>
      </c>
      <c r="L283" s="99">
        <f>IFERROR(GETPIVOTDATA("Value",TD_WEAP_RAW!$A$3,"Variable",L$2,"Escenario",L$1,"Branch","Demand Sites and Catchments\"&amp;$D283),0)</f>
        <v>0</v>
      </c>
    </row>
    <row r="284" spans="4:12">
      <c r="D284" s="53"/>
      <c r="E284" s="42"/>
      <c r="F284" s="42"/>
      <c r="G284" s="51"/>
      <c r="H284" s="99">
        <f>IFERROR(GETPIVOTDATA("Value",TD_WEAP_RAW!$A$3,"Variable",H$2,"Escenario",H$1,"Branch","Demand Sites and Catchments\"&amp;$D284),0)</f>
        <v>0</v>
      </c>
      <c r="I284" s="99">
        <f>IFERROR(GETPIVOTDATA("Value",TD_WEAP_RAW!$A$3,"Variable",I$2,"Escenario",I$1,"Branch","Demand Sites and Catchments\"&amp;$D284),0)</f>
        <v>0</v>
      </c>
      <c r="J284" s="99">
        <f>IFERROR(GETPIVOTDATA("Value",TD_WEAP_RAW!$A$3,"Variable",J$2,"Escenario",J$1,"Branch","Demand Sites and Catchments\"&amp;$D284),0)</f>
        <v>0</v>
      </c>
      <c r="K284" s="99">
        <f>IFERROR(GETPIVOTDATA("Value",TD_WEAP_RAW!$A$3,"Variable",K$2,"Escenario",K$1,"Branch","Demand Sites and Catchments\"&amp;$D284),0)</f>
        <v>0</v>
      </c>
      <c r="L284" s="99">
        <f>IFERROR(GETPIVOTDATA("Value",TD_WEAP_RAW!$A$3,"Variable",L$2,"Escenario",L$1,"Branch","Demand Sites and Catchments\"&amp;$D284),0)</f>
        <v>0</v>
      </c>
    </row>
    <row r="285" spans="4:12">
      <c r="D285" s="53"/>
      <c r="E285" s="42"/>
      <c r="F285" s="42"/>
      <c r="G285" s="51"/>
      <c r="H285" s="99">
        <f>IFERROR(GETPIVOTDATA("Value",TD_WEAP_RAW!$A$3,"Variable",H$2,"Escenario",H$1,"Branch","Demand Sites and Catchments\"&amp;$D285),0)</f>
        <v>0</v>
      </c>
      <c r="I285" s="99">
        <f>IFERROR(GETPIVOTDATA("Value",TD_WEAP_RAW!$A$3,"Variable",I$2,"Escenario",I$1,"Branch","Demand Sites and Catchments\"&amp;$D285),0)</f>
        <v>0</v>
      </c>
      <c r="J285" s="99">
        <f>IFERROR(GETPIVOTDATA("Value",TD_WEAP_RAW!$A$3,"Variable",J$2,"Escenario",J$1,"Branch","Demand Sites and Catchments\"&amp;$D285),0)</f>
        <v>0</v>
      </c>
      <c r="K285" s="99">
        <f>IFERROR(GETPIVOTDATA("Value",TD_WEAP_RAW!$A$3,"Variable",K$2,"Escenario",K$1,"Branch","Demand Sites and Catchments\"&amp;$D285),0)</f>
        <v>0</v>
      </c>
      <c r="L285" s="99">
        <f>IFERROR(GETPIVOTDATA("Value",TD_WEAP_RAW!$A$3,"Variable",L$2,"Escenario",L$1,"Branch","Demand Sites and Catchments\"&amp;$D285),0)</f>
        <v>0</v>
      </c>
    </row>
    <row r="286" spans="4:12">
      <c r="D286" s="53"/>
      <c r="E286" s="42"/>
      <c r="F286" s="42"/>
      <c r="G286" s="51"/>
      <c r="H286" s="99">
        <f>IFERROR(GETPIVOTDATA("Value",TD_WEAP_RAW!$A$3,"Variable",H$2,"Escenario",H$1,"Branch","Demand Sites and Catchments\"&amp;$D286),0)</f>
        <v>0</v>
      </c>
      <c r="I286" s="99">
        <f>IFERROR(GETPIVOTDATA("Value",TD_WEAP_RAW!$A$3,"Variable",I$2,"Escenario",I$1,"Branch","Demand Sites and Catchments\"&amp;$D286),0)</f>
        <v>0</v>
      </c>
      <c r="J286" s="99">
        <f>IFERROR(GETPIVOTDATA("Value",TD_WEAP_RAW!$A$3,"Variable",J$2,"Escenario",J$1,"Branch","Demand Sites and Catchments\"&amp;$D286),0)</f>
        <v>0</v>
      </c>
      <c r="K286" s="99">
        <f>IFERROR(GETPIVOTDATA("Value",TD_WEAP_RAW!$A$3,"Variable",K$2,"Escenario",K$1,"Branch","Demand Sites and Catchments\"&amp;$D286),0)</f>
        <v>0</v>
      </c>
      <c r="L286" s="99">
        <f>IFERROR(GETPIVOTDATA("Value",TD_WEAP_RAW!$A$3,"Variable",L$2,"Escenario",L$1,"Branch","Demand Sites and Catchments\"&amp;$D286),0)</f>
        <v>0</v>
      </c>
    </row>
    <row r="287" spans="4:12">
      <c r="D287" s="53"/>
      <c r="E287" s="42"/>
      <c r="F287" s="42"/>
      <c r="G287" s="51"/>
      <c r="H287" s="99">
        <f>IFERROR(GETPIVOTDATA("Value",TD_WEAP_RAW!$A$3,"Variable",H$2,"Escenario",H$1,"Branch","Demand Sites and Catchments\"&amp;$D287),0)</f>
        <v>0</v>
      </c>
      <c r="I287" s="99">
        <f>IFERROR(GETPIVOTDATA("Value",TD_WEAP_RAW!$A$3,"Variable",I$2,"Escenario",I$1,"Branch","Demand Sites and Catchments\"&amp;$D287),0)</f>
        <v>0</v>
      </c>
      <c r="J287" s="99">
        <f>IFERROR(GETPIVOTDATA("Value",TD_WEAP_RAW!$A$3,"Variable",J$2,"Escenario",J$1,"Branch","Demand Sites and Catchments\"&amp;$D287),0)</f>
        <v>0</v>
      </c>
      <c r="K287" s="99">
        <f>IFERROR(GETPIVOTDATA("Value",TD_WEAP_RAW!$A$3,"Variable",K$2,"Escenario",K$1,"Branch","Demand Sites and Catchments\"&amp;$D287),0)</f>
        <v>0</v>
      </c>
      <c r="L287" s="99">
        <f>IFERROR(GETPIVOTDATA("Value",TD_WEAP_RAW!$A$3,"Variable",L$2,"Escenario",L$1,"Branch","Demand Sites and Catchments\"&amp;$D287),0)</f>
        <v>0</v>
      </c>
    </row>
    <row r="288" spans="4:12">
      <c r="D288" s="53"/>
      <c r="E288" s="42"/>
      <c r="F288" s="42"/>
      <c r="G288" s="51"/>
      <c r="H288" s="99">
        <f>IFERROR(GETPIVOTDATA("Value",TD_WEAP_RAW!$A$3,"Variable",H$2,"Escenario",H$1,"Branch","Demand Sites and Catchments\"&amp;$D288),0)</f>
        <v>0</v>
      </c>
      <c r="I288" s="99">
        <f>IFERROR(GETPIVOTDATA("Value",TD_WEAP_RAW!$A$3,"Variable",I$2,"Escenario",I$1,"Branch","Demand Sites and Catchments\"&amp;$D288),0)</f>
        <v>0</v>
      </c>
      <c r="J288" s="99">
        <f>IFERROR(GETPIVOTDATA("Value",TD_WEAP_RAW!$A$3,"Variable",J$2,"Escenario",J$1,"Branch","Demand Sites and Catchments\"&amp;$D288),0)</f>
        <v>0</v>
      </c>
      <c r="K288" s="99">
        <f>IFERROR(GETPIVOTDATA("Value",TD_WEAP_RAW!$A$3,"Variable",K$2,"Escenario",K$1,"Branch","Demand Sites and Catchments\"&amp;$D288),0)</f>
        <v>0</v>
      </c>
      <c r="L288" s="99">
        <f>IFERROR(GETPIVOTDATA("Value",TD_WEAP_RAW!$A$3,"Variable",L$2,"Escenario",L$1,"Branch","Demand Sites and Catchments\"&amp;$D288),0)</f>
        <v>0</v>
      </c>
    </row>
    <row r="289" spans="4:12">
      <c r="D289" s="53"/>
      <c r="E289" s="42"/>
      <c r="F289" s="42"/>
      <c r="G289" s="51"/>
      <c r="H289" s="99">
        <f>IFERROR(GETPIVOTDATA("Value",TD_WEAP_RAW!$A$3,"Variable",H$2,"Escenario",H$1,"Branch","Demand Sites and Catchments\"&amp;$D289),0)</f>
        <v>0</v>
      </c>
      <c r="I289" s="99">
        <f>IFERROR(GETPIVOTDATA("Value",TD_WEAP_RAW!$A$3,"Variable",I$2,"Escenario",I$1,"Branch","Demand Sites and Catchments\"&amp;$D289),0)</f>
        <v>0</v>
      </c>
      <c r="J289" s="99">
        <f>IFERROR(GETPIVOTDATA("Value",TD_WEAP_RAW!$A$3,"Variable",J$2,"Escenario",J$1,"Branch","Demand Sites and Catchments\"&amp;$D289),0)</f>
        <v>0</v>
      </c>
      <c r="K289" s="99">
        <f>IFERROR(GETPIVOTDATA("Value",TD_WEAP_RAW!$A$3,"Variable",K$2,"Escenario",K$1,"Branch","Demand Sites and Catchments\"&amp;$D289),0)</f>
        <v>0</v>
      </c>
      <c r="L289" s="99">
        <f>IFERROR(GETPIVOTDATA("Value",TD_WEAP_RAW!$A$3,"Variable",L$2,"Escenario",L$1,"Branch","Demand Sites and Catchments\"&amp;$D289),0)</f>
        <v>0</v>
      </c>
    </row>
    <row r="290" spans="4:12">
      <c r="D290" s="53"/>
      <c r="E290" s="42"/>
      <c r="F290" s="42"/>
      <c r="G290" s="51"/>
      <c r="H290" s="99">
        <f>IFERROR(GETPIVOTDATA("Value",TD_WEAP_RAW!$A$3,"Variable",H$2,"Escenario",H$1,"Branch","Demand Sites and Catchments\"&amp;$D290),0)</f>
        <v>0</v>
      </c>
      <c r="I290" s="99">
        <f>IFERROR(GETPIVOTDATA("Value",TD_WEAP_RAW!$A$3,"Variable",I$2,"Escenario",I$1,"Branch","Demand Sites and Catchments\"&amp;$D290),0)</f>
        <v>0</v>
      </c>
      <c r="J290" s="99">
        <f>IFERROR(GETPIVOTDATA("Value",TD_WEAP_RAW!$A$3,"Variable",J$2,"Escenario",J$1,"Branch","Demand Sites and Catchments\"&amp;$D290),0)</f>
        <v>0</v>
      </c>
      <c r="K290" s="99">
        <f>IFERROR(GETPIVOTDATA("Value",TD_WEAP_RAW!$A$3,"Variable",K$2,"Escenario",K$1,"Branch","Demand Sites and Catchments\"&amp;$D290),0)</f>
        <v>0</v>
      </c>
      <c r="L290" s="99">
        <f>IFERROR(GETPIVOTDATA("Value",TD_WEAP_RAW!$A$3,"Variable",L$2,"Escenario",L$1,"Branch","Demand Sites and Catchments\"&amp;$D290),0)</f>
        <v>0</v>
      </c>
    </row>
    <row r="291" spans="4:12">
      <c r="D291" s="53"/>
      <c r="E291" s="42"/>
      <c r="F291" s="42"/>
      <c r="G291" s="51"/>
      <c r="H291" s="99">
        <f>IFERROR(GETPIVOTDATA("Value",TD_WEAP_RAW!$A$3,"Variable",H$2,"Escenario",H$1,"Branch","Demand Sites and Catchments\"&amp;$D291),0)</f>
        <v>0</v>
      </c>
      <c r="I291" s="99">
        <f>IFERROR(GETPIVOTDATA("Value",TD_WEAP_RAW!$A$3,"Variable",I$2,"Escenario",I$1,"Branch","Demand Sites and Catchments\"&amp;$D291),0)</f>
        <v>0</v>
      </c>
      <c r="J291" s="99">
        <f>IFERROR(GETPIVOTDATA("Value",TD_WEAP_RAW!$A$3,"Variable",J$2,"Escenario",J$1,"Branch","Demand Sites and Catchments\"&amp;$D291),0)</f>
        <v>0</v>
      </c>
      <c r="K291" s="99">
        <f>IFERROR(GETPIVOTDATA("Value",TD_WEAP_RAW!$A$3,"Variable",K$2,"Escenario",K$1,"Branch","Demand Sites and Catchments\"&amp;$D291),0)</f>
        <v>0</v>
      </c>
      <c r="L291" s="99">
        <f>IFERROR(GETPIVOTDATA("Value",TD_WEAP_RAW!$A$3,"Variable",L$2,"Escenario",L$1,"Branch","Demand Sites and Catchments\"&amp;$D291),0)</f>
        <v>0</v>
      </c>
    </row>
    <row r="292" spans="4:12">
      <c r="D292" s="53"/>
      <c r="E292" s="42"/>
      <c r="F292" s="42"/>
      <c r="G292" s="51"/>
      <c r="H292" s="99">
        <f>IFERROR(GETPIVOTDATA("Value",TD_WEAP_RAW!$A$3,"Variable",H$2,"Escenario",H$1,"Branch","Demand Sites and Catchments\"&amp;$D292),0)</f>
        <v>0</v>
      </c>
      <c r="I292" s="99">
        <f>IFERROR(GETPIVOTDATA("Value",TD_WEAP_RAW!$A$3,"Variable",I$2,"Escenario",I$1,"Branch","Demand Sites and Catchments\"&amp;$D292),0)</f>
        <v>0</v>
      </c>
      <c r="J292" s="99">
        <f>IFERROR(GETPIVOTDATA("Value",TD_WEAP_RAW!$A$3,"Variable",J$2,"Escenario",J$1,"Branch","Demand Sites and Catchments\"&amp;$D292),0)</f>
        <v>0</v>
      </c>
      <c r="K292" s="99">
        <f>IFERROR(GETPIVOTDATA("Value",TD_WEAP_RAW!$A$3,"Variable",K$2,"Escenario",K$1,"Branch","Demand Sites and Catchments\"&amp;$D292),0)</f>
        <v>0</v>
      </c>
      <c r="L292" s="99">
        <f>IFERROR(GETPIVOTDATA("Value",TD_WEAP_RAW!$A$3,"Variable",L$2,"Escenario",L$1,"Branch","Demand Sites and Catchments\"&amp;$D292),0)</f>
        <v>0</v>
      </c>
    </row>
    <row r="293" spans="4:12">
      <c r="D293" s="53"/>
      <c r="E293" s="42"/>
      <c r="F293" s="42"/>
      <c r="G293" s="51"/>
      <c r="H293" s="99">
        <f>IFERROR(GETPIVOTDATA("Value",TD_WEAP_RAW!$A$3,"Variable",H$2,"Escenario",H$1,"Branch","Demand Sites and Catchments\"&amp;$D293),0)</f>
        <v>0</v>
      </c>
      <c r="I293" s="99">
        <f>IFERROR(GETPIVOTDATA("Value",TD_WEAP_RAW!$A$3,"Variable",I$2,"Escenario",I$1,"Branch","Demand Sites and Catchments\"&amp;$D293),0)</f>
        <v>0</v>
      </c>
      <c r="J293" s="99">
        <f>IFERROR(GETPIVOTDATA("Value",TD_WEAP_RAW!$A$3,"Variable",J$2,"Escenario",J$1,"Branch","Demand Sites and Catchments\"&amp;$D293),0)</f>
        <v>0</v>
      </c>
      <c r="K293" s="99">
        <f>IFERROR(GETPIVOTDATA("Value",TD_WEAP_RAW!$A$3,"Variable",K$2,"Escenario",K$1,"Branch","Demand Sites and Catchments\"&amp;$D293),0)</f>
        <v>0</v>
      </c>
      <c r="L293" s="99">
        <f>IFERROR(GETPIVOTDATA("Value",TD_WEAP_RAW!$A$3,"Variable",L$2,"Escenario",L$1,"Branch","Demand Sites and Catchments\"&amp;$D293),0)</f>
        <v>0</v>
      </c>
    </row>
    <row r="294" spans="4:12">
      <c r="D294" s="53"/>
      <c r="E294" s="42"/>
      <c r="F294" s="42"/>
      <c r="G294" s="51"/>
      <c r="H294" s="99">
        <f>IFERROR(GETPIVOTDATA("Value",TD_WEAP_RAW!$A$3,"Variable",H$2,"Escenario",H$1,"Branch","Demand Sites and Catchments\"&amp;$D294),0)</f>
        <v>0</v>
      </c>
      <c r="I294" s="99">
        <f>IFERROR(GETPIVOTDATA("Value",TD_WEAP_RAW!$A$3,"Variable",I$2,"Escenario",I$1,"Branch","Demand Sites and Catchments\"&amp;$D294),0)</f>
        <v>0</v>
      </c>
      <c r="J294" s="99">
        <f>IFERROR(GETPIVOTDATA("Value",TD_WEAP_RAW!$A$3,"Variable",J$2,"Escenario",J$1,"Branch","Demand Sites and Catchments\"&amp;$D294),0)</f>
        <v>0</v>
      </c>
      <c r="K294" s="99">
        <f>IFERROR(GETPIVOTDATA("Value",TD_WEAP_RAW!$A$3,"Variable",K$2,"Escenario",K$1,"Branch","Demand Sites and Catchments\"&amp;$D294),0)</f>
        <v>0</v>
      </c>
      <c r="L294" s="99">
        <f>IFERROR(GETPIVOTDATA("Value",TD_WEAP_RAW!$A$3,"Variable",L$2,"Escenario",L$1,"Branch","Demand Sites and Catchments\"&amp;$D294),0)</f>
        <v>0</v>
      </c>
    </row>
    <row r="295" spans="4:12">
      <c r="D295" s="53"/>
      <c r="E295" s="42"/>
      <c r="F295" s="42"/>
      <c r="G295" s="51"/>
      <c r="H295" s="99">
        <f>IFERROR(GETPIVOTDATA("Value",TD_WEAP_RAW!$A$3,"Variable",H$2,"Escenario",H$1,"Branch","Demand Sites and Catchments\"&amp;$D295),0)</f>
        <v>0</v>
      </c>
      <c r="I295" s="99">
        <f>IFERROR(GETPIVOTDATA("Value",TD_WEAP_RAW!$A$3,"Variable",I$2,"Escenario",I$1,"Branch","Demand Sites and Catchments\"&amp;$D295),0)</f>
        <v>0</v>
      </c>
      <c r="J295" s="99">
        <f>IFERROR(GETPIVOTDATA("Value",TD_WEAP_RAW!$A$3,"Variable",J$2,"Escenario",J$1,"Branch","Demand Sites and Catchments\"&amp;$D295),0)</f>
        <v>0</v>
      </c>
      <c r="K295" s="99">
        <f>IFERROR(GETPIVOTDATA("Value",TD_WEAP_RAW!$A$3,"Variable",K$2,"Escenario",K$1,"Branch","Demand Sites and Catchments\"&amp;$D295),0)</f>
        <v>0</v>
      </c>
      <c r="L295" s="99">
        <f>IFERROR(GETPIVOTDATA("Value",TD_WEAP_RAW!$A$3,"Variable",L$2,"Escenario",L$1,"Branch","Demand Sites and Catchments\"&amp;$D295),0)</f>
        <v>0</v>
      </c>
    </row>
    <row r="296" spans="4:12">
      <c r="D296" s="53"/>
      <c r="E296" s="42"/>
      <c r="F296" s="42"/>
      <c r="G296" s="51"/>
      <c r="H296" s="99">
        <f>IFERROR(GETPIVOTDATA("Value",TD_WEAP_RAW!$A$3,"Variable",H$2,"Escenario",H$1,"Branch","Demand Sites and Catchments\"&amp;$D296),0)</f>
        <v>0</v>
      </c>
      <c r="I296" s="99">
        <f>IFERROR(GETPIVOTDATA("Value",TD_WEAP_RAW!$A$3,"Variable",I$2,"Escenario",I$1,"Branch","Demand Sites and Catchments\"&amp;$D296),0)</f>
        <v>0</v>
      </c>
      <c r="J296" s="99">
        <f>IFERROR(GETPIVOTDATA("Value",TD_WEAP_RAW!$A$3,"Variable",J$2,"Escenario",J$1,"Branch","Demand Sites and Catchments\"&amp;$D296),0)</f>
        <v>0</v>
      </c>
      <c r="K296" s="99">
        <f>IFERROR(GETPIVOTDATA("Value",TD_WEAP_RAW!$A$3,"Variable",K$2,"Escenario",K$1,"Branch","Demand Sites and Catchments\"&amp;$D296),0)</f>
        <v>0</v>
      </c>
      <c r="L296" s="99">
        <f>IFERROR(GETPIVOTDATA("Value",TD_WEAP_RAW!$A$3,"Variable",L$2,"Escenario",L$1,"Branch","Demand Sites and Catchments\"&amp;$D296),0)</f>
        <v>0</v>
      </c>
    </row>
    <row r="297" spans="4:12">
      <c r="D297" s="53"/>
      <c r="E297" s="42"/>
      <c r="F297" s="42"/>
      <c r="G297" s="51"/>
      <c r="H297" s="99">
        <f>IFERROR(GETPIVOTDATA("Value",TD_WEAP_RAW!$A$3,"Variable",H$2,"Escenario",H$1,"Branch","Demand Sites and Catchments\"&amp;$D297),0)</f>
        <v>0</v>
      </c>
      <c r="I297" s="99">
        <f>IFERROR(GETPIVOTDATA("Value",TD_WEAP_RAW!$A$3,"Variable",I$2,"Escenario",I$1,"Branch","Demand Sites and Catchments\"&amp;$D297),0)</f>
        <v>0</v>
      </c>
      <c r="J297" s="99">
        <f>IFERROR(GETPIVOTDATA("Value",TD_WEAP_RAW!$A$3,"Variable",J$2,"Escenario",J$1,"Branch","Demand Sites and Catchments\"&amp;$D297),0)</f>
        <v>0</v>
      </c>
      <c r="K297" s="99">
        <f>IFERROR(GETPIVOTDATA("Value",TD_WEAP_RAW!$A$3,"Variable",K$2,"Escenario",K$1,"Branch","Demand Sites and Catchments\"&amp;$D297),0)</f>
        <v>0</v>
      </c>
      <c r="L297" s="99">
        <f>IFERROR(GETPIVOTDATA("Value",TD_WEAP_RAW!$A$3,"Variable",L$2,"Escenario",L$1,"Branch","Demand Sites and Catchments\"&amp;$D297),0)</f>
        <v>0</v>
      </c>
    </row>
    <row r="298" spans="4:12">
      <c r="D298" s="53"/>
      <c r="E298" s="42"/>
      <c r="F298" s="42"/>
      <c r="G298" s="51"/>
      <c r="H298" s="99">
        <f>IFERROR(GETPIVOTDATA("Value",TD_WEAP_RAW!$A$3,"Variable",H$2,"Escenario",H$1,"Branch","Demand Sites and Catchments\"&amp;$D298),0)</f>
        <v>0</v>
      </c>
      <c r="I298" s="99">
        <f>IFERROR(GETPIVOTDATA("Value",TD_WEAP_RAW!$A$3,"Variable",I$2,"Escenario",I$1,"Branch","Demand Sites and Catchments\"&amp;$D298),0)</f>
        <v>0</v>
      </c>
      <c r="J298" s="99">
        <f>IFERROR(GETPIVOTDATA("Value",TD_WEAP_RAW!$A$3,"Variable",J$2,"Escenario",J$1,"Branch","Demand Sites and Catchments\"&amp;$D298),0)</f>
        <v>0</v>
      </c>
      <c r="K298" s="99">
        <f>IFERROR(GETPIVOTDATA("Value",TD_WEAP_RAW!$A$3,"Variable",K$2,"Escenario",K$1,"Branch","Demand Sites and Catchments\"&amp;$D298),0)</f>
        <v>0</v>
      </c>
      <c r="L298" s="99">
        <f>IFERROR(GETPIVOTDATA("Value",TD_WEAP_RAW!$A$3,"Variable",L$2,"Escenario",L$1,"Branch","Demand Sites and Catchments\"&amp;$D298),0)</f>
        <v>0</v>
      </c>
    </row>
    <row r="299" spans="4:12">
      <c r="D299" s="53"/>
      <c r="E299" s="42"/>
      <c r="F299" s="42"/>
      <c r="G299" s="51"/>
      <c r="H299" s="99">
        <f>IFERROR(GETPIVOTDATA("Value",TD_WEAP_RAW!$A$3,"Variable",H$2,"Escenario",H$1,"Branch","Demand Sites and Catchments\"&amp;$D299),0)</f>
        <v>0</v>
      </c>
      <c r="I299" s="99">
        <f>IFERROR(GETPIVOTDATA("Value",TD_WEAP_RAW!$A$3,"Variable",I$2,"Escenario",I$1,"Branch","Demand Sites and Catchments\"&amp;$D299),0)</f>
        <v>0</v>
      </c>
      <c r="J299" s="99">
        <f>IFERROR(GETPIVOTDATA("Value",TD_WEAP_RAW!$A$3,"Variable",J$2,"Escenario",J$1,"Branch","Demand Sites and Catchments\"&amp;$D299),0)</f>
        <v>0</v>
      </c>
      <c r="K299" s="99">
        <f>IFERROR(GETPIVOTDATA("Value",TD_WEAP_RAW!$A$3,"Variable",K$2,"Escenario",K$1,"Branch","Demand Sites and Catchments\"&amp;$D299),0)</f>
        <v>0</v>
      </c>
      <c r="L299" s="99">
        <f>IFERROR(GETPIVOTDATA("Value",TD_WEAP_RAW!$A$3,"Variable",L$2,"Escenario",L$1,"Branch","Demand Sites and Catchments\"&amp;$D299),0)</f>
        <v>0</v>
      </c>
    </row>
    <row r="300" spans="4:12">
      <c r="D300" s="53"/>
      <c r="E300" s="42"/>
      <c r="F300" s="42"/>
      <c r="G300" s="51"/>
      <c r="H300" s="99">
        <f>IFERROR(GETPIVOTDATA("Value",TD_WEAP_RAW!$A$3,"Variable",H$2,"Escenario",H$1,"Branch","Demand Sites and Catchments\"&amp;$D300),0)</f>
        <v>0</v>
      </c>
      <c r="I300" s="99">
        <f>IFERROR(GETPIVOTDATA("Value",TD_WEAP_RAW!$A$3,"Variable",I$2,"Escenario",I$1,"Branch","Demand Sites and Catchments\"&amp;$D300),0)</f>
        <v>0</v>
      </c>
      <c r="J300" s="99">
        <f>IFERROR(GETPIVOTDATA("Value",TD_WEAP_RAW!$A$3,"Variable",J$2,"Escenario",J$1,"Branch","Demand Sites and Catchments\"&amp;$D300),0)</f>
        <v>0</v>
      </c>
      <c r="K300" s="99">
        <f>IFERROR(GETPIVOTDATA("Value",TD_WEAP_RAW!$A$3,"Variable",K$2,"Escenario",K$1,"Branch","Demand Sites and Catchments\"&amp;$D300),0)</f>
        <v>0</v>
      </c>
      <c r="L300" s="99">
        <f>IFERROR(GETPIVOTDATA("Value",TD_WEAP_RAW!$A$3,"Variable",L$2,"Escenario",L$1,"Branch","Demand Sites and Catchments\"&amp;$D300),0)</f>
        <v>0</v>
      </c>
    </row>
    <row r="301" spans="4:12">
      <c r="D301" s="53"/>
      <c r="E301" s="42"/>
      <c r="F301" s="42"/>
      <c r="G301" s="51"/>
      <c r="H301" s="99">
        <f>IFERROR(GETPIVOTDATA("Value",TD_WEAP_RAW!$A$3,"Variable",H$2,"Escenario",H$1,"Branch","Demand Sites and Catchments\"&amp;$D301),0)</f>
        <v>0</v>
      </c>
      <c r="I301" s="99">
        <f>IFERROR(GETPIVOTDATA("Value",TD_WEAP_RAW!$A$3,"Variable",I$2,"Escenario",I$1,"Branch","Demand Sites and Catchments\"&amp;$D301),0)</f>
        <v>0</v>
      </c>
      <c r="J301" s="99">
        <f>IFERROR(GETPIVOTDATA("Value",TD_WEAP_RAW!$A$3,"Variable",J$2,"Escenario",J$1,"Branch","Demand Sites and Catchments\"&amp;$D301),0)</f>
        <v>0</v>
      </c>
      <c r="K301" s="99">
        <f>IFERROR(GETPIVOTDATA("Value",TD_WEAP_RAW!$A$3,"Variable",K$2,"Escenario",K$1,"Branch","Demand Sites and Catchments\"&amp;$D301),0)</f>
        <v>0</v>
      </c>
      <c r="L301" s="99">
        <f>IFERROR(GETPIVOTDATA("Value",TD_WEAP_RAW!$A$3,"Variable",L$2,"Escenario",L$1,"Branch","Demand Sites and Catchments\"&amp;$D301),0)</f>
        <v>0</v>
      </c>
    </row>
    <row r="302" spans="4:12">
      <c r="D302" s="53"/>
      <c r="E302" s="42"/>
      <c r="F302" s="42"/>
      <c r="G302" s="51"/>
      <c r="H302" s="99">
        <f>IFERROR(GETPIVOTDATA("Value",TD_WEAP_RAW!$A$3,"Variable",H$2,"Escenario",H$1,"Branch","Demand Sites and Catchments\"&amp;$D302),0)</f>
        <v>0</v>
      </c>
      <c r="I302" s="99">
        <f>IFERROR(GETPIVOTDATA("Value",TD_WEAP_RAW!$A$3,"Variable",I$2,"Escenario",I$1,"Branch","Demand Sites and Catchments\"&amp;$D302),0)</f>
        <v>0</v>
      </c>
      <c r="J302" s="99">
        <f>IFERROR(GETPIVOTDATA("Value",TD_WEAP_RAW!$A$3,"Variable",J$2,"Escenario",J$1,"Branch","Demand Sites and Catchments\"&amp;$D302),0)</f>
        <v>0</v>
      </c>
      <c r="K302" s="99">
        <f>IFERROR(GETPIVOTDATA("Value",TD_WEAP_RAW!$A$3,"Variable",K$2,"Escenario",K$1,"Branch","Demand Sites and Catchments\"&amp;$D302),0)</f>
        <v>0</v>
      </c>
      <c r="L302" s="99">
        <f>IFERROR(GETPIVOTDATA("Value",TD_WEAP_RAW!$A$3,"Variable",L$2,"Escenario",L$1,"Branch","Demand Sites and Catchments\"&amp;$D302),0)</f>
        <v>0</v>
      </c>
    </row>
    <row r="303" spans="4:12">
      <c r="D303" s="53"/>
      <c r="E303" s="42"/>
      <c r="F303" s="42"/>
      <c r="G303" s="51"/>
      <c r="H303" s="99">
        <f>IFERROR(GETPIVOTDATA("Value",TD_WEAP_RAW!$A$3,"Variable",H$2,"Escenario",H$1,"Branch","Demand Sites and Catchments\"&amp;$D303),0)</f>
        <v>0</v>
      </c>
      <c r="I303" s="99">
        <f>IFERROR(GETPIVOTDATA("Value",TD_WEAP_RAW!$A$3,"Variable",I$2,"Escenario",I$1,"Branch","Demand Sites and Catchments\"&amp;$D303),0)</f>
        <v>0</v>
      </c>
      <c r="J303" s="99">
        <f>IFERROR(GETPIVOTDATA("Value",TD_WEAP_RAW!$A$3,"Variable",J$2,"Escenario",J$1,"Branch","Demand Sites and Catchments\"&amp;$D303),0)</f>
        <v>0</v>
      </c>
      <c r="K303" s="99">
        <f>IFERROR(GETPIVOTDATA("Value",TD_WEAP_RAW!$A$3,"Variable",K$2,"Escenario",K$1,"Branch","Demand Sites and Catchments\"&amp;$D303),0)</f>
        <v>0</v>
      </c>
      <c r="L303" s="99">
        <f>IFERROR(GETPIVOTDATA("Value",TD_WEAP_RAW!$A$3,"Variable",L$2,"Escenario",L$1,"Branch","Demand Sites and Catchments\"&amp;$D303),0)</f>
        <v>0</v>
      </c>
    </row>
    <row r="304" spans="4:12">
      <c r="D304" s="53"/>
      <c r="E304" s="42"/>
      <c r="F304" s="42"/>
      <c r="G304" s="51"/>
      <c r="H304" s="99">
        <f>IFERROR(GETPIVOTDATA("Value",TD_WEAP_RAW!$A$3,"Variable",H$2,"Escenario",H$1,"Branch","Demand Sites and Catchments\"&amp;$D304),0)</f>
        <v>0</v>
      </c>
      <c r="I304" s="99">
        <f>IFERROR(GETPIVOTDATA("Value",TD_WEAP_RAW!$A$3,"Variable",I$2,"Escenario",I$1,"Branch","Demand Sites and Catchments\"&amp;$D304),0)</f>
        <v>0</v>
      </c>
      <c r="J304" s="99">
        <f>IFERROR(GETPIVOTDATA("Value",TD_WEAP_RAW!$A$3,"Variable",J$2,"Escenario",J$1,"Branch","Demand Sites and Catchments\"&amp;$D304),0)</f>
        <v>0</v>
      </c>
      <c r="K304" s="99">
        <f>IFERROR(GETPIVOTDATA("Value",TD_WEAP_RAW!$A$3,"Variable",K$2,"Escenario",K$1,"Branch","Demand Sites and Catchments\"&amp;$D304),0)</f>
        <v>0</v>
      </c>
      <c r="L304" s="99">
        <f>IFERROR(GETPIVOTDATA("Value",TD_WEAP_RAW!$A$3,"Variable",L$2,"Escenario",L$1,"Branch","Demand Sites and Catchments\"&amp;$D304),0)</f>
        <v>0</v>
      </c>
    </row>
    <row r="305" spans="4:12">
      <c r="D305" s="53"/>
      <c r="G305" s="51"/>
      <c r="H305" s="99">
        <f>IFERROR(GETPIVOTDATA("Value",TD_WEAP_RAW!$A$3,"Variable",H$2,"Escenario",H$1,"Branch","Demand Sites and Catchments\"&amp;$D305),0)</f>
        <v>0</v>
      </c>
      <c r="I305" s="99">
        <f>IFERROR(GETPIVOTDATA("Value",TD_WEAP_RAW!$A$3,"Variable",I$2,"Escenario",I$1,"Branch","Demand Sites and Catchments\"&amp;$D305),0)</f>
        <v>0</v>
      </c>
      <c r="J305" s="99">
        <f>IFERROR(GETPIVOTDATA("Value",TD_WEAP_RAW!$A$3,"Variable",J$2,"Escenario",J$1,"Branch","Demand Sites and Catchments\"&amp;$D305),0)</f>
        <v>0</v>
      </c>
      <c r="K305" s="99">
        <f>IFERROR(GETPIVOTDATA("Value",TD_WEAP_RAW!$A$3,"Variable",K$2,"Escenario",K$1,"Branch","Demand Sites and Catchments\"&amp;$D305),0)</f>
        <v>0</v>
      </c>
      <c r="L305" s="99">
        <f>IFERROR(GETPIVOTDATA("Value",TD_WEAP_RAW!$A$3,"Variable",L$2,"Escenario",L$1,"Branch","Demand Sites and Catchments\"&amp;$D305),0)</f>
        <v>0</v>
      </c>
    </row>
    <row r="306" spans="4:12">
      <c r="D306" s="53"/>
      <c r="G306" s="51"/>
      <c r="H306" s="99">
        <f>IFERROR(GETPIVOTDATA("Value",TD_WEAP_RAW!$A$3,"Variable",H$2,"Escenario",H$1,"Branch","Demand Sites and Catchments\"&amp;$D306),0)</f>
        <v>0</v>
      </c>
      <c r="I306" s="99">
        <f>IFERROR(GETPIVOTDATA("Value",TD_WEAP_RAW!$A$3,"Variable",I$2,"Escenario",I$1,"Branch","Demand Sites and Catchments\"&amp;$D306),0)</f>
        <v>0</v>
      </c>
      <c r="J306" s="99">
        <f>IFERROR(GETPIVOTDATA("Value",TD_WEAP_RAW!$A$3,"Variable",J$2,"Escenario",J$1,"Branch","Demand Sites and Catchments\"&amp;$D306),0)</f>
        <v>0</v>
      </c>
      <c r="K306" s="99">
        <f>IFERROR(GETPIVOTDATA("Value",TD_WEAP_RAW!$A$3,"Variable",K$2,"Escenario",K$1,"Branch","Demand Sites and Catchments\"&amp;$D306),0)</f>
        <v>0</v>
      </c>
      <c r="L306" s="99">
        <f>IFERROR(GETPIVOTDATA("Value",TD_WEAP_RAW!$A$3,"Variable",L$2,"Escenario",L$1,"Branch","Demand Sites and Catchments\"&amp;$D306),0)</f>
        <v>0</v>
      </c>
    </row>
    <row r="307" spans="4:12">
      <c r="D307" s="53"/>
      <c r="G307" s="51"/>
      <c r="H307" s="99">
        <f>IFERROR(GETPIVOTDATA("Value",TD_WEAP_RAW!$A$3,"Variable",H$2,"Escenario",H$1,"Branch","Demand Sites and Catchments\"&amp;$D307),0)</f>
        <v>0</v>
      </c>
      <c r="I307" s="99">
        <f>IFERROR(GETPIVOTDATA("Value",TD_WEAP_RAW!$A$3,"Variable",I$2,"Escenario",I$1,"Branch","Demand Sites and Catchments\"&amp;$D307),0)</f>
        <v>0</v>
      </c>
      <c r="J307" s="99">
        <f>IFERROR(GETPIVOTDATA("Value",TD_WEAP_RAW!$A$3,"Variable",J$2,"Escenario",J$1,"Branch","Demand Sites and Catchments\"&amp;$D307),0)</f>
        <v>0</v>
      </c>
      <c r="K307" s="99">
        <f>IFERROR(GETPIVOTDATA("Value",TD_WEAP_RAW!$A$3,"Variable",K$2,"Escenario",K$1,"Branch","Demand Sites and Catchments\"&amp;$D307),0)</f>
        <v>0</v>
      </c>
      <c r="L307" s="99">
        <f>IFERROR(GETPIVOTDATA("Value",TD_WEAP_RAW!$A$3,"Variable",L$2,"Escenario",L$1,"Branch","Demand Sites and Catchments\"&amp;$D307),0)</f>
        <v>0</v>
      </c>
    </row>
    <row r="308" spans="4:12">
      <c r="D308" s="53"/>
      <c r="G308" s="51"/>
      <c r="H308" s="99">
        <f>IFERROR(GETPIVOTDATA("Value",TD_WEAP_RAW!$A$3,"Variable",H$2,"Escenario",H$1,"Branch","Demand Sites and Catchments\"&amp;$D308),0)</f>
        <v>0</v>
      </c>
      <c r="I308" s="99">
        <f>IFERROR(GETPIVOTDATA("Value",TD_WEAP_RAW!$A$3,"Variable",I$2,"Escenario",I$1,"Branch","Demand Sites and Catchments\"&amp;$D308),0)</f>
        <v>0</v>
      </c>
      <c r="J308" s="99">
        <f>IFERROR(GETPIVOTDATA("Value",TD_WEAP_RAW!$A$3,"Variable",J$2,"Escenario",J$1,"Branch","Demand Sites and Catchments\"&amp;$D308),0)</f>
        <v>0</v>
      </c>
      <c r="K308" s="99">
        <f>IFERROR(GETPIVOTDATA("Value",TD_WEAP_RAW!$A$3,"Variable",K$2,"Escenario",K$1,"Branch","Demand Sites and Catchments\"&amp;$D308),0)</f>
        <v>0</v>
      </c>
      <c r="L308" s="99">
        <f>IFERROR(GETPIVOTDATA("Value",TD_WEAP_RAW!$A$3,"Variable",L$2,"Escenario",L$1,"Branch","Demand Sites and Catchments\"&amp;$D308),0)</f>
        <v>0</v>
      </c>
    </row>
    <row r="309" spans="4:12">
      <c r="D309" s="53"/>
      <c r="G309" s="51"/>
      <c r="H309" s="99">
        <f>IFERROR(GETPIVOTDATA("Value",TD_WEAP_RAW!$A$3,"Variable",H$2,"Escenario",H$1,"Branch","Demand Sites and Catchments\"&amp;$D309),0)</f>
        <v>0</v>
      </c>
      <c r="I309" s="99">
        <f>IFERROR(GETPIVOTDATA("Value",TD_WEAP_RAW!$A$3,"Variable",I$2,"Escenario",I$1,"Branch","Demand Sites and Catchments\"&amp;$D309),0)</f>
        <v>0</v>
      </c>
      <c r="J309" s="99">
        <f>IFERROR(GETPIVOTDATA("Value",TD_WEAP_RAW!$A$3,"Variable",J$2,"Escenario",J$1,"Branch","Demand Sites and Catchments\"&amp;$D309),0)</f>
        <v>0</v>
      </c>
      <c r="K309" s="99">
        <f>IFERROR(GETPIVOTDATA("Value",TD_WEAP_RAW!$A$3,"Variable",K$2,"Escenario",K$1,"Branch","Demand Sites and Catchments\"&amp;$D309),0)</f>
        <v>0</v>
      </c>
      <c r="L309" s="99">
        <f>IFERROR(GETPIVOTDATA("Value",TD_WEAP_RAW!$A$3,"Variable",L$2,"Escenario",L$1,"Branch","Demand Sites and Catchments\"&amp;$D309),0)</f>
        <v>0</v>
      </c>
    </row>
    <row r="310" spans="4:12">
      <c r="D310" s="53"/>
      <c r="G310" s="51"/>
      <c r="H310" s="99">
        <f>IFERROR(GETPIVOTDATA("Value",TD_WEAP_RAW!$A$3,"Variable",H$2,"Escenario",H$1,"Branch","Demand Sites and Catchments\"&amp;$D310),0)</f>
        <v>0</v>
      </c>
      <c r="I310" s="99">
        <f>IFERROR(GETPIVOTDATA("Value",TD_WEAP_RAW!$A$3,"Variable",I$2,"Escenario",I$1,"Branch","Demand Sites and Catchments\"&amp;$D310),0)</f>
        <v>0</v>
      </c>
      <c r="J310" s="99">
        <f>IFERROR(GETPIVOTDATA("Value",TD_WEAP_RAW!$A$3,"Variable",J$2,"Escenario",J$1,"Branch","Demand Sites and Catchments\"&amp;$D310),0)</f>
        <v>0</v>
      </c>
      <c r="K310" s="99">
        <f>IFERROR(GETPIVOTDATA("Value",TD_WEAP_RAW!$A$3,"Variable",K$2,"Escenario",K$1,"Branch","Demand Sites and Catchments\"&amp;$D310),0)</f>
        <v>0</v>
      </c>
      <c r="L310" s="99">
        <f>IFERROR(GETPIVOTDATA("Value",TD_WEAP_RAW!$A$3,"Variable",L$2,"Escenario",L$1,"Branch","Demand Sites and Catchments\"&amp;$D310),0)</f>
        <v>0</v>
      </c>
    </row>
    <row r="311" spans="4:12">
      <c r="D311" s="53"/>
      <c r="G311" s="51"/>
      <c r="H311" s="99">
        <f>IFERROR(GETPIVOTDATA("Value",TD_WEAP_RAW!$A$3,"Variable",H$2,"Escenario",H$1,"Branch","Demand Sites and Catchments\"&amp;$D311),0)</f>
        <v>0</v>
      </c>
      <c r="I311" s="99">
        <f>IFERROR(GETPIVOTDATA("Value",TD_WEAP_RAW!$A$3,"Variable",I$2,"Escenario",I$1,"Branch","Demand Sites and Catchments\"&amp;$D311),0)</f>
        <v>0</v>
      </c>
      <c r="J311" s="99">
        <f>IFERROR(GETPIVOTDATA("Value",TD_WEAP_RAW!$A$3,"Variable",J$2,"Escenario",J$1,"Branch","Demand Sites and Catchments\"&amp;$D311),0)</f>
        <v>0</v>
      </c>
      <c r="K311" s="99">
        <f>IFERROR(GETPIVOTDATA("Value",TD_WEAP_RAW!$A$3,"Variable",K$2,"Escenario",K$1,"Branch","Demand Sites and Catchments\"&amp;$D311),0)</f>
        <v>0</v>
      </c>
      <c r="L311" s="99">
        <f>IFERROR(GETPIVOTDATA("Value",TD_WEAP_RAW!$A$3,"Variable",L$2,"Escenario",L$1,"Branch","Demand Sites and Catchments\"&amp;$D311),0)</f>
        <v>0</v>
      </c>
    </row>
    <row r="312" spans="4:12">
      <c r="D312" s="53"/>
      <c r="G312" s="51"/>
      <c r="H312" s="99">
        <f>IFERROR(GETPIVOTDATA("Value",TD_WEAP_RAW!$A$3,"Variable",H$2,"Escenario",H$1,"Branch","Demand Sites and Catchments\"&amp;$D312),0)</f>
        <v>0</v>
      </c>
      <c r="I312" s="99">
        <f>IFERROR(GETPIVOTDATA("Value",TD_WEAP_RAW!$A$3,"Variable",I$2,"Escenario",I$1,"Branch","Demand Sites and Catchments\"&amp;$D312),0)</f>
        <v>0</v>
      </c>
      <c r="J312" s="99">
        <f>IFERROR(GETPIVOTDATA("Value",TD_WEAP_RAW!$A$3,"Variable",J$2,"Escenario",J$1,"Branch","Demand Sites and Catchments\"&amp;$D312),0)</f>
        <v>0</v>
      </c>
      <c r="K312" s="99">
        <f>IFERROR(GETPIVOTDATA("Value",TD_WEAP_RAW!$A$3,"Variable",K$2,"Escenario",K$1,"Branch","Demand Sites and Catchments\"&amp;$D312),0)</f>
        <v>0</v>
      </c>
      <c r="L312" s="99">
        <f>IFERROR(GETPIVOTDATA("Value",TD_WEAP_RAW!$A$3,"Variable",L$2,"Escenario",L$1,"Branch","Demand Sites and Catchments\"&amp;$D312),0)</f>
        <v>0</v>
      </c>
    </row>
    <row r="313" spans="4:12">
      <c r="D313" s="53"/>
      <c r="G313" s="51"/>
      <c r="H313" s="99">
        <f>IFERROR(GETPIVOTDATA("Value",TD_WEAP_RAW!$A$3,"Variable",H$2,"Escenario",H$1,"Branch","Demand Sites and Catchments\"&amp;$D313),0)</f>
        <v>0</v>
      </c>
      <c r="I313" s="99">
        <f>IFERROR(GETPIVOTDATA("Value",TD_WEAP_RAW!$A$3,"Variable",I$2,"Escenario",I$1,"Branch","Demand Sites and Catchments\"&amp;$D313),0)</f>
        <v>0</v>
      </c>
      <c r="J313" s="99">
        <f>IFERROR(GETPIVOTDATA("Value",TD_WEAP_RAW!$A$3,"Variable",J$2,"Escenario",J$1,"Branch","Demand Sites and Catchments\"&amp;$D313),0)</f>
        <v>0</v>
      </c>
      <c r="K313" s="99">
        <f>IFERROR(GETPIVOTDATA("Value",TD_WEAP_RAW!$A$3,"Variable",K$2,"Escenario",K$1,"Branch","Demand Sites and Catchments\"&amp;$D313),0)</f>
        <v>0</v>
      </c>
      <c r="L313" s="99">
        <f>IFERROR(GETPIVOTDATA("Value",TD_WEAP_RAW!$A$3,"Variable",L$2,"Escenario",L$1,"Branch","Demand Sites and Catchments\"&amp;$D313),0)</f>
        <v>0</v>
      </c>
    </row>
    <row r="314" spans="4:12">
      <c r="D314" s="53"/>
      <c r="G314" s="51"/>
      <c r="H314" s="99">
        <f>IFERROR(GETPIVOTDATA("Value",TD_WEAP_RAW!$A$3,"Variable",H$2,"Escenario",H$1,"Branch","Demand Sites and Catchments\"&amp;$D314),0)</f>
        <v>0</v>
      </c>
      <c r="I314" s="99">
        <f>IFERROR(GETPIVOTDATA("Value",TD_WEAP_RAW!$A$3,"Variable",I$2,"Escenario",I$1,"Branch","Demand Sites and Catchments\"&amp;$D314),0)</f>
        <v>0</v>
      </c>
      <c r="J314" s="99">
        <f>IFERROR(GETPIVOTDATA("Value",TD_WEAP_RAW!$A$3,"Variable",J$2,"Escenario",J$1,"Branch","Demand Sites and Catchments\"&amp;$D314),0)</f>
        <v>0</v>
      </c>
      <c r="K314" s="99">
        <f>IFERROR(GETPIVOTDATA("Value",TD_WEAP_RAW!$A$3,"Variable",K$2,"Escenario",K$1,"Branch","Demand Sites and Catchments\"&amp;$D314),0)</f>
        <v>0</v>
      </c>
      <c r="L314" s="99">
        <f>IFERROR(GETPIVOTDATA("Value",TD_WEAP_RAW!$A$3,"Variable",L$2,"Escenario",L$1,"Branch","Demand Sites and Catchments\"&amp;$D314),0)</f>
        <v>0</v>
      </c>
    </row>
    <row r="315" spans="4:12">
      <c r="D315" s="53"/>
      <c r="G315" s="51"/>
      <c r="H315" s="99">
        <f>IFERROR(GETPIVOTDATA("Value",TD_WEAP_RAW!$A$3,"Variable",H$2,"Escenario",H$1,"Branch","Demand Sites and Catchments\"&amp;$D315),0)</f>
        <v>0</v>
      </c>
      <c r="I315" s="99">
        <f>IFERROR(GETPIVOTDATA("Value",TD_WEAP_RAW!$A$3,"Variable",I$2,"Escenario",I$1,"Branch","Demand Sites and Catchments\"&amp;$D315),0)</f>
        <v>0</v>
      </c>
      <c r="J315" s="99">
        <f>IFERROR(GETPIVOTDATA("Value",TD_WEAP_RAW!$A$3,"Variable",J$2,"Escenario",J$1,"Branch","Demand Sites and Catchments\"&amp;$D315),0)</f>
        <v>0</v>
      </c>
      <c r="K315" s="99">
        <f>IFERROR(GETPIVOTDATA("Value",TD_WEAP_RAW!$A$3,"Variable",K$2,"Escenario",K$1,"Branch","Demand Sites and Catchments\"&amp;$D315),0)</f>
        <v>0</v>
      </c>
      <c r="L315" s="99">
        <f>IFERROR(GETPIVOTDATA("Value",TD_WEAP_RAW!$A$3,"Variable",L$2,"Escenario",L$1,"Branch","Demand Sites and Catchments\"&amp;$D315),0)</f>
        <v>0</v>
      </c>
    </row>
    <row r="316" spans="4:12">
      <c r="D316" s="53"/>
      <c r="G316" s="51"/>
      <c r="H316" s="99">
        <f>IFERROR(GETPIVOTDATA("Value",TD_WEAP_RAW!$A$3,"Variable",H$2,"Escenario",H$1,"Branch","Demand Sites and Catchments\"&amp;$D316),0)</f>
        <v>0</v>
      </c>
      <c r="I316" s="99">
        <f>IFERROR(GETPIVOTDATA("Value",TD_WEAP_RAW!$A$3,"Variable",I$2,"Escenario",I$1,"Branch","Demand Sites and Catchments\"&amp;$D316),0)</f>
        <v>0</v>
      </c>
      <c r="J316" s="99">
        <f>IFERROR(GETPIVOTDATA("Value",TD_WEAP_RAW!$A$3,"Variable",J$2,"Escenario",J$1,"Branch","Demand Sites and Catchments\"&amp;$D316),0)</f>
        <v>0</v>
      </c>
      <c r="K316" s="99">
        <f>IFERROR(GETPIVOTDATA("Value",TD_WEAP_RAW!$A$3,"Variable",K$2,"Escenario",K$1,"Branch","Demand Sites and Catchments\"&amp;$D316),0)</f>
        <v>0</v>
      </c>
      <c r="L316" s="99">
        <f>IFERROR(GETPIVOTDATA("Value",TD_WEAP_RAW!$A$3,"Variable",L$2,"Escenario",L$1,"Branch","Demand Sites and Catchments\"&amp;$D316),0)</f>
        <v>0</v>
      </c>
    </row>
    <row r="317" spans="4:12">
      <c r="D317" s="53"/>
      <c r="G317" s="51"/>
      <c r="H317" s="99">
        <f>IFERROR(GETPIVOTDATA("Value",TD_WEAP_RAW!$A$3,"Variable",H$2,"Escenario",H$1,"Branch","Demand Sites and Catchments\"&amp;$D317),0)</f>
        <v>0</v>
      </c>
      <c r="I317" s="99">
        <f>IFERROR(GETPIVOTDATA("Value",TD_WEAP_RAW!$A$3,"Variable",I$2,"Escenario",I$1,"Branch","Demand Sites and Catchments\"&amp;$D317),0)</f>
        <v>0</v>
      </c>
      <c r="J317" s="99">
        <f>IFERROR(GETPIVOTDATA("Value",TD_WEAP_RAW!$A$3,"Variable",J$2,"Escenario",J$1,"Branch","Demand Sites and Catchments\"&amp;$D317),0)</f>
        <v>0</v>
      </c>
      <c r="K317" s="99">
        <f>IFERROR(GETPIVOTDATA("Value",TD_WEAP_RAW!$A$3,"Variable",K$2,"Escenario",K$1,"Branch","Demand Sites and Catchments\"&amp;$D317),0)</f>
        <v>0</v>
      </c>
      <c r="L317" s="99">
        <f>IFERROR(GETPIVOTDATA("Value",TD_WEAP_RAW!$A$3,"Variable",L$2,"Escenario",L$1,"Branch","Demand Sites and Catchments\"&amp;$D317),0)</f>
        <v>0</v>
      </c>
    </row>
    <row r="318" spans="4:12">
      <c r="D318" s="53"/>
      <c r="G318" s="51"/>
      <c r="H318" s="99">
        <f>IFERROR(GETPIVOTDATA("Value",TD_WEAP_RAW!$A$3,"Variable",H$2,"Escenario",H$1,"Branch","Demand Sites and Catchments\"&amp;$D318),0)</f>
        <v>0</v>
      </c>
      <c r="I318" s="99">
        <f>IFERROR(GETPIVOTDATA("Value",TD_WEAP_RAW!$A$3,"Variable",I$2,"Escenario",I$1,"Branch","Demand Sites and Catchments\"&amp;$D318),0)</f>
        <v>0</v>
      </c>
      <c r="J318" s="99">
        <f>IFERROR(GETPIVOTDATA("Value",TD_WEAP_RAW!$A$3,"Variable",J$2,"Escenario",J$1,"Branch","Demand Sites and Catchments\"&amp;$D318),0)</f>
        <v>0</v>
      </c>
      <c r="K318" s="99">
        <f>IFERROR(GETPIVOTDATA("Value",TD_WEAP_RAW!$A$3,"Variable",K$2,"Escenario",K$1,"Branch","Demand Sites and Catchments\"&amp;$D318),0)</f>
        <v>0</v>
      </c>
      <c r="L318" s="99">
        <f>IFERROR(GETPIVOTDATA("Value",TD_WEAP_RAW!$A$3,"Variable",L$2,"Escenario",L$1,"Branch","Demand Sites and Catchments\"&amp;$D318),0)</f>
        <v>0</v>
      </c>
    </row>
    <row r="319" spans="4:12">
      <c r="D319" s="53"/>
      <c r="G319" s="51"/>
      <c r="H319" s="99">
        <f>IFERROR(GETPIVOTDATA("Value",TD_WEAP_RAW!$A$3,"Variable",H$2,"Escenario",H$1,"Branch","Demand Sites and Catchments\"&amp;$D319),0)</f>
        <v>0</v>
      </c>
      <c r="I319" s="99">
        <f>IFERROR(GETPIVOTDATA("Value",TD_WEAP_RAW!$A$3,"Variable",I$2,"Escenario",I$1,"Branch","Demand Sites and Catchments\"&amp;$D319),0)</f>
        <v>0</v>
      </c>
      <c r="J319" s="99">
        <f>IFERROR(GETPIVOTDATA("Value",TD_WEAP_RAW!$A$3,"Variable",J$2,"Escenario",J$1,"Branch","Demand Sites and Catchments\"&amp;$D319),0)</f>
        <v>0</v>
      </c>
      <c r="K319" s="99">
        <f>IFERROR(GETPIVOTDATA("Value",TD_WEAP_RAW!$A$3,"Variable",K$2,"Escenario",K$1,"Branch","Demand Sites and Catchments\"&amp;$D319),0)</f>
        <v>0</v>
      </c>
      <c r="L319" s="99">
        <f>IFERROR(GETPIVOTDATA("Value",TD_WEAP_RAW!$A$3,"Variable",L$2,"Escenario",L$1,"Branch","Demand Sites and Catchments\"&amp;$D319),0)</f>
        <v>0</v>
      </c>
    </row>
    <row r="320" spans="4:12">
      <c r="D320" s="53"/>
      <c r="G320" s="51"/>
      <c r="H320" s="99">
        <f>IFERROR(GETPIVOTDATA("Value",TD_WEAP_RAW!$A$3,"Variable",H$2,"Escenario",H$1,"Branch","Demand Sites and Catchments\"&amp;$D320),0)</f>
        <v>0</v>
      </c>
      <c r="I320" s="99">
        <f>IFERROR(GETPIVOTDATA("Value",TD_WEAP_RAW!$A$3,"Variable",I$2,"Escenario",I$1,"Branch","Demand Sites and Catchments\"&amp;$D320),0)</f>
        <v>0</v>
      </c>
      <c r="J320" s="99">
        <f>IFERROR(GETPIVOTDATA("Value",TD_WEAP_RAW!$A$3,"Variable",J$2,"Escenario",J$1,"Branch","Demand Sites and Catchments\"&amp;$D320),0)</f>
        <v>0</v>
      </c>
      <c r="K320" s="99">
        <f>IFERROR(GETPIVOTDATA("Value",TD_WEAP_RAW!$A$3,"Variable",K$2,"Escenario",K$1,"Branch","Demand Sites and Catchments\"&amp;$D320),0)</f>
        <v>0</v>
      </c>
      <c r="L320" s="99">
        <f>IFERROR(GETPIVOTDATA("Value",TD_WEAP_RAW!$A$3,"Variable",L$2,"Escenario",L$1,"Branch","Demand Sites and Catchments\"&amp;$D320),0)</f>
        <v>0</v>
      </c>
    </row>
    <row r="321" spans="4:12">
      <c r="D321" s="53"/>
      <c r="G321" s="51"/>
      <c r="H321" s="99">
        <f>IFERROR(GETPIVOTDATA("Value",TD_WEAP_RAW!$A$3,"Variable",H$2,"Escenario",H$1,"Branch","Demand Sites and Catchments\"&amp;$D321),0)</f>
        <v>0</v>
      </c>
      <c r="I321" s="99">
        <f>IFERROR(GETPIVOTDATA("Value",TD_WEAP_RAW!$A$3,"Variable",I$2,"Escenario",I$1,"Branch","Demand Sites and Catchments\"&amp;$D321),0)</f>
        <v>0</v>
      </c>
      <c r="J321" s="99">
        <f>IFERROR(GETPIVOTDATA("Value",TD_WEAP_RAW!$A$3,"Variable",J$2,"Escenario",J$1,"Branch","Demand Sites and Catchments\"&amp;$D321),0)</f>
        <v>0</v>
      </c>
      <c r="K321" s="99">
        <f>IFERROR(GETPIVOTDATA("Value",TD_WEAP_RAW!$A$3,"Variable",K$2,"Escenario",K$1,"Branch","Demand Sites and Catchments\"&amp;$D321),0)</f>
        <v>0</v>
      </c>
      <c r="L321" s="99">
        <f>IFERROR(GETPIVOTDATA("Value",TD_WEAP_RAW!$A$3,"Variable",L$2,"Escenario",L$1,"Branch","Demand Sites and Catchments\"&amp;$D321),0)</f>
        <v>0</v>
      </c>
    </row>
    <row r="322" spans="4:12">
      <c r="D322" s="53"/>
      <c r="G322" s="51"/>
      <c r="H322" s="99">
        <f>IFERROR(GETPIVOTDATA("Value",TD_WEAP_RAW!$A$3,"Variable",H$2,"Escenario",H$1,"Branch","Demand Sites and Catchments\"&amp;$D322),0)</f>
        <v>0</v>
      </c>
      <c r="I322" s="99">
        <f>IFERROR(GETPIVOTDATA("Value",TD_WEAP_RAW!$A$3,"Variable",I$2,"Escenario",I$1,"Branch","Demand Sites and Catchments\"&amp;$D322),0)</f>
        <v>0</v>
      </c>
      <c r="J322" s="99">
        <f>IFERROR(GETPIVOTDATA("Value",TD_WEAP_RAW!$A$3,"Variable",J$2,"Escenario",J$1,"Branch","Demand Sites and Catchments\"&amp;$D322),0)</f>
        <v>0</v>
      </c>
      <c r="K322" s="99">
        <f>IFERROR(GETPIVOTDATA("Value",TD_WEAP_RAW!$A$3,"Variable",K$2,"Escenario",K$1,"Branch","Demand Sites and Catchments\"&amp;$D322),0)</f>
        <v>0</v>
      </c>
      <c r="L322" s="99">
        <f>IFERROR(GETPIVOTDATA("Value",TD_WEAP_RAW!$A$3,"Variable",L$2,"Escenario",L$1,"Branch","Demand Sites and Catchments\"&amp;$D322),0)</f>
        <v>0</v>
      </c>
    </row>
    <row r="323" spans="4:12">
      <c r="D323" s="53"/>
      <c r="G323" s="51"/>
      <c r="H323" s="99">
        <f>IFERROR(GETPIVOTDATA("Value",TD_WEAP_RAW!$A$3,"Variable",H$2,"Escenario",H$1,"Branch","Demand Sites and Catchments\"&amp;$D323),0)</f>
        <v>0</v>
      </c>
      <c r="I323" s="99">
        <f>IFERROR(GETPIVOTDATA("Value",TD_WEAP_RAW!$A$3,"Variable",I$2,"Escenario",I$1,"Branch","Demand Sites and Catchments\"&amp;$D323),0)</f>
        <v>0</v>
      </c>
      <c r="J323" s="99">
        <f>IFERROR(GETPIVOTDATA("Value",TD_WEAP_RAW!$A$3,"Variable",J$2,"Escenario",J$1,"Branch","Demand Sites and Catchments\"&amp;$D323),0)</f>
        <v>0</v>
      </c>
      <c r="K323" s="99">
        <f>IFERROR(GETPIVOTDATA("Value",TD_WEAP_RAW!$A$3,"Variable",K$2,"Escenario",K$1,"Branch","Demand Sites and Catchments\"&amp;$D323),0)</f>
        <v>0</v>
      </c>
      <c r="L323" s="99">
        <f>IFERROR(GETPIVOTDATA("Value",TD_WEAP_RAW!$A$3,"Variable",L$2,"Escenario",L$1,"Branch","Demand Sites and Catchments\"&amp;$D323),0)</f>
        <v>0</v>
      </c>
    </row>
    <row r="324" spans="4:12">
      <c r="D324" s="53"/>
      <c r="G324" s="51"/>
      <c r="H324" s="99">
        <f>IFERROR(GETPIVOTDATA("Value",TD_WEAP_RAW!$A$3,"Variable",H$2,"Escenario",H$1,"Branch","Demand Sites and Catchments\"&amp;$D324),0)</f>
        <v>0</v>
      </c>
      <c r="I324" s="99">
        <f>IFERROR(GETPIVOTDATA("Value",TD_WEAP_RAW!$A$3,"Variable",I$2,"Escenario",I$1,"Branch","Demand Sites and Catchments\"&amp;$D324),0)</f>
        <v>0</v>
      </c>
      <c r="J324" s="99">
        <f>IFERROR(GETPIVOTDATA("Value",TD_WEAP_RAW!$A$3,"Variable",J$2,"Escenario",J$1,"Branch","Demand Sites and Catchments\"&amp;$D324),0)</f>
        <v>0</v>
      </c>
      <c r="K324" s="99">
        <f>IFERROR(GETPIVOTDATA("Value",TD_WEAP_RAW!$A$3,"Variable",K$2,"Escenario",K$1,"Branch","Demand Sites and Catchments\"&amp;$D324),0)</f>
        <v>0</v>
      </c>
      <c r="L324" s="99">
        <f>IFERROR(GETPIVOTDATA("Value",TD_WEAP_RAW!$A$3,"Variable",L$2,"Escenario",L$1,"Branch","Demand Sites and Catchments\"&amp;$D324),0)</f>
        <v>0</v>
      </c>
    </row>
    <row r="325" spans="4:12">
      <c r="D325" s="53"/>
      <c r="G325" s="51"/>
      <c r="H325" s="99">
        <f>IFERROR(GETPIVOTDATA("Value",TD_WEAP_RAW!$A$3,"Variable",H$2,"Escenario",H$1,"Branch","Demand Sites and Catchments\"&amp;$D325),0)</f>
        <v>0</v>
      </c>
      <c r="I325" s="99">
        <f>IFERROR(GETPIVOTDATA("Value",TD_WEAP_RAW!$A$3,"Variable",I$2,"Escenario",I$1,"Branch","Demand Sites and Catchments\"&amp;$D325),0)</f>
        <v>0</v>
      </c>
      <c r="J325" s="99">
        <f>IFERROR(GETPIVOTDATA("Value",TD_WEAP_RAW!$A$3,"Variable",J$2,"Escenario",J$1,"Branch","Demand Sites and Catchments\"&amp;$D325),0)</f>
        <v>0</v>
      </c>
      <c r="K325" s="99">
        <f>IFERROR(GETPIVOTDATA("Value",TD_WEAP_RAW!$A$3,"Variable",K$2,"Escenario",K$1,"Branch","Demand Sites and Catchments\"&amp;$D325),0)</f>
        <v>0</v>
      </c>
      <c r="L325" s="99">
        <f>IFERROR(GETPIVOTDATA("Value",TD_WEAP_RAW!$A$3,"Variable",L$2,"Escenario",L$1,"Branch","Demand Sites and Catchments\"&amp;$D325),0)</f>
        <v>0</v>
      </c>
    </row>
    <row r="326" spans="4:12">
      <c r="D326" s="53"/>
      <c r="G326" s="51"/>
      <c r="H326" s="99">
        <f>IFERROR(GETPIVOTDATA("Value",TD_WEAP_RAW!$A$3,"Variable",H$2,"Escenario",H$1,"Branch","Demand Sites and Catchments\"&amp;$D326),0)</f>
        <v>0</v>
      </c>
      <c r="I326" s="99">
        <f>IFERROR(GETPIVOTDATA("Value",TD_WEAP_RAW!$A$3,"Variable",I$2,"Escenario",I$1,"Branch","Demand Sites and Catchments\"&amp;$D326),0)</f>
        <v>0</v>
      </c>
      <c r="J326" s="99">
        <f>IFERROR(GETPIVOTDATA("Value",TD_WEAP_RAW!$A$3,"Variable",J$2,"Escenario",J$1,"Branch","Demand Sites and Catchments\"&amp;$D326),0)</f>
        <v>0</v>
      </c>
      <c r="K326" s="99">
        <f>IFERROR(GETPIVOTDATA("Value",TD_WEAP_RAW!$A$3,"Variable",K$2,"Escenario",K$1,"Branch","Demand Sites and Catchments\"&amp;$D326),0)</f>
        <v>0</v>
      </c>
      <c r="L326" s="99">
        <f>IFERROR(GETPIVOTDATA("Value",TD_WEAP_RAW!$A$3,"Variable",L$2,"Escenario",L$1,"Branch","Demand Sites and Catchments\"&amp;$D326),0)</f>
        <v>0</v>
      </c>
    </row>
    <row r="327" spans="4:12">
      <c r="D327" s="53"/>
      <c r="G327" s="51"/>
      <c r="H327" s="99">
        <f>IFERROR(GETPIVOTDATA("Value",TD_WEAP_RAW!$A$3,"Variable",H$2,"Escenario",H$1,"Branch","Demand Sites and Catchments\"&amp;$D327),0)</f>
        <v>0</v>
      </c>
      <c r="I327" s="99">
        <f>IFERROR(GETPIVOTDATA("Value",TD_WEAP_RAW!$A$3,"Variable",I$2,"Escenario",I$1,"Branch","Demand Sites and Catchments\"&amp;$D327),0)</f>
        <v>0</v>
      </c>
      <c r="J327" s="99">
        <f>IFERROR(GETPIVOTDATA("Value",TD_WEAP_RAW!$A$3,"Variable",J$2,"Escenario",J$1,"Branch","Demand Sites and Catchments\"&amp;$D327),0)</f>
        <v>0</v>
      </c>
      <c r="K327" s="99">
        <f>IFERROR(GETPIVOTDATA("Value",TD_WEAP_RAW!$A$3,"Variable",K$2,"Escenario",K$1,"Branch","Demand Sites and Catchments\"&amp;$D327),0)</f>
        <v>0</v>
      </c>
      <c r="L327" s="99">
        <f>IFERROR(GETPIVOTDATA("Value",TD_WEAP_RAW!$A$3,"Variable",L$2,"Escenario",L$1,"Branch","Demand Sites and Catchments\"&amp;$D327),0)</f>
        <v>0</v>
      </c>
    </row>
    <row r="328" spans="4:12">
      <c r="D328" s="53"/>
      <c r="G328" s="51"/>
      <c r="H328" s="99">
        <f>IFERROR(GETPIVOTDATA("Value",TD_WEAP_RAW!$A$3,"Variable",H$2,"Escenario",H$1,"Branch","Demand Sites and Catchments\"&amp;$D328),0)</f>
        <v>0</v>
      </c>
      <c r="I328" s="99">
        <f>IFERROR(GETPIVOTDATA("Value",TD_WEAP_RAW!$A$3,"Variable",I$2,"Escenario",I$1,"Branch","Demand Sites and Catchments\"&amp;$D328),0)</f>
        <v>0</v>
      </c>
      <c r="J328" s="99">
        <f>IFERROR(GETPIVOTDATA("Value",TD_WEAP_RAW!$A$3,"Variable",J$2,"Escenario",J$1,"Branch","Demand Sites and Catchments\"&amp;$D328),0)</f>
        <v>0</v>
      </c>
      <c r="K328" s="99">
        <f>IFERROR(GETPIVOTDATA("Value",TD_WEAP_RAW!$A$3,"Variable",K$2,"Escenario",K$1,"Branch","Demand Sites and Catchments\"&amp;$D328),0)</f>
        <v>0</v>
      </c>
      <c r="L328" s="99">
        <f>IFERROR(GETPIVOTDATA("Value",TD_WEAP_RAW!$A$3,"Variable",L$2,"Escenario",L$1,"Branch","Demand Sites and Catchments\"&amp;$D328),0)</f>
        <v>0</v>
      </c>
    </row>
    <row r="329" spans="4:12">
      <c r="D329" s="53"/>
      <c r="G329" s="51"/>
      <c r="H329" s="99">
        <f>IFERROR(GETPIVOTDATA("Value",TD_WEAP_RAW!$A$3,"Variable",H$2,"Escenario",H$1,"Branch","Demand Sites and Catchments\"&amp;$D329),0)</f>
        <v>0</v>
      </c>
      <c r="I329" s="99">
        <f>IFERROR(GETPIVOTDATA("Value",TD_WEAP_RAW!$A$3,"Variable",I$2,"Escenario",I$1,"Branch","Demand Sites and Catchments\"&amp;$D329),0)</f>
        <v>0</v>
      </c>
      <c r="J329" s="99">
        <f>IFERROR(GETPIVOTDATA("Value",TD_WEAP_RAW!$A$3,"Variable",J$2,"Escenario",J$1,"Branch","Demand Sites and Catchments\"&amp;$D329),0)</f>
        <v>0</v>
      </c>
      <c r="K329" s="99">
        <f>IFERROR(GETPIVOTDATA("Value",TD_WEAP_RAW!$A$3,"Variable",K$2,"Escenario",K$1,"Branch","Demand Sites and Catchments\"&amp;$D329),0)</f>
        <v>0</v>
      </c>
      <c r="L329" s="99">
        <f>IFERROR(GETPIVOTDATA("Value",TD_WEAP_RAW!$A$3,"Variable",L$2,"Escenario",L$1,"Branch","Demand Sites and Catchments\"&amp;$D329),0)</f>
        <v>0</v>
      </c>
    </row>
    <row r="330" spans="4:12">
      <c r="D330" s="53"/>
      <c r="G330" s="51"/>
      <c r="H330" s="99">
        <f>IFERROR(GETPIVOTDATA("Value",TD_WEAP_RAW!$A$3,"Variable",H$2,"Escenario",H$1,"Branch","Demand Sites and Catchments\"&amp;$D330),0)</f>
        <v>0</v>
      </c>
      <c r="I330" s="99">
        <f>IFERROR(GETPIVOTDATA("Value",TD_WEAP_RAW!$A$3,"Variable",I$2,"Escenario",I$1,"Branch","Demand Sites and Catchments\"&amp;$D330),0)</f>
        <v>0</v>
      </c>
      <c r="J330" s="99">
        <f>IFERROR(GETPIVOTDATA("Value",TD_WEAP_RAW!$A$3,"Variable",J$2,"Escenario",J$1,"Branch","Demand Sites and Catchments\"&amp;$D330),0)</f>
        <v>0</v>
      </c>
      <c r="K330" s="99">
        <f>IFERROR(GETPIVOTDATA("Value",TD_WEAP_RAW!$A$3,"Variable",K$2,"Escenario",K$1,"Branch","Demand Sites and Catchments\"&amp;$D330),0)</f>
        <v>0</v>
      </c>
      <c r="L330" s="99">
        <f>IFERROR(GETPIVOTDATA("Value",TD_WEAP_RAW!$A$3,"Variable",L$2,"Escenario",L$1,"Branch","Demand Sites and Catchments\"&amp;$D330),0)</f>
        <v>0</v>
      </c>
    </row>
    <row r="331" spans="4:12">
      <c r="D331" s="53"/>
      <c r="G331" s="51"/>
      <c r="H331" s="99">
        <f>IFERROR(GETPIVOTDATA("Value",TD_WEAP_RAW!$A$3,"Variable",H$2,"Escenario",H$1,"Branch","Demand Sites and Catchments\"&amp;$D331),0)</f>
        <v>0</v>
      </c>
      <c r="I331" s="99">
        <f>IFERROR(GETPIVOTDATA("Value",TD_WEAP_RAW!$A$3,"Variable",I$2,"Escenario",I$1,"Branch","Demand Sites and Catchments\"&amp;$D331),0)</f>
        <v>0</v>
      </c>
      <c r="J331" s="99">
        <f>IFERROR(GETPIVOTDATA("Value",TD_WEAP_RAW!$A$3,"Variable",J$2,"Escenario",J$1,"Branch","Demand Sites and Catchments\"&amp;$D331),0)</f>
        <v>0</v>
      </c>
      <c r="K331" s="99">
        <f>IFERROR(GETPIVOTDATA("Value",TD_WEAP_RAW!$A$3,"Variable",K$2,"Escenario",K$1,"Branch","Demand Sites and Catchments\"&amp;$D331),0)</f>
        <v>0</v>
      </c>
      <c r="L331" s="99">
        <f>IFERROR(GETPIVOTDATA("Value",TD_WEAP_RAW!$A$3,"Variable",L$2,"Escenario",L$1,"Branch","Demand Sites and Catchments\"&amp;$D331),0)</f>
        <v>0</v>
      </c>
    </row>
    <row r="332" spans="4:12">
      <c r="D332" s="53"/>
      <c r="G332" s="51"/>
      <c r="H332" s="99">
        <f>IFERROR(GETPIVOTDATA("Value",TD_WEAP_RAW!$A$3,"Variable",H$2,"Escenario",H$1,"Branch","Demand Sites and Catchments\"&amp;$D332),0)</f>
        <v>0</v>
      </c>
      <c r="I332" s="99">
        <f>IFERROR(GETPIVOTDATA("Value",TD_WEAP_RAW!$A$3,"Variable",I$2,"Escenario",I$1,"Branch","Demand Sites and Catchments\"&amp;$D332),0)</f>
        <v>0</v>
      </c>
      <c r="J332" s="99">
        <f>IFERROR(GETPIVOTDATA("Value",TD_WEAP_RAW!$A$3,"Variable",J$2,"Escenario",J$1,"Branch","Demand Sites and Catchments\"&amp;$D332),0)</f>
        <v>0</v>
      </c>
      <c r="K332" s="99">
        <f>IFERROR(GETPIVOTDATA("Value",TD_WEAP_RAW!$A$3,"Variable",K$2,"Escenario",K$1,"Branch","Demand Sites and Catchments\"&amp;$D332),0)</f>
        <v>0</v>
      </c>
      <c r="L332" s="99">
        <f>IFERROR(GETPIVOTDATA("Value",TD_WEAP_RAW!$A$3,"Variable",L$2,"Escenario",L$1,"Branch","Demand Sites and Catchments\"&amp;$D332),0)</f>
        <v>0</v>
      </c>
    </row>
    <row r="333" spans="4:12">
      <c r="D333" s="53"/>
      <c r="G333" s="51"/>
      <c r="H333" s="99">
        <f>IFERROR(GETPIVOTDATA("Value",TD_WEAP_RAW!$A$3,"Variable",H$2,"Escenario",H$1,"Branch","Demand Sites and Catchments\"&amp;$D333),0)</f>
        <v>0</v>
      </c>
      <c r="I333" s="99">
        <f>IFERROR(GETPIVOTDATA("Value",TD_WEAP_RAW!$A$3,"Variable",I$2,"Escenario",I$1,"Branch","Demand Sites and Catchments\"&amp;$D333),0)</f>
        <v>0</v>
      </c>
      <c r="J333" s="99">
        <f>IFERROR(GETPIVOTDATA("Value",TD_WEAP_RAW!$A$3,"Variable",J$2,"Escenario",J$1,"Branch","Demand Sites and Catchments\"&amp;$D333),0)</f>
        <v>0</v>
      </c>
      <c r="K333" s="99">
        <f>IFERROR(GETPIVOTDATA("Value",TD_WEAP_RAW!$A$3,"Variable",K$2,"Escenario",K$1,"Branch","Demand Sites and Catchments\"&amp;$D333),0)</f>
        <v>0</v>
      </c>
      <c r="L333" s="99">
        <f>IFERROR(GETPIVOTDATA("Value",TD_WEAP_RAW!$A$3,"Variable",L$2,"Escenario",L$1,"Branch","Demand Sites and Catchments\"&amp;$D333),0)</f>
        <v>0</v>
      </c>
    </row>
    <row r="334" spans="4:12">
      <c r="D334" s="53"/>
      <c r="G334" s="51"/>
      <c r="H334" s="99">
        <f>IFERROR(GETPIVOTDATA("Value",TD_WEAP_RAW!$A$3,"Variable",H$2,"Escenario",H$1,"Branch","Demand Sites and Catchments\"&amp;$D334),0)</f>
        <v>0</v>
      </c>
      <c r="I334" s="99">
        <f>IFERROR(GETPIVOTDATA("Value",TD_WEAP_RAW!$A$3,"Variable",I$2,"Escenario",I$1,"Branch","Demand Sites and Catchments\"&amp;$D334),0)</f>
        <v>0</v>
      </c>
      <c r="J334" s="99">
        <f>IFERROR(GETPIVOTDATA("Value",TD_WEAP_RAW!$A$3,"Variable",J$2,"Escenario",J$1,"Branch","Demand Sites and Catchments\"&amp;$D334),0)</f>
        <v>0</v>
      </c>
      <c r="K334" s="99">
        <f>IFERROR(GETPIVOTDATA("Value",TD_WEAP_RAW!$A$3,"Variable",K$2,"Escenario",K$1,"Branch","Demand Sites and Catchments\"&amp;$D334),0)</f>
        <v>0</v>
      </c>
      <c r="L334" s="99">
        <f>IFERROR(GETPIVOTDATA("Value",TD_WEAP_RAW!$A$3,"Variable",L$2,"Escenario",L$1,"Branch","Demand Sites and Catchments\"&amp;$D334),0)</f>
        <v>0</v>
      </c>
    </row>
    <row r="335" spans="4:12">
      <c r="D335" s="53"/>
      <c r="G335" s="51"/>
      <c r="H335" s="99">
        <f>IFERROR(GETPIVOTDATA("Value",TD_WEAP_RAW!$A$3,"Variable",H$2,"Escenario",H$1,"Branch","Demand Sites and Catchments\"&amp;$D335),0)</f>
        <v>0</v>
      </c>
      <c r="I335" s="99">
        <f>IFERROR(GETPIVOTDATA("Value",TD_WEAP_RAW!$A$3,"Variable",I$2,"Escenario",I$1,"Branch","Demand Sites and Catchments\"&amp;$D335),0)</f>
        <v>0</v>
      </c>
      <c r="J335" s="99">
        <f>IFERROR(GETPIVOTDATA("Value",TD_WEAP_RAW!$A$3,"Variable",J$2,"Escenario",J$1,"Branch","Demand Sites and Catchments\"&amp;$D335),0)</f>
        <v>0</v>
      </c>
      <c r="K335" s="99">
        <f>IFERROR(GETPIVOTDATA("Value",TD_WEAP_RAW!$A$3,"Variable",K$2,"Escenario",K$1,"Branch","Demand Sites and Catchments\"&amp;$D335),0)</f>
        <v>0</v>
      </c>
      <c r="L335" s="99">
        <f>IFERROR(GETPIVOTDATA("Value",TD_WEAP_RAW!$A$3,"Variable",L$2,"Escenario",L$1,"Branch","Demand Sites and Catchments\"&amp;$D335),0)</f>
        <v>0</v>
      </c>
    </row>
    <row r="336" spans="4:12">
      <c r="D336" s="53"/>
      <c r="G336" s="51"/>
      <c r="H336" s="99">
        <f>IFERROR(GETPIVOTDATA("Value",TD_WEAP_RAW!$A$3,"Variable",H$2,"Escenario",H$1,"Branch","Demand Sites and Catchments\"&amp;$D336),0)</f>
        <v>0</v>
      </c>
      <c r="I336" s="99">
        <f>IFERROR(GETPIVOTDATA("Value",TD_WEAP_RAW!$A$3,"Variable",I$2,"Escenario",I$1,"Branch","Demand Sites and Catchments\"&amp;$D336),0)</f>
        <v>0</v>
      </c>
      <c r="J336" s="99">
        <f>IFERROR(GETPIVOTDATA("Value",TD_WEAP_RAW!$A$3,"Variable",J$2,"Escenario",J$1,"Branch","Demand Sites and Catchments\"&amp;$D336),0)</f>
        <v>0</v>
      </c>
      <c r="K336" s="99">
        <f>IFERROR(GETPIVOTDATA("Value",TD_WEAP_RAW!$A$3,"Variable",K$2,"Escenario",K$1,"Branch","Demand Sites and Catchments\"&amp;$D336),0)</f>
        <v>0</v>
      </c>
      <c r="L336" s="99">
        <f>IFERROR(GETPIVOTDATA("Value",TD_WEAP_RAW!$A$3,"Variable",L$2,"Escenario",L$1,"Branch","Demand Sites and Catchments\"&amp;$D336),0)</f>
        <v>0</v>
      </c>
    </row>
    <row r="337" spans="4:12">
      <c r="D337" s="53"/>
      <c r="G337" s="51"/>
      <c r="H337" s="99">
        <f>IFERROR(GETPIVOTDATA("Value",TD_WEAP_RAW!$A$3,"Variable",H$2,"Escenario",H$1,"Branch","Demand Sites and Catchments\"&amp;$D337),0)</f>
        <v>0</v>
      </c>
      <c r="I337" s="99">
        <f>IFERROR(GETPIVOTDATA("Value",TD_WEAP_RAW!$A$3,"Variable",I$2,"Escenario",I$1,"Branch","Demand Sites and Catchments\"&amp;$D337),0)</f>
        <v>0</v>
      </c>
      <c r="J337" s="99">
        <f>IFERROR(GETPIVOTDATA("Value",TD_WEAP_RAW!$A$3,"Variable",J$2,"Escenario",J$1,"Branch","Demand Sites and Catchments\"&amp;$D337),0)</f>
        <v>0</v>
      </c>
      <c r="K337" s="99">
        <f>IFERROR(GETPIVOTDATA("Value",TD_WEAP_RAW!$A$3,"Variable",K$2,"Escenario",K$1,"Branch","Demand Sites and Catchments\"&amp;$D337),0)</f>
        <v>0</v>
      </c>
      <c r="L337" s="99">
        <f>IFERROR(GETPIVOTDATA("Value",TD_WEAP_RAW!$A$3,"Variable",L$2,"Escenario",L$1,"Branch","Demand Sites and Catchments\"&amp;$D337),0)</f>
        <v>0</v>
      </c>
    </row>
    <row r="338" spans="4:12">
      <c r="D338" s="53"/>
      <c r="G338" s="51"/>
      <c r="H338" s="99">
        <f>IFERROR(GETPIVOTDATA("Value",TD_WEAP_RAW!$A$3,"Variable",H$2,"Escenario",H$1,"Branch","Demand Sites and Catchments\"&amp;$D338),0)</f>
        <v>0</v>
      </c>
      <c r="I338" s="99">
        <f>IFERROR(GETPIVOTDATA("Value",TD_WEAP_RAW!$A$3,"Variable",I$2,"Escenario",I$1,"Branch","Demand Sites and Catchments\"&amp;$D338),0)</f>
        <v>0</v>
      </c>
      <c r="J338" s="99">
        <f>IFERROR(GETPIVOTDATA("Value",TD_WEAP_RAW!$A$3,"Variable",J$2,"Escenario",J$1,"Branch","Demand Sites and Catchments\"&amp;$D338),0)</f>
        <v>0</v>
      </c>
      <c r="K338" s="99">
        <f>IFERROR(GETPIVOTDATA("Value",TD_WEAP_RAW!$A$3,"Variable",K$2,"Escenario",K$1,"Branch","Demand Sites and Catchments\"&amp;$D338),0)</f>
        <v>0</v>
      </c>
      <c r="L338" s="99">
        <f>IFERROR(GETPIVOTDATA("Value",TD_WEAP_RAW!$A$3,"Variable",L$2,"Escenario",L$1,"Branch","Demand Sites and Catchments\"&amp;$D338),0)</f>
        <v>0</v>
      </c>
    </row>
    <row r="339" spans="4:12">
      <c r="D339" s="53"/>
      <c r="G339" s="51"/>
      <c r="H339" s="99">
        <f>IFERROR(GETPIVOTDATA("Value",TD_WEAP_RAW!$A$3,"Variable",H$2,"Escenario",H$1,"Branch","Demand Sites and Catchments\"&amp;$D339),0)</f>
        <v>0</v>
      </c>
      <c r="I339" s="99">
        <f>IFERROR(GETPIVOTDATA("Value",TD_WEAP_RAW!$A$3,"Variable",I$2,"Escenario",I$1,"Branch","Demand Sites and Catchments\"&amp;$D339),0)</f>
        <v>0</v>
      </c>
      <c r="J339" s="99">
        <f>IFERROR(GETPIVOTDATA("Value",TD_WEAP_RAW!$A$3,"Variable",J$2,"Escenario",J$1,"Branch","Demand Sites and Catchments\"&amp;$D339),0)</f>
        <v>0</v>
      </c>
      <c r="K339" s="99">
        <f>IFERROR(GETPIVOTDATA("Value",TD_WEAP_RAW!$A$3,"Variable",K$2,"Escenario",K$1,"Branch","Demand Sites and Catchments\"&amp;$D339),0)</f>
        <v>0</v>
      </c>
      <c r="L339" s="99">
        <f>IFERROR(GETPIVOTDATA("Value",TD_WEAP_RAW!$A$3,"Variable",L$2,"Escenario",L$1,"Branch","Demand Sites and Catchments\"&amp;$D339),0)</f>
        <v>0</v>
      </c>
    </row>
    <row r="340" spans="4:12">
      <c r="D340" s="53"/>
      <c r="G340" s="51"/>
      <c r="H340" s="99">
        <f>IFERROR(GETPIVOTDATA("Value",TD_WEAP_RAW!$A$3,"Variable",H$2,"Escenario",H$1,"Branch","Demand Sites and Catchments\"&amp;$D340),0)</f>
        <v>0</v>
      </c>
      <c r="I340" s="99">
        <f>IFERROR(GETPIVOTDATA("Value",TD_WEAP_RAW!$A$3,"Variable",I$2,"Escenario",I$1,"Branch","Demand Sites and Catchments\"&amp;$D340),0)</f>
        <v>0</v>
      </c>
      <c r="J340" s="99">
        <f>IFERROR(GETPIVOTDATA("Value",TD_WEAP_RAW!$A$3,"Variable",J$2,"Escenario",J$1,"Branch","Demand Sites and Catchments\"&amp;$D340),0)</f>
        <v>0</v>
      </c>
      <c r="K340" s="99">
        <f>IFERROR(GETPIVOTDATA("Value",TD_WEAP_RAW!$A$3,"Variable",K$2,"Escenario",K$1,"Branch","Demand Sites and Catchments\"&amp;$D340),0)</f>
        <v>0</v>
      </c>
      <c r="L340" s="99">
        <f>IFERROR(GETPIVOTDATA("Value",TD_WEAP_RAW!$A$3,"Variable",L$2,"Escenario",L$1,"Branch","Demand Sites and Catchments\"&amp;$D340),0)</f>
        <v>0</v>
      </c>
    </row>
    <row r="341" spans="4:12">
      <c r="D341" s="53"/>
      <c r="G341" s="51"/>
      <c r="H341" s="99">
        <f>IFERROR(GETPIVOTDATA("Value",TD_WEAP_RAW!$A$3,"Variable",H$2,"Escenario",H$1,"Branch","Demand Sites and Catchments\"&amp;$D341),0)</f>
        <v>0</v>
      </c>
      <c r="I341" s="99">
        <f>IFERROR(GETPIVOTDATA("Value",TD_WEAP_RAW!$A$3,"Variable",I$2,"Escenario",I$1,"Branch","Demand Sites and Catchments\"&amp;$D341),0)</f>
        <v>0</v>
      </c>
      <c r="J341" s="99">
        <f>IFERROR(GETPIVOTDATA("Value",TD_WEAP_RAW!$A$3,"Variable",J$2,"Escenario",J$1,"Branch","Demand Sites and Catchments\"&amp;$D341),0)</f>
        <v>0</v>
      </c>
      <c r="K341" s="99">
        <f>IFERROR(GETPIVOTDATA("Value",TD_WEAP_RAW!$A$3,"Variable",K$2,"Escenario",K$1,"Branch","Demand Sites and Catchments\"&amp;$D341),0)</f>
        <v>0</v>
      </c>
      <c r="L341" s="99">
        <f>IFERROR(GETPIVOTDATA("Value",TD_WEAP_RAW!$A$3,"Variable",L$2,"Escenario",L$1,"Branch","Demand Sites and Catchments\"&amp;$D341),0)</f>
        <v>0</v>
      </c>
    </row>
    <row r="342" spans="4:12">
      <c r="D342" s="53"/>
      <c r="G342" s="51"/>
      <c r="H342" s="99">
        <f>IFERROR(GETPIVOTDATA("Value",TD_WEAP_RAW!$A$3,"Variable",H$2,"Escenario",H$1,"Branch","Demand Sites and Catchments\"&amp;$D342),0)</f>
        <v>0</v>
      </c>
      <c r="I342" s="99">
        <f>IFERROR(GETPIVOTDATA("Value",TD_WEAP_RAW!$A$3,"Variable",I$2,"Escenario",I$1,"Branch","Demand Sites and Catchments\"&amp;$D342),0)</f>
        <v>0</v>
      </c>
      <c r="J342" s="99">
        <f>IFERROR(GETPIVOTDATA("Value",TD_WEAP_RAW!$A$3,"Variable",J$2,"Escenario",J$1,"Branch","Demand Sites and Catchments\"&amp;$D342),0)</f>
        <v>0</v>
      </c>
      <c r="K342" s="99">
        <f>IFERROR(GETPIVOTDATA("Value",TD_WEAP_RAW!$A$3,"Variable",K$2,"Escenario",K$1,"Branch","Demand Sites and Catchments\"&amp;$D342),0)</f>
        <v>0</v>
      </c>
      <c r="L342" s="99">
        <f>IFERROR(GETPIVOTDATA("Value",TD_WEAP_RAW!$A$3,"Variable",L$2,"Escenario",L$1,"Branch","Demand Sites and Catchments\"&amp;$D342),0)</f>
        <v>0</v>
      </c>
    </row>
    <row r="343" spans="4:12">
      <c r="D343" s="53"/>
      <c r="G343" s="51"/>
      <c r="H343" s="99">
        <f>IFERROR(GETPIVOTDATA("Value",TD_WEAP_RAW!$A$3,"Variable",H$2,"Escenario",H$1,"Branch","Demand Sites and Catchments\"&amp;$D343),0)</f>
        <v>0</v>
      </c>
      <c r="I343" s="99">
        <f>IFERROR(GETPIVOTDATA("Value",TD_WEAP_RAW!$A$3,"Variable",I$2,"Escenario",I$1,"Branch","Demand Sites and Catchments\"&amp;$D343),0)</f>
        <v>0</v>
      </c>
      <c r="J343" s="99">
        <f>IFERROR(GETPIVOTDATA("Value",TD_WEAP_RAW!$A$3,"Variable",J$2,"Escenario",J$1,"Branch","Demand Sites and Catchments\"&amp;$D343),0)</f>
        <v>0</v>
      </c>
      <c r="K343" s="99">
        <f>IFERROR(GETPIVOTDATA("Value",TD_WEAP_RAW!$A$3,"Variable",K$2,"Escenario",K$1,"Branch","Demand Sites and Catchments\"&amp;$D343),0)</f>
        <v>0</v>
      </c>
      <c r="L343" s="99">
        <f>IFERROR(GETPIVOTDATA("Value",TD_WEAP_RAW!$A$3,"Variable",L$2,"Escenario",L$1,"Branch","Demand Sites and Catchments\"&amp;$D343),0)</f>
        <v>0</v>
      </c>
    </row>
    <row r="344" spans="4:12">
      <c r="D344" s="53"/>
      <c r="G344" s="51"/>
      <c r="H344" s="99">
        <f>IFERROR(GETPIVOTDATA("Value",TD_WEAP_RAW!$A$3,"Variable",H$2,"Escenario",H$1,"Branch","Demand Sites and Catchments\"&amp;$D344),0)</f>
        <v>0</v>
      </c>
      <c r="I344" s="99">
        <f>IFERROR(GETPIVOTDATA("Value",TD_WEAP_RAW!$A$3,"Variable",I$2,"Escenario",I$1,"Branch","Demand Sites and Catchments\"&amp;$D344),0)</f>
        <v>0</v>
      </c>
      <c r="J344" s="99">
        <f>IFERROR(GETPIVOTDATA("Value",TD_WEAP_RAW!$A$3,"Variable",J$2,"Escenario",J$1,"Branch","Demand Sites and Catchments\"&amp;$D344),0)</f>
        <v>0</v>
      </c>
      <c r="K344" s="99">
        <f>IFERROR(GETPIVOTDATA("Value",TD_WEAP_RAW!$A$3,"Variable",K$2,"Escenario",K$1,"Branch","Demand Sites and Catchments\"&amp;$D344),0)</f>
        <v>0</v>
      </c>
      <c r="L344" s="99">
        <f>IFERROR(GETPIVOTDATA("Value",TD_WEAP_RAW!$A$3,"Variable",L$2,"Escenario",L$1,"Branch","Demand Sites and Catchments\"&amp;$D344),0)</f>
        <v>0</v>
      </c>
    </row>
    <row r="345" spans="4:12">
      <c r="D345" s="53"/>
      <c r="G345" s="51"/>
      <c r="H345" s="99">
        <f>IFERROR(GETPIVOTDATA("Value",TD_WEAP_RAW!$A$3,"Variable",H$2,"Escenario",H$1,"Branch","Demand Sites and Catchments\"&amp;$D345),0)</f>
        <v>0</v>
      </c>
      <c r="I345" s="99">
        <f>IFERROR(GETPIVOTDATA("Value",TD_WEAP_RAW!$A$3,"Variable",I$2,"Escenario",I$1,"Branch","Demand Sites and Catchments\"&amp;$D345),0)</f>
        <v>0</v>
      </c>
      <c r="J345" s="99">
        <f>IFERROR(GETPIVOTDATA("Value",TD_WEAP_RAW!$A$3,"Variable",J$2,"Escenario",J$1,"Branch","Demand Sites and Catchments\"&amp;$D345),0)</f>
        <v>0</v>
      </c>
      <c r="K345" s="99">
        <f>IFERROR(GETPIVOTDATA("Value",TD_WEAP_RAW!$A$3,"Variable",K$2,"Escenario",K$1,"Branch","Demand Sites and Catchments\"&amp;$D345),0)</f>
        <v>0</v>
      </c>
      <c r="L345" s="99">
        <f>IFERROR(GETPIVOTDATA("Value",TD_WEAP_RAW!$A$3,"Variable",L$2,"Escenario",L$1,"Branch","Demand Sites and Catchments\"&amp;$D345),0)</f>
        <v>0</v>
      </c>
    </row>
    <row r="346" spans="4:12">
      <c r="D346" s="53"/>
      <c r="G346" s="51"/>
      <c r="H346" s="99">
        <f>IFERROR(GETPIVOTDATA("Value",TD_WEAP_RAW!$A$3,"Variable",H$2,"Escenario",H$1,"Branch","Demand Sites and Catchments\"&amp;$D346),0)</f>
        <v>0</v>
      </c>
      <c r="I346" s="99">
        <f>IFERROR(GETPIVOTDATA("Value",TD_WEAP_RAW!$A$3,"Variable",I$2,"Escenario",I$1,"Branch","Demand Sites and Catchments\"&amp;$D346),0)</f>
        <v>0</v>
      </c>
      <c r="J346" s="99">
        <f>IFERROR(GETPIVOTDATA("Value",TD_WEAP_RAW!$A$3,"Variable",J$2,"Escenario",J$1,"Branch","Demand Sites and Catchments\"&amp;$D346),0)</f>
        <v>0</v>
      </c>
      <c r="K346" s="99">
        <f>IFERROR(GETPIVOTDATA("Value",TD_WEAP_RAW!$A$3,"Variable",K$2,"Escenario",K$1,"Branch","Demand Sites and Catchments\"&amp;$D346),0)</f>
        <v>0</v>
      </c>
      <c r="L346" s="99">
        <f>IFERROR(GETPIVOTDATA("Value",TD_WEAP_RAW!$A$3,"Variable",L$2,"Escenario",L$1,"Branch","Demand Sites and Catchments\"&amp;$D346),0)</f>
        <v>0</v>
      </c>
    </row>
    <row r="347" spans="4:12">
      <c r="D347" s="53"/>
      <c r="G347" s="51"/>
      <c r="H347" s="99">
        <f>IFERROR(GETPIVOTDATA("Value",TD_WEAP_RAW!$A$3,"Variable",H$2,"Escenario",H$1,"Branch","Demand Sites and Catchments\"&amp;$D347),0)</f>
        <v>0</v>
      </c>
      <c r="I347" s="99">
        <f>IFERROR(GETPIVOTDATA("Value",TD_WEAP_RAW!$A$3,"Variable",I$2,"Escenario",I$1,"Branch","Demand Sites and Catchments\"&amp;$D347),0)</f>
        <v>0</v>
      </c>
      <c r="J347" s="99">
        <f>IFERROR(GETPIVOTDATA("Value",TD_WEAP_RAW!$A$3,"Variable",J$2,"Escenario",J$1,"Branch","Demand Sites and Catchments\"&amp;$D347),0)</f>
        <v>0</v>
      </c>
      <c r="K347" s="99">
        <f>IFERROR(GETPIVOTDATA("Value",TD_WEAP_RAW!$A$3,"Variable",K$2,"Escenario",K$1,"Branch","Demand Sites and Catchments\"&amp;$D347),0)</f>
        <v>0</v>
      </c>
      <c r="L347" s="99">
        <f>IFERROR(GETPIVOTDATA("Value",TD_WEAP_RAW!$A$3,"Variable",L$2,"Escenario",L$1,"Branch","Demand Sites and Catchments\"&amp;$D347),0)</f>
        <v>0</v>
      </c>
    </row>
    <row r="348" spans="4:12">
      <c r="D348" s="53"/>
      <c r="G348" s="51"/>
      <c r="H348" s="99">
        <f>IFERROR(GETPIVOTDATA("Value",TD_WEAP_RAW!$A$3,"Variable",H$2,"Escenario",H$1,"Branch","Demand Sites and Catchments\"&amp;$D348),0)</f>
        <v>0</v>
      </c>
      <c r="I348" s="99">
        <f>IFERROR(GETPIVOTDATA("Value",TD_WEAP_RAW!$A$3,"Variable",I$2,"Escenario",I$1,"Branch","Demand Sites and Catchments\"&amp;$D348),0)</f>
        <v>0</v>
      </c>
      <c r="J348" s="99">
        <f>IFERROR(GETPIVOTDATA("Value",TD_WEAP_RAW!$A$3,"Variable",J$2,"Escenario",J$1,"Branch","Demand Sites and Catchments\"&amp;$D348),0)</f>
        <v>0</v>
      </c>
      <c r="K348" s="99">
        <f>IFERROR(GETPIVOTDATA("Value",TD_WEAP_RAW!$A$3,"Variable",K$2,"Escenario",K$1,"Branch","Demand Sites and Catchments\"&amp;$D348),0)</f>
        <v>0</v>
      </c>
      <c r="L348" s="99">
        <f>IFERROR(GETPIVOTDATA("Value",TD_WEAP_RAW!$A$3,"Variable",L$2,"Escenario",L$1,"Branch","Demand Sites and Catchments\"&amp;$D348),0)</f>
        <v>0</v>
      </c>
    </row>
    <row r="349" spans="4:12">
      <c r="D349" s="53"/>
      <c r="G349" s="51"/>
      <c r="H349" s="99">
        <f>IFERROR(GETPIVOTDATA("Value",TD_WEAP_RAW!$A$3,"Variable",H$2,"Escenario",H$1,"Branch","Demand Sites and Catchments\"&amp;$D349),0)</f>
        <v>0</v>
      </c>
      <c r="I349" s="99">
        <f>IFERROR(GETPIVOTDATA("Value",TD_WEAP_RAW!$A$3,"Variable",I$2,"Escenario",I$1,"Branch","Demand Sites and Catchments\"&amp;$D349),0)</f>
        <v>0</v>
      </c>
      <c r="J349" s="99">
        <f>IFERROR(GETPIVOTDATA("Value",TD_WEAP_RAW!$A$3,"Variable",J$2,"Escenario",J$1,"Branch","Demand Sites and Catchments\"&amp;$D349),0)</f>
        <v>0</v>
      </c>
      <c r="K349" s="99">
        <f>IFERROR(GETPIVOTDATA("Value",TD_WEAP_RAW!$A$3,"Variable",K$2,"Escenario",K$1,"Branch","Demand Sites and Catchments\"&amp;$D349),0)</f>
        <v>0</v>
      </c>
      <c r="L349" s="99">
        <f>IFERROR(GETPIVOTDATA("Value",TD_WEAP_RAW!$A$3,"Variable",L$2,"Escenario",L$1,"Branch","Demand Sites and Catchments\"&amp;$D349),0)</f>
        <v>0</v>
      </c>
    </row>
    <row r="350" spans="4:12">
      <c r="D350" s="53"/>
      <c r="G350" s="51"/>
      <c r="H350" s="99">
        <f>IFERROR(GETPIVOTDATA("Value",TD_WEAP_RAW!$A$3,"Variable",H$2,"Escenario",H$1,"Branch","Demand Sites and Catchments\"&amp;$D350),0)</f>
        <v>0</v>
      </c>
      <c r="I350" s="99">
        <f>IFERROR(GETPIVOTDATA("Value",TD_WEAP_RAW!$A$3,"Variable",I$2,"Escenario",I$1,"Branch","Demand Sites and Catchments\"&amp;$D350),0)</f>
        <v>0</v>
      </c>
      <c r="J350" s="99">
        <f>IFERROR(GETPIVOTDATA("Value",TD_WEAP_RAW!$A$3,"Variable",J$2,"Escenario",J$1,"Branch","Demand Sites and Catchments\"&amp;$D350),0)</f>
        <v>0</v>
      </c>
      <c r="K350" s="99">
        <f>IFERROR(GETPIVOTDATA("Value",TD_WEAP_RAW!$A$3,"Variable",K$2,"Escenario",K$1,"Branch","Demand Sites and Catchments\"&amp;$D350),0)</f>
        <v>0</v>
      </c>
      <c r="L350" s="99">
        <f>IFERROR(GETPIVOTDATA("Value",TD_WEAP_RAW!$A$3,"Variable",L$2,"Escenario",L$1,"Branch","Demand Sites and Catchments\"&amp;$D350),0)</f>
        <v>0</v>
      </c>
    </row>
    <row r="351" spans="4:12">
      <c r="D351" s="53"/>
      <c r="G351" s="51"/>
      <c r="H351" s="99">
        <f>IFERROR(GETPIVOTDATA("Value",TD_WEAP_RAW!$A$3,"Variable",H$2,"Escenario",H$1,"Branch","Demand Sites and Catchments\"&amp;$D351),0)</f>
        <v>0</v>
      </c>
      <c r="I351" s="99">
        <f>IFERROR(GETPIVOTDATA("Value",TD_WEAP_RAW!$A$3,"Variable",I$2,"Escenario",I$1,"Branch","Demand Sites and Catchments\"&amp;$D351),0)</f>
        <v>0</v>
      </c>
      <c r="J351" s="99">
        <f>IFERROR(GETPIVOTDATA("Value",TD_WEAP_RAW!$A$3,"Variable",J$2,"Escenario",J$1,"Branch","Demand Sites and Catchments\"&amp;$D351),0)</f>
        <v>0</v>
      </c>
      <c r="K351" s="99">
        <f>IFERROR(GETPIVOTDATA("Value",TD_WEAP_RAW!$A$3,"Variable",K$2,"Escenario",K$1,"Branch","Demand Sites and Catchments\"&amp;$D351),0)</f>
        <v>0</v>
      </c>
      <c r="L351" s="99">
        <f>IFERROR(GETPIVOTDATA("Value",TD_WEAP_RAW!$A$3,"Variable",L$2,"Escenario",L$1,"Branch","Demand Sites and Catchments\"&amp;$D351),0)</f>
        <v>0</v>
      </c>
    </row>
    <row r="352" spans="4:12">
      <c r="D352" s="53"/>
      <c r="G352" s="51"/>
      <c r="H352" s="99">
        <f>IFERROR(GETPIVOTDATA("Value",TD_WEAP_RAW!$A$3,"Variable",H$2,"Escenario",H$1,"Branch","Demand Sites and Catchments\"&amp;$D352),0)</f>
        <v>0</v>
      </c>
      <c r="I352" s="99">
        <f>IFERROR(GETPIVOTDATA("Value",TD_WEAP_RAW!$A$3,"Variable",I$2,"Escenario",I$1,"Branch","Demand Sites and Catchments\"&amp;$D352),0)</f>
        <v>0</v>
      </c>
      <c r="J352" s="99">
        <f>IFERROR(GETPIVOTDATA("Value",TD_WEAP_RAW!$A$3,"Variable",J$2,"Escenario",J$1,"Branch","Demand Sites and Catchments\"&amp;$D352),0)</f>
        <v>0</v>
      </c>
      <c r="K352" s="99">
        <f>IFERROR(GETPIVOTDATA("Value",TD_WEAP_RAW!$A$3,"Variable",K$2,"Escenario",K$1,"Branch","Demand Sites and Catchments\"&amp;$D352),0)</f>
        <v>0</v>
      </c>
      <c r="L352" s="99">
        <f>IFERROR(GETPIVOTDATA("Value",TD_WEAP_RAW!$A$3,"Variable",L$2,"Escenario",L$1,"Branch","Demand Sites and Catchments\"&amp;$D352),0)</f>
        <v>0</v>
      </c>
    </row>
    <row r="353" spans="4:12">
      <c r="D353" s="53"/>
      <c r="G353" s="51"/>
      <c r="H353" s="99">
        <f>IFERROR(GETPIVOTDATA("Value",TD_WEAP_RAW!$A$3,"Variable",H$2,"Escenario",H$1,"Branch","Demand Sites and Catchments\"&amp;$D353),0)</f>
        <v>0</v>
      </c>
      <c r="I353" s="99">
        <f>IFERROR(GETPIVOTDATA("Value",TD_WEAP_RAW!$A$3,"Variable",I$2,"Escenario",I$1,"Branch","Demand Sites and Catchments\"&amp;$D353),0)</f>
        <v>0</v>
      </c>
      <c r="J353" s="99">
        <f>IFERROR(GETPIVOTDATA("Value",TD_WEAP_RAW!$A$3,"Variable",J$2,"Escenario",J$1,"Branch","Demand Sites and Catchments\"&amp;$D353),0)</f>
        <v>0</v>
      </c>
      <c r="K353" s="99">
        <f>IFERROR(GETPIVOTDATA("Value",TD_WEAP_RAW!$A$3,"Variable",K$2,"Escenario",K$1,"Branch","Demand Sites and Catchments\"&amp;$D353),0)</f>
        <v>0</v>
      </c>
      <c r="L353" s="99">
        <f>IFERROR(GETPIVOTDATA("Value",TD_WEAP_RAW!$A$3,"Variable",L$2,"Escenario",L$1,"Branch","Demand Sites and Catchments\"&amp;$D353),0)</f>
        <v>0</v>
      </c>
    </row>
    <row r="354" spans="4:12">
      <c r="D354" s="53"/>
      <c r="G354" s="51"/>
      <c r="H354" s="99">
        <f>IFERROR(GETPIVOTDATA("Value",TD_WEAP_RAW!$A$3,"Variable",H$2,"Escenario",H$1,"Branch","Demand Sites and Catchments\"&amp;$D354),0)</f>
        <v>0</v>
      </c>
      <c r="I354" s="99">
        <f>IFERROR(GETPIVOTDATA("Value",TD_WEAP_RAW!$A$3,"Variable",I$2,"Escenario",I$1,"Branch","Demand Sites and Catchments\"&amp;$D354),0)</f>
        <v>0</v>
      </c>
      <c r="J354" s="99">
        <f>IFERROR(GETPIVOTDATA("Value",TD_WEAP_RAW!$A$3,"Variable",J$2,"Escenario",J$1,"Branch","Demand Sites and Catchments\"&amp;$D354),0)</f>
        <v>0</v>
      </c>
      <c r="K354" s="99">
        <f>IFERROR(GETPIVOTDATA("Value",TD_WEAP_RAW!$A$3,"Variable",K$2,"Escenario",K$1,"Branch","Demand Sites and Catchments\"&amp;$D354),0)</f>
        <v>0</v>
      </c>
      <c r="L354" s="99">
        <f>IFERROR(GETPIVOTDATA("Value",TD_WEAP_RAW!$A$3,"Variable",L$2,"Escenario",L$1,"Branch","Demand Sites and Catchments\"&amp;$D354),0)</f>
        <v>0</v>
      </c>
    </row>
    <row r="355" spans="4:12">
      <c r="D355" s="53"/>
      <c r="G355" s="51"/>
      <c r="H355" s="99">
        <f>IFERROR(GETPIVOTDATA("Value",TD_WEAP_RAW!$A$3,"Variable",H$2,"Escenario",H$1,"Branch","Demand Sites and Catchments\"&amp;$D355),0)</f>
        <v>0</v>
      </c>
      <c r="I355" s="99">
        <f>IFERROR(GETPIVOTDATA("Value",TD_WEAP_RAW!$A$3,"Variable",I$2,"Escenario",I$1,"Branch","Demand Sites and Catchments\"&amp;$D355),0)</f>
        <v>0</v>
      </c>
      <c r="J355" s="99">
        <f>IFERROR(GETPIVOTDATA("Value",TD_WEAP_RAW!$A$3,"Variable",J$2,"Escenario",J$1,"Branch","Demand Sites and Catchments\"&amp;$D355),0)</f>
        <v>0</v>
      </c>
      <c r="K355" s="99">
        <f>IFERROR(GETPIVOTDATA("Value",TD_WEAP_RAW!$A$3,"Variable",K$2,"Escenario",K$1,"Branch","Demand Sites and Catchments\"&amp;$D355),0)</f>
        <v>0</v>
      </c>
      <c r="L355" s="99">
        <f>IFERROR(GETPIVOTDATA("Value",TD_WEAP_RAW!$A$3,"Variable",L$2,"Escenario",L$1,"Branch","Demand Sites and Catchments\"&amp;$D355),0)</f>
        <v>0</v>
      </c>
    </row>
    <row r="356" spans="4:12">
      <c r="D356" s="53"/>
      <c r="G356" s="51"/>
      <c r="H356" s="99">
        <f>IFERROR(GETPIVOTDATA("Value",TD_WEAP_RAW!$A$3,"Variable",H$2,"Escenario",H$1,"Branch","Demand Sites and Catchments\"&amp;$D356),0)</f>
        <v>0</v>
      </c>
      <c r="I356" s="99">
        <f>IFERROR(GETPIVOTDATA("Value",TD_WEAP_RAW!$A$3,"Variable",I$2,"Escenario",I$1,"Branch","Demand Sites and Catchments\"&amp;$D356),0)</f>
        <v>0</v>
      </c>
      <c r="J356" s="99">
        <f>IFERROR(GETPIVOTDATA("Value",TD_WEAP_RAW!$A$3,"Variable",J$2,"Escenario",J$1,"Branch","Demand Sites and Catchments\"&amp;$D356),0)</f>
        <v>0</v>
      </c>
      <c r="K356" s="99">
        <f>IFERROR(GETPIVOTDATA("Value",TD_WEAP_RAW!$A$3,"Variable",K$2,"Escenario",K$1,"Branch","Demand Sites and Catchments\"&amp;$D356),0)</f>
        <v>0</v>
      </c>
      <c r="L356" s="99">
        <f>IFERROR(GETPIVOTDATA("Value",TD_WEAP_RAW!$A$3,"Variable",L$2,"Escenario",L$1,"Branch","Demand Sites and Catchments\"&amp;$D356),0)</f>
        <v>0</v>
      </c>
    </row>
    <row r="357" spans="4:12">
      <c r="D357" s="53"/>
      <c r="G357" s="51"/>
      <c r="H357" s="99">
        <f>IFERROR(GETPIVOTDATA("Value",TD_WEAP_RAW!$A$3,"Variable",H$2,"Escenario",H$1,"Branch","Demand Sites and Catchments\"&amp;$D357),0)</f>
        <v>0</v>
      </c>
      <c r="I357" s="99">
        <f>IFERROR(GETPIVOTDATA("Value",TD_WEAP_RAW!$A$3,"Variable",I$2,"Escenario",I$1,"Branch","Demand Sites and Catchments\"&amp;$D357),0)</f>
        <v>0</v>
      </c>
      <c r="J357" s="99">
        <f>IFERROR(GETPIVOTDATA("Value",TD_WEAP_RAW!$A$3,"Variable",J$2,"Escenario",J$1,"Branch","Demand Sites and Catchments\"&amp;$D357),0)</f>
        <v>0</v>
      </c>
      <c r="K357" s="99">
        <f>IFERROR(GETPIVOTDATA("Value",TD_WEAP_RAW!$A$3,"Variable",K$2,"Escenario",K$1,"Branch","Demand Sites and Catchments\"&amp;$D357),0)</f>
        <v>0</v>
      </c>
      <c r="L357" s="99">
        <f>IFERROR(GETPIVOTDATA("Value",TD_WEAP_RAW!$A$3,"Variable",L$2,"Escenario",L$1,"Branch","Demand Sites and Catchments\"&amp;$D357),0)</f>
        <v>0</v>
      </c>
    </row>
    <row r="358" spans="4:12">
      <c r="D358" s="53"/>
      <c r="G358" s="51"/>
      <c r="H358" s="99">
        <f>IFERROR(GETPIVOTDATA("Value",TD_WEAP_RAW!$A$3,"Variable",H$2,"Escenario",H$1,"Branch","Demand Sites and Catchments\"&amp;$D358),0)</f>
        <v>0</v>
      </c>
      <c r="I358" s="99">
        <f>IFERROR(GETPIVOTDATA("Value",TD_WEAP_RAW!$A$3,"Variable",I$2,"Escenario",I$1,"Branch","Demand Sites and Catchments\"&amp;$D358),0)</f>
        <v>0</v>
      </c>
      <c r="J358" s="99">
        <f>IFERROR(GETPIVOTDATA("Value",TD_WEAP_RAW!$A$3,"Variable",J$2,"Escenario",J$1,"Branch","Demand Sites and Catchments\"&amp;$D358),0)</f>
        <v>0</v>
      </c>
      <c r="K358" s="99">
        <f>IFERROR(GETPIVOTDATA("Value",TD_WEAP_RAW!$A$3,"Variable",K$2,"Escenario",K$1,"Branch","Demand Sites and Catchments\"&amp;$D358),0)</f>
        <v>0</v>
      </c>
      <c r="L358" s="99">
        <f>IFERROR(GETPIVOTDATA("Value",TD_WEAP_RAW!$A$3,"Variable",L$2,"Escenario",L$1,"Branch","Demand Sites and Catchments\"&amp;$D358),0)</f>
        <v>0</v>
      </c>
    </row>
    <row r="359" spans="4:12">
      <c r="D359" s="53"/>
      <c r="G359" s="51"/>
      <c r="H359" s="99">
        <f>IFERROR(GETPIVOTDATA("Value",TD_WEAP_RAW!$A$3,"Variable",H$2,"Escenario",H$1,"Branch","Demand Sites and Catchments\"&amp;$D359),0)</f>
        <v>0</v>
      </c>
      <c r="I359" s="99">
        <f>IFERROR(GETPIVOTDATA("Value",TD_WEAP_RAW!$A$3,"Variable",I$2,"Escenario",I$1,"Branch","Demand Sites and Catchments\"&amp;$D359),0)</f>
        <v>0</v>
      </c>
      <c r="J359" s="99">
        <f>IFERROR(GETPIVOTDATA("Value",TD_WEAP_RAW!$A$3,"Variable",J$2,"Escenario",J$1,"Branch","Demand Sites and Catchments\"&amp;$D359),0)</f>
        <v>0</v>
      </c>
      <c r="K359" s="99">
        <f>IFERROR(GETPIVOTDATA("Value",TD_WEAP_RAW!$A$3,"Variable",K$2,"Escenario",K$1,"Branch","Demand Sites and Catchments\"&amp;$D359),0)</f>
        <v>0</v>
      </c>
      <c r="L359" s="99">
        <f>IFERROR(GETPIVOTDATA("Value",TD_WEAP_RAW!$A$3,"Variable",L$2,"Escenario",L$1,"Branch","Demand Sites and Catchments\"&amp;$D359),0)</f>
        <v>0</v>
      </c>
    </row>
    <row r="360" spans="4:12">
      <c r="D360" s="53"/>
      <c r="G360" s="51"/>
      <c r="H360" s="99">
        <f>IFERROR(GETPIVOTDATA("Value",TD_WEAP_RAW!$A$3,"Variable",H$2,"Escenario",H$1,"Branch","Demand Sites and Catchments\"&amp;$D360),0)</f>
        <v>0</v>
      </c>
      <c r="I360" s="99">
        <f>IFERROR(GETPIVOTDATA("Value",TD_WEAP_RAW!$A$3,"Variable",I$2,"Escenario",I$1,"Branch","Demand Sites and Catchments\"&amp;$D360),0)</f>
        <v>0</v>
      </c>
      <c r="J360" s="99">
        <f>IFERROR(GETPIVOTDATA("Value",TD_WEAP_RAW!$A$3,"Variable",J$2,"Escenario",J$1,"Branch","Demand Sites and Catchments\"&amp;$D360),0)</f>
        <v>0</v>
      </c>
      <c r="K360" s="99">
        <f>IFERROR(GETPIVOTDATA("Value",TD_WEAP_RAW!$A$3,"Variable",K$2,"Escenario",K$1,"Branch","Demand Sites and Catchments\"&amp;$D360),0)</f>
        <v>0</v>
      </c>
      <c r="L360" s="99">
        <f>IFERROR(GETPIVOTDATA("Value",TD_WEAP_RAW!$A$3,"Variable",L$2,"Escenario",L$1,"Branch","Demand Sites and Catchments\"&amp;$D360),0)</f>
        <v>0</v>
      </c>
    </row>
    <row r="361" spans="4:12">
      <c r="D361" s="53"/>
      <c r="G361" s="51"/>
      <c r="H361" s="99">
        <f>IFERROR(GETPIVOTDATA("Value",TD_WEAP_RAW!$A$3,"Variable",H$2,"Escenario",H$1,"Branch","Demand Sites and Catchments\"&amp;$D361),0)</f>
        <v>0</v>
      </c>
      <c r="I361" s="99">
        <f>IFERROR(GETPIVOTDATA("Value",TD_WEAP_RAW!$A$3,"Variable",I$2,"Escenario",I$1,"Branch","Demand Sites and Catchments\"&amp;$D361),0)</f>
        <v>0</v>
      </c>
      <c r="J361" s="99">
        <f>IFERROR(GETPIVOTDATA("Value",TD_WEAP_RAW!$A$3,"Variable",J$2,"Escenario",J$1,"Branch","Demand Sites and Catchments\"&amp;$D361),0)</f>
        <v>0</v>
      </c>
      <c r="K361" s="99">
        <f>IFERROR(GETPIVOTDATA("Value",TD_WEAP_RAW!$A$3,"Variable",K$2,"Escenario",K$1,"Branch","Demand Sites and Catchments\"&amp;$D361),0)</f>
        <v>0</v>
      </c>
      <c r="L361" s="99">
        <f>IFERROR(GETPIVOTDATA("Value",TD_WEAP_RAW!$A$3,"Variable",L$2,"Escenario",L$1,"Branch","Demand Sites and Catchments\"&amp;$D361),0)</f>
        <v>0</v>
      </c>
    </row>
    <row r="362" spans="4:12">
      <c r="D362" s="53"/>
      <c r="G362" s="51"/>
      <c r="H362" s="99">
        <f>IFERROR(GETPIVOTDATA("Value",TD_WEAP_RAW!$A$3,"Variable",H$2,"Escenario",H$1,"Branch","Demand Sites and Catchments\"&amp;$D362),0)</f>
        <v>0</v>
      </c>
      <c r="I362" s="99">
        <f>IFERROR(GETPIVOTDATA("Value",TD_WEAP_RAW!$A$3,"Variable",I$2,"Escenario",I$1,"Branch","Demand Sites and Catchments\"&amp;$D362),0)</f>
        <v>0</v>
      </c>
      <c r="J362" s="99">
        <f>IFERROR(GETPIVOTDATA("Value",TD_WEAP_RAW!$A$3,"Variable",J$2,"Escenario",J$1,"Branch","Demand Sites and Catchments\"&amp;$D362),0)</f>
        <v>0</v>
      </c>
      <c r="K362" s="99">
        <f>IFERROR(GETPIVOTDATA("Value",TD_WEAP_RAW!$A$3,"Variable",K$2,"Escenario",K$1,"Branch","Demand Sites and Catchments\"&amp;$D362),0)</f>
        <v>0</v>
      </c>
      <c r="L362" s="99">
        <f>IFERROR(GETPIVOTDATA("Value",TD_WEAP_RAW!$A$3,"Variable",L$2,"Escenario",L$1,"Branch","Demand Sites and Catchments\"&amp;$D362),0)</f>
        <v>0</v>
      </c>
    </row>
    <row r="363" spans="4:12">
      <c r="D363" s="53"/>
      <c r="G363" s="51"/>
      <c r="H363" s="99">
        <f>IFERROR(GETPIVOTDATA("Value",TD_WEAP_RAW!$A$3,"Variable",H$2,"Escenario",H$1,"Branch","Demand Sites and Catchments\"&amp;$D363),0)</f>
        <v>0</v>
      </c>
      <c r="I363" s="99">
        <f>IFERROR(GETPIVOTDATA("Value",TD_WEAP_RAW!$A$3,"Variable",I$2,"Escenario",I$1,"Branch","Demand Sites and Catchments\"&amp;$D363),0)</f>
        <v>0</v>
      </c>
      <c r="J363" s="99">
        <f>IFERROR(GETPIVOTDATA("Value",TD_WEAP_RAW!$A$3,"Variable",J$2,"Escenario",J$1,"Branch","Demand Sites and Catchments\"&amp;$D363),0)</f>
        <v>0</v>
      </c>
      <c r="K363" s="99">
        <f>IFERROR(GETPIVOTDATA("Value",TD_WEAP_RAW!$A$3,"Variable",K$2,"Escenario",K$1,"Branch","Demand Sites and Catchments\"&amp;$D363),0)</f>
        <v>0</v>
      </c>
      <c r="L363" s="99">
        <f>IFERROR(GETPIVOTDATA("Value",TD_WEAP_RAW!$A$3,"Variable",L$2,"Escenario",L$1,"Branch","Demand Sites and Catchments\"&amp;$D363),0)</f>
        <v>0</v>
      </c>
    </row>
    <row r="364" spans="4:12">
      <c r="D364" s="53"/>
      <c r="G364" s="51"/>
      <c r="H364" s="99">
        <f>IFERROR(GETPIVOTDATA("Value",TD_WEAP_RAW!$A$3,"Variable",H$2,"Escenario",H$1,"Branch","Demand Sites and Catchments\"&amp;$D364),0)</f>
        <v>0</v>
      </c>
      <c r="I364" s="99">
        <f>IFERROR(GETPIVOTDATA("Value",TD_WEAP_RAW!$A$3,"Variable",I$2,"Escenario",I$1,"Branch","Demand Sites and Catchments\"&amp;$D364),0)</f>
        <v>0</v>
      </c>
      <c r="J364" s="99">
        <f>IFERROR(GETPIVOTDATA("Value",TD_WEAP_RAW!$A$3,"Variable",J$2,"Escenario",J$1,"Branch","Demand Sites and Catchments\"&amp;$D364),0)</f>
        <v>0</v>
      </c>
      <c r="K364" s="99">
        <f>IFERROR(GETPIVOTDATA("Value",TD_WEAP_RAW!$A$3,"Variable",K$2,"Escenario",K$1,"Branch","Demand Sites and Catchments\"&amp;$D364),0)</f>
        <v>0</v>
      </c>
      <c r="L364" s="99">
        <f>IFERROR(GETPIVOTDATA("Value",TD_WEAP_RAW!$A$3,"Variable",L$2,"Escenario",L$1,"Branch","Demand Sites and Catchments\"&amp;$D364),0)</f>
        <v>0</v>
      </c>
    </row>
    <row r="365" spans="4:12">
      <c r="D365" s="53"/>
      <c r="G365" s="51"/>
      <c r="H365" s="99">
        <f>IFERROR(GETPIVOTDATA("Value",TD_WEAP_RAW!$A$3,"Variable",H$2,"Escenario",H$1,"Branch","Demand Sites and Catchments\"&amp;$D365),0)</f>
        <v>0</v>
      </c>
      <c r="I365" s="99">
        <f>IFERROR(GETPIVOTDATA("Value",TD_WEAP_RAW!$A$3,"Variable",I$2,"Escenario",I$1,"Branch","Demand Sites and Catchments\"&amp;$D365),0)</f>
        <v>0</v>
      </c>
      <c r="J365" s="99">
        <f>IFERROR(GETPIVOTDATA("Value",TD_WEAP_RAW!$A$3,"Variable",J$2,"Escenario",J$1,"Branch","Demand Sites and Catchments\"&amp;$D365),0)</f>
        <v>0</v>
      </c>
      <c r="K365" s="99">
        <f>IFERROR(GETPIVOTDATA("Value",TD_WEAP_RAW!$A$3,"Variable",K$2,"Escenario",K$1,"Branch","Demand Sites and Catchments\"&amp;$D365),0)</f>
        <v>0</v>
      </c>
      <c r="L365" s="99">
        <f>IFERROR(GETPIVOTDATA("Value",TD_WEAP_RAW!$A$3,"Variable",L$2,"Escenario",L$1,"Branch","Demand Sites and Catchments\"&amp;$D365),0)</f>
        <v>0</v>
      </c>
    </row>
    <row r="366" spans="4:12">
      <c r="D366" s="53"/>
      <c r="G366" s="51"/>
      <c r="H366" s="99">
        <f>IFERROR(GETPIVOTDATA("Value",TD_WEAP_RAW!$A$3,"Variable",H$2,"Escenario",H$1,"Branch","Demand Sites and Catchments\"&amp;$D366),0)</f>
        <v>0</v>
      </c>
      <c r="I366" s="99">
        <f>IFERROR(GETPIVOTDATA("Value",TD_WEAP_RAW!$A$3,"Variable",I$2,"Escenario",I$1,"Branch","Demand Sites and Catchments\"&amp;$D366),0)</f>
        <v>0</v>
      </c>
      <c r="J366" s="99">
        <f>IFERROR(GETPIVOTDATA("Value",TD_WEAP_RAW!$A$3,"Variable",J$2,"Escenario",J$1,"Branch","Demand Sites and Catchments\"&amp;$D366),0)</f>
        <v>0</v>
      </c>
      <c r="K366" s="99">
        <f>IFERROR(GETPIVOTDATA("Value",TD_WEAP_RAW!$A$3,"Variable",K$2,"Escenario",K$1,"Branch","Demand Sites and Catchments\"&amp;$D366),0)</f>
        <v>0</v>
      </c>
      <c r="L366" s="99">
        <f>IFERROR(GETPIVOTDATA("Value",TD_WEAP_RAW!$A$3,"Variable",L$2,"Escenario",L$1,"Branch","Demand Sites and Catchments\"&amp;$D366),0)</f>
        <v>0</v>
      </c>
    </row>
    <row r="367" spans="4:12">
      <c r="D367" s="53"/>
      <c r="G367" s="51"/>
      <c r="H367" s="99">
        <f>IFERROR(GETPIVOTDATA("Value",TD_WEAP_RAW!$A$3,"Variable",H$2,"Escenario",H$1,"Branch","Demand Sites and Catchments\"&amp;$D367),0)</f>
        <v>0</v>
      </c>
      <c r="I367" s="99">
        <f>IFERROR(GETPIVOTDATA("Value",TD_WEAP_RAW!$A$3,"Variable",I$2,"Escenario",I$1,"Branch","Demand Sites and Catchments\"&amp;$D367),0)</f>
        <v>0</v>
      </c>
      <c r="J367" s="99">
        <f>IFERROR(GETPIVOTDATA("Value",TD_WEAP_RAW!$A$3,"Variable",J$2,"Escenario",J$1,"Branch","Demand Sites and Catchments\"&amp;$D367),0)</f>
        <v>0</v>
      </c>
      <c r="K367" s="99">
        <f>IFERROR(GETPIVOTDATA("Value",TD_WEAP_RAW!$A$3,"Variable",K$2,"Escenario",K$1,"Branch","Demand Sites and Catchments\"&amp;$D367),0)</f>
        <v>0</v>
      </c>
      <c r="L367" s="99">
        <f>IFERROR(GETPIVOTDATA("Value",TD_WEAP_RAW!$A$3,"Variable",L$2,"Escenario",L$1,"Branch","Demand Sites and Catchments\"&amp;$D367),0)</f>
        <v>0</v>
      </c>
    </row>
    <row r="368" spans="4:12">
      <c r="D368" s="53"/>
      <c r="G368" s="51"/>
      <c r="H368" s="99">
        <f>IFERROR(GETPIVOTDATA("Value",TD_WEAP_RAW!$A$3,"Variable",H$2,"Escenario",H$1,"Branch","Demand Sites and Catchments\"&amp;$D368),0)</f>
        <v>0</v>
      </c>
      <c r="I368" s="99">
        <f>IFERROR(GETPIVOTDATA("Value",TD_WEAP_RAW!$A$3,"Variable",I$2,"Escenario",I$1,"Branch","Demand Sites and Catchments\"&amp;$D368),0)</f>
        <v>0</v>
      </c>
      <c r="J368" s="99">
        <f>IFERROR(GETPIVOTDATA("Value",TD_WEAP_RAW!$A$3,"Variable",J$2,"Escenario",J$1,"Branch","Demand Sites and Catchments\"&amp;$D368),0)</f>
        <v>0</v>
      </c>
      <c r="K368" s="99">
        <f>IFERROR(GETPIVOTDATA("Value",TD_WEAP_RAW!$A$3,"Variable",K$2,"Escenario",K$1,"Branch","Demand Sites and Catchments\"&amp;$D368),0)</f>
        <v>0</v>
      </c>
      <c r="L368" s="99">
        <f>IFERROR(GETPIVOTDATA("Value",TD_WEAP_RAW!$A$3,"Variable",L$2,"Escenario",L$1,"Branch","Demand Sites and Catchments\"&amp;$D368),0)</f>
        <v>0</v>
      </c>
    </row>
    <row r="369" spans="4:12">
      <c r="D369" s="53"/>
      <c r="G369" s="51"/>
      <c r="H369" s="99">
        <f>IFERROR(GETPIVOTDATA("Value",TD_WEAP_RAW!$A$3,"Variable",H$2,"Escenario",H$1,"Branch","Demand Sites and Catchments\"&amp;$D369),0)</f>
        <v>0</v>
      </c>
      <c r="I369" s="99">
        <f>IFERROR(GETPIVOTDATA("Value",TD_WEAP_RAW!$A$3,"Variable",I$2,"Escenario",I$1,"Branch","Demand Sites and Catchments\"&amp;$D369),0)</f>
        <v>0</v>
      </c>
      <c r="J369" s="99">
        <f>IFERROR(GETPIVOTDATA("Value",TD_WEAP_RAW!$A$3,"Variable",J$2,"Escenario",J$1,"Branch","Demand Sites and Catchments\"&amp;$D369),0)</f>
        <v>0</v>
      </c>
      <c r="K369" s="99">
        <f>IFERROR(GETPIVOTDATA("Value",TD_WEAP_RAW!$A$3,"Variable",K$2,"Escenario",K$1,"Branch","Demand Sites and Catchments\"&amp;$D369),0)</f>
        <v>0</v>
      </c>
      <c r="L369" s="99">
        <f>IFERROR(GETPIVOTDATA("Value",TD_WEAP_RAW!$A$3,"Variable",L$2,"Escenario",L$1,"Branch","Demand Sites and Catchments\"&amp;$D369),0)</f>
        <v>0</v>
      </c>
    </row>
    <row r="370" spans="4:12">
      <c r="D370" s="53"/>
      <c r="G370" s="51"/>
      <c r="H370" s="99">
        <f>IFERROR(GETPIVOTDATA("Value",TD_WEAP_RAW!$A$3,"Variable",H$2,"Escenario",H$1,"Branch","Demand Sites and Catchments\"&amp;$D370),0)</f>
        <v>0</v>
      </c>
      <c r="I370" s="99">
        <f>IFERROR(GETPIVOTDATA("Value",TD_WEAP_RAW!$A$3,"Variable",I$2,"Escenario",I$1,"Branch","Demand Sites and Catchments\"&amp;$D370),0)</f>
        <v>0</v>
      </c>
      <c r="J370" s="99">
        <f>IFERROR(GETPIVOTDATA("Value",TD_WEAP_RAW!$A$3,"Variable",J$2,"Escenario",J$1,"Branch","Demand Sites and Catchments\"&amp;$D370),0)</f>
        <v>0</v>
      </c>
      <c r="K370" s="99">
        <f>IFERROR(GETPIVOTDATA("Value",TD_WEAP_RAW!$A$3,"Variable",K$2,"Escenario",K$1,"Branch","Demand Sites and Catchments\"&amp;$D370),0)</f>
        <v>0</v>
      </c>
      <c r="L370" s="99">
        <f>IFERROR(GETPIVOTDATA("Value",TD_WEAP_RAW!$A$3,"Variable",L$2,"Escenario",L$1,"Branch","Demand Sites and Catchments\"&amp;$D370),0)</f>
        <v>0</v>
      </c>
    </row>
    <row r="371" spans="4:12">
      <c r="D371" s="53"/>
      <c r="G371" s="51"/>
      <c r="H371" s="99">
        <f>IFERROR(GETPIVOTDATA("Value",TD_WEAP_RAW!$A$3,"Variable",H$2,"Escenario",H$1,"Branch","Demand Sites and Catchments\"&amp;$D371),0)</f>
        <v>0</v>
      </c>
      <c r="I371" s="99">
        <f>IFERROR(GETPIVOTDATA("Value",TD_WEAP_RAW!$A$3,"Variable",I$2,"Escenario",I$1,"Branch","Demand Sites and Catchments\"&amp;$D371),0)</f>
        <v>0</v>
      </c>
      <c r="J371" s="99">
        <f>IFERROR(GETPIVOTDATA("Value",TD_WEAP_RAW!$A$3,"Variable",J$2,"Escenario",J$1,"Branch","Demand Sites and Catchments\"&amp;$D371),0)</f>
        <v>0</v>
      </c>
      <c r="K371" s="99">
        <f>IFERROR(GETPIVOTDATA("Value",TD_WEAP_RAW!$A$3,"Variable",K$2,"Escenario",K$1,"Branch","Demand Sites and Catchments\"&amp;$D371),0)</f>
        <v>0</v>
      </c>
      <c r="L371" s="99">
        <f>IFERROR(GETPIVOTDATA("Value",TD_WEAP_RAW!$A$3,"Variable",L$2,"Escenario",L$1,"Branch","Demand Sites and Catchments\"&amp;$D371),0)</f>
        <v>0</v>
      </c>
    </row>
    <row r="372" spans="4:12">
      <c r="D372" s="53"/>
      <c r="G372" s="51"/>
      <c r="H372" s="99">
        <f>IFERROR(GETPIVOTDATA("Value",TD_WEAP_RAW!$A$3,"Variable",H$2,"Escenario",H$1,"Branch","Demand Sites and Catchments\"&amp;$D372),0)</f>
        <v>0</v>
      </c>
      <c r="I372" s="99">
        <f>IFERROR(GETPIVOTDATA("Value",TD_WEAP_RAW!$A$3,"Variable",I$2,"Escenario",I$1,"Branch","Demand Sites and Catchments\"&amp;$D372),0)</f>
        <v>0</v>
      </c>
      <c r="J372" s="99">
        <f>IFERROR(GETPIVOTDATA("Value",TD_WEAP_RAW!$A$3,"Variable",J$2,"Escenario",J$1,"Branch","Demand Sites and Catchments\"&amp;$D372),0)</f>
        <v>0</v>
      </c>
      <c r="K372" s="99">
        <f>IFERROR(GETPIVOTDATA("Value",TD_WEAP_RAW!$A$3,"Variable",K$2,"Escenario",K$1,"Branch","Demand Sites and Catchments\"&amp;$D372),0)</f>
        <v>0</v>
      </c>
      <c r="L372" s="99">
        <f>IFERROR(GETPIVOTDATA("Value",TD_WEAP_RAW!$A$3,"Variable",L$2,"Escenario",L$1,"Branch","Demand Sites and Catchments\"&amp;$D372),0)</f>
        <v>0</v>
      </c>
    </row>
    <row r="373" spans="4:12">
      <c r="D373" s="53"/>
      <c r="G373" s="51"/>
      <c r="H373" s="99">
        <f>IFERROR(GETPIVOTDATA("Value",TD_WEAP_RAW!$A$3,"Variable",H$2,"Escenario",H$1,"Branch","Demand Sites and Catchments\"&amp;$D373),0)</f>
        <v>0</v>
      </c>
      <c r="I373" s="99">
        <f>IFERROR(GETPIVOTDATA("Value",TD_WEAP_RAW!$A$3,"Variable",I$2,"Escenario",I$1,"Branch","Demand Sites and Catchments\"&amp;$D373),0)</f>
        <v>0</v>
      </c>
      <c r="J373" s="99">
        <f>IFERROR(GETPIVOTDATA("Value",TD_WEAP_RAW!$A$3,"Variable",J$2,"Escenario",J$1,"Branch","Demand Sites and Catchments\"&amp;$D373),0)</f>
        <v>0</v>
      </c>
      <c r="K373" s="99">
        <f>IFERROR(GETPIVOTDATA("Value",TD_WEAP_RAW!$A$3,"Variable",K$2,"Escenario",K$1,"Branch","Demand Sites and Catchments\"&amp;$D373),0)</f>
        <v>0</v>
      </c>
      <c r="L373" s="99">
        <f>IFERROR(GETPIVOTDATA("Value",TD_WEAP_RAW!$A$3,"Variable",L$2,"Escenario",L$1,"Branch","Demand Sites and Catchments\"&amp;$D373),0)</f>
        <v>0</v>
      </c>
    </row>
    <row r="374" spans="4:12">
      <c r="D374" s="53"/>
      <c r="G374" s="51"/>
      <c r="H374" s="99">
        <f>IFERROR(GETPIVOTDATA("Value",TD_WEAP_RAW!$A$3,"Variable",H$2,"Escenario",H$1,"Branch","Demand Sites and Catchments\"&amp;$D374),0)</f>
        <v>0</v>
      </c>
      <c r="I374" s="99">
        <f>IFERROR(GETPIVOTDATA("Value",TD_WEAP_RAW!$A$3,"Variable",I$2,"Escenario",I$1,"Branch","Demand Sites and Catchments\"&amp;$D374),0)</f>
        <v>0</v>
      </c>
      <c r="J374" s="99">
        <f>IFERROR(GETPIVOTDATA("Value",TD_WEAP_RAW!$A$3,"Variable",J$2,"Escenario",J$1,"Branch","Demand Sites and Catchments\"&amp;$D374),0)</f>
        <v>0</v>
      </c>
      <c r="K374" s="99">
        <f>IFERROR(GETPIVOTDATA("Value",TD_WEAP_RAW!$A$3,"Variable",K$2,"Escenario",K$1,"Branch","Demand Sites and Catchments\"&amp;$D374),0)</f>
        <v>0</v>
      </c>
      <c r="L374" s="99">
        <f>IFERROR(GETPIVOTDATA("Value",TD_WEAP_RAW!$A$3,"Variable",L$2,"Escenario",L$1,"Branch","Demand Sites and Catchments\"&amp;$D374),0)</f>
        <v>0</v>
      </c>
    </row>
    <row r="375" spans="4:12">
      <c r="D375" s="53"/>
      <c r="G375" s="51"/>
      <c r="H375" s="99">
        <f>IFERROR(GETPIVOTDATA("Value",TD_WEAP_RAW!$A$3,"Variable",H$2,"Escenario",H$1,"Branch","Demand Sites and Catchments\"&amp;$D375),0)</f>
        <v>0</v>
      </c>
      <c r="I375" s="99">
        <f>IFERROR(GETPIVOTDATA("Value",TD_WEAP_RAW!$A$3,"Variable",I$2,"Escenario",I$1,"Branch","Demand Sites and Catchments\"&amp;$D375),0)</f>
        <v>0</v>
      </c>
      <c r="J375" s="99">
        <f>IFERROR(GETPIVOTDATA("Value",TD_WEAP_RAW!$A$3,"Variable",J$2,"Escenario",J$1,"Branch","Demand Sites and Catchments\"&amp;$D375),0)</f>
        <v>0</v>
      </c>
      <c r="K375" s="99">
        <f>IFERROR(GETPIVOTDATA("Value",TD_WEAP_RAW!$A$3,"Variable",K$2,"Escenario",K$1,"Branch","Demand Sites and Catchments\"&amp;$D375),0)</f>
        <v>0</v>
      </c>
      <c r="L375" s="99">
        <f>IFERROR(GETPIVOTDATA("Value",TD_WEAP_RAW!$A$3,"Variable",L$2,"Escenario",L$1,"Branch","Demand Sites and Catchments\"&amp;$D375),0)</f>
        <v>0</v>
      </c>
    </row>
    <row r="376" spans="4:12">
      <c r="D376" s="53"/>
      <c r="G376" s="51"/>
      <c r="H376" s="99">
        <f>IFERROR(GETPIVOTDATA("Value",TD_WEAP_RAW!$A$3,"Variable",H$2,"Escenario",H$1,"Branch","Demand Sites and Catchments\"&amp;$D376),0)</f>
        <v>0</v>
      </c>
      <c r="I376" s="99">
        <f>IFERROR(GETPIVOTDATA("Value",TD_WEAP_RAW!$A$3,"Variable",I$2,"Escenario",I$1,"Branch","Demand Sites and Catchments\"&amp;$D376),0)</f>
        <v>0</v>
      </c>
      <c r="J376" s="99">
        <f>IFERROR(GETPIVOTDATA("Value",TD_WEAP_RAW!$A$3,"Variable",J$2,"Escenario",J$1,"Branch","Demand Sites and Catchments\"&amp;$D376),0)</f>
        <v>0</v>
      </c>
      <c r="K376" s="99">
        <f>IFERROR(GETPIVOTDATA("Value",TD_WEAP_RAW!$A$3,"Variable",K$2,"Escenario",K$1,"Branch","Demand Sites and Catchments\"&amp;$D376),0)</f>
        <v>0</v>
      </c>
      <c r="L376" s="99">
        <f>IFERROR(GETPIVOTDATA("Value",TD_WEAP_RAW!$A$3,"Variable",L$2,"Escenario",L$1,"Branch","Demand Sites and Catchments\"&amp;$D376),0)</f>
        <v>0</v>
      </c>
    </row>
    <row r="377" spans="4:12">
      <c r="D377" s="53"/>
      <c r="G377" s="51"/>
      <c r="H377" s="99">
        <f>IFERROR(GETPIVOTDATA("Value",TD_WEAP_RAW!$A$3,"Variable",H$2,"Escenario",H$1,"Branch","Demand Sites and Catchments\"&amp;$D377),0)</f>
        <v>0</v>
      </c>
      <c r="I377" s="99">
        <f>IFERROR(GETPIVOTDATA("Value",TD_WEAP_RAW!$A$3,"Variable",I$2,"Escenario",I$1,"Branch","Demand Sites and Catchments\"&amp;$D377),0)</f>
        <v>0</v>
      </c>
      <c r="J377" s="99">
        <f>IFERROR(GETPIVOTDATA("Value",TD_WEAP_RAW!$A$3,"Variable",J$2,"Escenario",J$1,"Branch","Demand Sites and Catchments\"&amp;$D377),0)</f>
        <v>0</v>
      </c>
      <c r="K377" s="99">
        <f>IFERROR(GETPIVOTDATA("Value",TD_WEAP_RAW!$A$3,"Variable",K$2,"Escenario",K$1,"Branch","Demand Sites and Catchments\"&amp;$D377),0)</f>
        <v>0</v>
      </c>
      <c r="L377" s="99">
        <f>IFERROR(GETPIVOTDATA("Value",TD_WEAP_RAW!$A$3,"Variable",L$2,"Escenario",L$1,"Branch","Demand Sites and Catchments\"&amp;$D377),0)</f>
        <v>0</v>
      </c>
    </row>
    <row r="378" spans="4:12">
      <c r="D378" s="53"/>
      <c r="G378" s="51"/>
      <c r="H378" s="99">
        <f>IFERROR(GETPIVOTDATA("Value",TD_WEAP_RAW!$A$3,"Variable",H$2,"Escenario",H$1,"Branch","Demand Sites and Catchments\"&amp;$D378),0)</f>
        <v>0</v>
      </c>
      <c r="I378" s="99">
        <f>IFERROR(GETPIVOTDATA("Value",TD_WEAP_RAW!$A$3,"Variable",I$2,"Escenario",I$1,"Branch","Demand Sites and Catchments\"&amp;$D378),0)</f>
        <v>0</v>
      </c>
      <c r="J378" s="99">
        <f>IFERROR(GETPIVOTDATA("Value",TD_WEAP_RAW!$A$3,"Variable",J$2,"Escenario",J$1,"Branch","Demand Sites and Catchments\"&amp;$D378),0)</f>
        <v>0</v>
      </c>
      <c r="K378" s="99">
        <f>IFERROR(GETPIVOTDATA("Value",TD_WEAP_RAW!$A$3,"Variable",K$2,"Escenario",K$1,"Branch","Demand Sites and Catchments\"&amp;$D378),0)</f>
        <v>0</v>
      </c>
      <c r="L378" s="99">
        <f>IFERROR(GETPIVOTDATA("Value",TD_WEAP_RAW!$A$3,"Variable",L$2,"Escenario",L$1,"Branch","Demand Sites and Catchments\"&amp;$D378),0)</f>
        <v>0</v>
      </c>
    </row>
    <row r="379" spans="4:12">
      <c r="D379" s="53"/>
      <c r="G379" s="51"/>
      <c r="H379" s="99">
        <f>IFERROR(GETPIVOTDATA("Value",TD_WEAP_RAW!$A$3,"Variable",H$2,"Escenario",H$1,"Branch","Demand Sites and Catchments\"&amp;$D379),0)</f>
        <v>0</v>
      </c>
      <c r="I379" s="99">
        <f>IFERROR(GETPIVOTDATA("Value",TD_WEAP_RAW!$A$3,"Variable",I$2,"Escenario",I$1,"Branch","Demand Sites and Catchments\"&amp;$D379),0)</f>
        <v>0</v>
      </c>
      <c r="J379" s="99">
        <f>IFERROR(GETPIVOTDATA("Value",TD_WEAP_RAW!$A$3,"Variable",J$2,"Escenario",J$1,"Branch","Demand Sites and Catchments\"&amp;$D379),0)</f>
        <v>0</v>
      </c>
      <c r="K379" s="99">
        <f>IFERROR(GETPIVOTDATA("Value",TD_WEAP_RAW!$A$3,"Variable",K$2,"Escenario",K$1,"Branch","Demand Sites and Catchments\"&amp;$D379),0)</f>
        <v>0</v>
      </c>
      <c r="L379" s="99">
        <f>IFERROR(GETPIVOTDATA("Value",TD_WEAP_RAW!$A$3,"Variable",L$2,"Escenario",L$1,"Branch","Demand Sites and Catchments\"&amp;$D379),0)</f>
        <v>0</v>
      </c>
    </row>
    <row r="380" spans="4:12">
      <c r="D380" s="53"/>
      <c r="G380" s="51"/>
      <c r="H380" s="99">
        <f>IFERROR(GETPIVOTDATA("Value",TD_WEAP_RAW!$A$3,"Variable",H$2,"Escenario",H$1,"Branch","Demand Sites and Catchments\"&amp;$D380),0)</f>
        <v>0</v>
      </c>
      <c r="I380" s="99">
        <f>IFERROR(GETPIVOTDATA("Value",TD_WEAP_RAW!$A$3,"Variable",I$2,"Escenario",I$1,"Branch","Demand Sites and Catchments\"&amp;$D380),0)</f>
        <v>0</v>
      </c>
      <c r="J380" s="99">
        <f>IFERROR(GETPIVOTDATA("Value",TD_WEAP_RAW!$A$3,"Variable",J$2,"Escenario",J$1,"Branch","Demand Sites and Catchments\"&amp;$D380),0)</f>
        <v>0</v>
      </c>
      <c r="K380" s="99">
        <f>IFERROR(GETPIVOTDATA("Value",TD_WEAP_RAW!$A$3,"Variable",K$2,"Escenario",K$1,"Branch","Demand Sites and Catchments\"&amp;$D380),0)</f>
        <v>0</v>
      </c>
      <c r="L380" s="99">
        <f>IFERROR(GETPIVOTDATA("Value",TD_WEAP_RAW!$A$3,"Variable",L$2,"Escenario",L$1,"Branch","Demand Sites and Catchments\"&amp;$D380),0)</f>
        <v>0</v>
      </c>
    </row>
    <row r="381" spans="4:12">
      <c r="D381" s="53"/>
      <c r="G381" s="51"/>
      <c r="H381" s="99">
        <f>IFERROR(GETPIVOTDATA("Value",TD_WEAP_RAW!$A$3,"Variable",H$2,"Escenario",H$1,"Branch","Demand Sites and Catchments\"&amp;$D381),0)</f>
        <v>0</v>
      </c>
      <c r="I381" s="99">
        <f>IFERROR(GETPIVOTDATA("Value",TD_WEAP_RAW!$A$3,"Variable",I$2,"Escenario",I$1,"Branch","Demand Sites and Catchments\"&amp;$D381),0)</f>
        <v>0</v>
      </c>
      <c r="J381" s="99">
        <f>IFERROR(GETPIVOTDATA("Value",TD_WEAP_RAW!$A$3,"Variable",J$2,"Escenario",J$1,"Branch","Demand Sites and Catchments\"&amp;$D381),0)</f>
        <v>0</v>
      </c>
      <c r="K381" s="99">
        <f>IFERROR(GETPIVOTDATA("Value",TD_WEAP_RAW!$A$3,"Variable",K$2,"Escenario",K$1,"Branch","Demand Sites and Catchments\"&amp;$D381),0)</f>
        <v>0</v>
      </c>
      <c r="L381" s="99">
        <f>IFERROR(GETPIVOTDATA("Value",TD_WEAP_RAW!$A$3,"Variable",L$2,"Escenario",L$1,"Branch","Demand Sites and Catchments\"&amp;$D381),0)</f>
        <v>0</v>
      </c>
    </row>
    <row r="382" spans="4:12">
      <c r="D382" s="53"/>
      <c r="G382" s="51"/>
      <c r="H382" s="99">
        <f>IFERROR(GETPIVOTDATA("Value",TD_WEAP_RAW!$A$3,"Variable",H$2,"Escenario",H$1,"Branch","Demand Sites and Catchments\"&amp;$D382),0)</f>
        <v>0</v>
      </c>
      <c r="I382" s="99">
        <f>IFERROR(GETPIVOTDATA("Value",TD_WEAP_RAW!$A$3,"Variable",I$2,"Escenario",I$1,"Branch","Demand Sites and Catchments\"&amp;$D382),0)</f>
        <v>0</v>
      </c>
      <c r="J382" s="99">
        <f>IFERROR(GETPIVOTDATA("Value",TD_WEAP_RAW!$A$3,"Variable",J$2,"Escenario",J$1,"Branch","Demand Sites and Catchments\"&amp;$D382),0)</f>
        <v>0</v>
      </c>
      <c r="K382" s="99">
        <f>IFERROR(GETPIVOTDATA("Value",TD_WEAP_RAW!$A$3,"Variable",K$2,"Escenario",K$1,"Branch","Demand Sites and Catchments\"&amp;$D382),0)</f>
        <v>0</v>
      </c>
      <c r="L382" s="99">
        <f>IFERROR(GETPIVOTDATA("Value",TD_WEAP_RAW!$A$3,"Variable",L$2,"Escenario",L$1,"Branch","Demand Sites and Catchments\"&amp;$D382),0)</f>
        <v>0</v>
      </c>
    </row>
    <row r="383" spans="4:12">
      <c r="D383" s="53"/>
      <c r="G383" s="51"/>
      <c r="H383" s="99">
        <f>IFERROR(GETPIVOTDATA("Value",TD_WEAP_RAW!$A$3,"Variable",H$2,"Escenario",H$1,"Branch","Demand Sites and Catchments\"&amp;$D383),0)</f>
        <v>0</v>
      </c>
      <c r="I383" s="99">
        <f>IFERROR(GETPIVOTDATA("Value",TD_WEAP_RAW!$A$3,"Variable",I$2,"Escenario",I$1,"Branch","Demand Sites and Catchments\"&amp;$D383),0)</f>
        <v>0</v>
      </c>
      <c r="J383" s="99">
        <f>IFERROR(GETPIVOTDATA("Value",TD_WEAP_RAW!$A$3,"Variable",J$2,"Escenario",J$1,"Branch","Demand Sites and Catchments\"&amp;$D383),0)</f>
        <v>0</v>
      </c>
      <c r="K383" s="99">
        <f>IFERROR(GETPIVOTDATA("Value",TD_WEAP_RAW!$A$3,"Variable",K$2,"Escenario",K$1,"Branch","Demand Sites and Catchments\"&amp;$D383),0)</f>
        <v>0</v>
      </c>
      <c r="L383" s="99">
        <f>IFERROR(GETPIVOTDATA("Value",TD_WEAP_RAW!$A$3,"Variable",L$2,"Escenario",L$1,"Branch","Demand Sites and Catchments\"&amp;$D383),0)</f>
        <v>0</v>
      </c>
    </row>
    <row r="384" spans="4:12">
      <c r="D384" s="53"/>
      <c r="G384" s="51"/>
      <c r="H384" s="99">
        <f>IFERROR(GETPIVOTDATA("Value",TD_WEAP_RAW!$A$3,"Variable",H$2,"Escenario",H$1,"Branch","Demand Sites and Catchments\"&amp;$D384),0)</f>
        <v>0</v>
      </c>
      <c r="I384" s="99">
        <f>IFERROR(GETPIVOTDATA("Value",TD_WEAP_RAW!$A$3,"Variable",I$2,"Escenario",I$1,"Branch","Demand Sites and Catchments\"&amp;$D384),0)</f>
        <v>0</v>
      </c>
      <c r="J384" s="99">
        <f>IFERROR(GETPIVOTDATA("Value",TD_WEAP_RAW!$A$3,"Variable",J$2,"Escenario",J$1,"Branch","Demand Sites and Catchments\"&amp;$D384),0)</f>
        <v>0</v>
      </c>
      <c r="K384" s="99">
        <f>IFERROR(GETPIVOTDATA("Value",TD_WEAP_RAW!$A$3,"Variable",K$2,"Escenario",K$1,"Branch","Demand Sites and Catchments\"&amp;$D384),0)</f>
        <v>0</v>
      </c>
      <c r="L384" s="99">
        <f>IFERROR(GETPIVOTDATA("Value",TD_WEAP_RAW!$A$3,"Variable",L$2,"Escenario",L$1,"Branch","Demand Sites and Catchments\"&amp;$D384),0)</f>
        <v>0</v>
      </c>
    </row>
    <row r="385" spans="4:12">
      <c r="D385" s="53"/>
      <c r="G385" s="51"/>
      <c r="H385" s="99">
        <f>IFERROR(GETPIVOTDATA("Value",TD_WEAP_RAW!$A$3,"Variable",H$2,"Escenario",H$1,"Branch","Demand Sites and Catchments\"&amp;$D385),0)</f>
        <v>0</v>
      </c>
      <c r="I385" s="99">
        <f>IFERROR(GETPIVOTDATA("Value",TD_WEAP_RAW!$A$3,"Variable",I$2,"Escenario",I$1,"Branch","Demand Sites and Catchments\"&amp;$D385),0)</f>
        <v>0</v>
      </c>
      <c r="J385" s="99">
        <f>IFERROR(GETPIVOTDATA("Value",TD_WEAP_RAW!$A$3,"Variable",J$2,"Escenario",J$1,"Branch","Demand Sites and Catchments\"&amp;$D385),0)</f>
        <v>0</v>
      </c>
      <c r="K385" s="99">
        <f>IFERROR(GETPIVOTDATA("Value",TD_WEAP_RAW!$A$3,"Variable",K$2,"Escenario",K$1,"Branch","Demand Sites and Catchments\"&amp;$D385),0)</f>
        <v>0</v>
      </c>
      <c r="L385" s="99">
        <f>IFERROR(GETPIVOTDATA("Value",TD_WEAP_RAW!$A$3,"Variable",L$2,"Escenario",L$1,"Branch","Demand Sites and Catchments\"&amp;$D385),0)</f>
        <v>0</v>
      </c>
    </row>
    <row r="386" spans="4:12">
      <c r="D386" s="53"/>
      <c r="G386" s="51"/>
      <c r="H386" s="99">
        <f>IFERROR(GETPIVOTDATA("Value",TD_WEAP_RAW!$A$3,"Variable",H$2,"Escenario",H$1,"Branch","Demand Sites and Catchments\"&amp;$D386),0)</f>
        <v>0</v>
      </c>
      <c r="I386" s="99">
        <f>IFERROR(GETPIVOTDATA("Value",TD_WEAP_RAW!$A$3,"Variable",I$2,"Escenario",I$1,"Branch","Demand Sites and Catchments\"&amp;$D386),0)</f>
        <v>0</v>
      </c>
      <c r="J386" s="99">
        <f>IFERROR(GETPIVOTDATA("Value",TD_WEAP_RAW!$A$3,"Variable",J$2,"Escenario",J$1,"Branch","Demand Sites and Catchments\"&amp;$D386),0)</f>
        <v>0</v>
      </c>
      <c r="K386" s="99">
        <f>IFERROR(GETPIVOTDATA("Value",TD_WEAP_RAW!$A$3,"Variable",K$2,"Escenario",K$1,"Branch","Demand Sites and Catchments\"&amp;$D386),0)</f>
        <v>0</v>
      </c>
      <c r="L386" s="99">
        <f>IFERROR(GETPIVOTDATA("Value",TD_WEAP_RAW!$A$3,"Variable",L$2,"Escenario",L$1,"Branch","Demand Sites and Catchments\"&amp;$D386),0)</f>
        <v>0</v>
      </c>
    </row>
    <row r="387" spans="4:12">
      <c r="D387" s="53"/>
      <c r="G387" s="51"/>
      <c r="H387" s="99">
        <f>IFERROR(GETPIVOTDATA("Value",TD_WEAP_RAW!$A$3,"Variable",H$2,"Escenario",H$1,"Branch","Demand Sites and Catchments\"&amp;$D387),0)</f>
        <v>0</v>
      </c>
      <c r="I387" s="99">
        <f>IFERROR(GETPIVOTDATA("Value",TD_WEAP_RAW!$A$3,"Variable",I$2,"Escenario",I$1,"Branch","Demand Sites and Catchments\"&amp;$D387),0)</f>
        <v>0</v>
      </c>
      <c r="J387" s="99">
        <f>IFERROR(GETPIVOTDATA("Value",TD_WEAP_RAW!$A$3,"Variable",J$2,"Escenario",J$1,"Branch","Demand Sites and Catchments\"&amp;$D387),0)</f>
        <v>0</v>
      </c>
      <c r="K387" s="99">
        <f>IFERROR(GETPIVOTDATA("Value",TD_WEAP_RAW!$A$3,"Variable",K$2,"Escenario",K$1,"Branch","Demand Sites and Catchments\"&amp;$D387),0)</f>
        <v>0</v>
      </c>
      <c r="L387" s="99">
        <f>IFERROR(GETPIVOTDATA("Value",TD_WEAP_RAW!$A$3,"Variable",L$2,"Escenario",L$1,"Branch","Demand Sites and Catchments\"&amp;$D387),0)</f>
        <v>0</v>
      </c>
    </row>
    <row r="388" spans="4:12">
      <c r="D388" s="53"/>
      <c r="G388" s="51"/>
      <c r="H388" s="99">
        <f>IFERROR(GETPIVOTDATA("Value",TD_WEAP_RAW!$A$3,"Variable",H$2,"Escenario",H$1,"Branch","Demand Sites and Catchments\"&amp;$D388),0)</f>
        <v>0</v>
      </c>
      <c r="I388" s="99">
        <f>IFERROR(GETPIVOTDATA("Value",TD_WEAP_RAW!$A$3,"Variable",I$2,"Escenario",I$1,"Branch","Demand Sites and Catchments\"&amp;$D388),0)</f>
        <v>0</v>
      </c>
      <c r="J388" s="99">
        <f>IFERROR(GETPIVOTDATA("Value",TD_WEAP_RAW!$A$3,"Variable",J$2,"Escenario",J$1,"Branch","Demand Sites and Catchments\"&amp;$D388),0)</f>
        <v>0</v>
      </c>
      <c r="K388" s="99">
        <f>IFERROR(GETPIVOTDATA("Value",TD_WEAP_RAW!$A$3,"Variable",K$2,"Escenario",K$1,"Branch","Demand Sites and Catchments\"&amp;$D388),0)</f>
        <v>0</v>
      </c>
      <c r="L388" s="99">
        <f>IFERROR(GETPIVOTDATA("Value",TD_WEAP_RAW!$A$3,"Variable",L$2,"Escenario",L$1,"Branch","Demand Sites and Catchments\"&amp;$D388),0)</f>
        <v>0</v>
      </c>
    </row>
    <row r="389" spans="4:12">
      <c r="D389" s="53"/>
      <c r="G389" s="51"/>
      <c r="H389" s="99">
        <f>IFERROR(GETPIVOTDATA("Value",TD_WEAP_RAW!$A$3,"Variable",H$2,"Escenario",H$1,"Branch","Demand Sites and Catchments\"&amp;$D389),0)</f>
        <v>0</v>
      </c>
      <c r="I389" s="99">
        <f>IFERROR(GETPIVOTDATA("Value",TD_WEAP_RAW!$A$3,"Variable",I$2,"Escenario",I$1,"Branch","Demand Sites and Catchments\"&amp;$D389),0)</f>
        <v>0</v>
      </c>
      <c r="J389" s="99">
        <f>IFERROR(GETPIVOTDATA("Value",TD_WEAP_RAW!$A$3,"Variable",J$2,"Escenario",J$1,"Branch","Demand Sites and Catchments\"&amp;$D389),0)</f>
        <v>0</v>
      </c>
      <c r="K389" s="99">
        <f>IFERROR(GETPIVOTDATA("Value",TD_WEAP_RAW!$A$3,"Variable",K$2,"Escenario",K$1,"Branch","Demand Sites and Catchments\"&amp;$D389),0)</f>
        <v>0</v>
      </c>
      <c r="L389" s="99">
        <f>IFERROR(GETPIVOTDATA("Value",TD_WEAP_RAW!$A$3,"Variable",L$2,"Escenario",L$1,"Branch","Demand Sites and Catchments\"&amp;$D389),0)</f>
        <v>0</v>
      </c>
    </row>
    <row r="390" spans="4:12">
      <c r="D390" s="53"/>
      <c r="G390" s="51"/>
      <c r="H390" s="99">
        <f>IFERROR(GETPIVOTDATA("Value",TD_WEAP_RAW!$A$3,"Variable",H$2,"Escenario",H$1,"Branch","Demand Sites and Catchments\"&amp;$D390),0)</f>
        <v>0</v>
      </c>
      <c r="I390" s="99">
        <f>IFERROR(GETPIVOTDATA("Value",TD_WEAP_RAW!$A$3,"Variable",I$2,"Escenario",I$1,"Branch","Demand Sites and Catchments\"&amp;$D390),0)</f>
        <v>0</v>
      </c>
      <c r="J390" s="99">
        <f>IFERROR(GETPIVOTDATA("Value",TD_WEAP_RAW!$A$3,"Variable",J$2,"Escenario",J$1,"Branch","Demand Sites and Catchments\"&amp;$D390),0)</f>
        <v>0</v>
      </c>
      <c r="K390" s="99">
        <f>IFERROR(GETPIVOTDATA("Value",TD_WEAP_RAW!$A$3,"Variable",K$2,"Escenario",K$1,"Branch","Demand Sites and Catchments\"&amp;$D390),0)</f>
        <v>0</v>
      </c>
      <c r="L390" s="99">
        <f>IFERROR(GETPIVOTDATA("Value",TD_WEAP_RAW!$A$3,"Variable",L$2,"Escenario",L$1,"Branch","Demand Sites and Catchments\"&amp;$D390),0)</f>
        <v>0</v>
      </c>
    </row>
    <row r="391" spans="4:12">
      <c r="D391" s="53"/>
      <c r="G391" s="51"/>
      <c r="H391" s="99">
        <f>IFERROR(GETPIVOTDATA("Value",TD_WEAP_RAW!$A$3,"Variable",H$2,"Escenario",H$1,"Branch","Demand Sites and Catchments\"&amp;$D391),0)</f>
        <v>0</v>
      </c>
      <c r="I391" s="99">
        <f>IFERROR(GETPIVOTDATA("Value",TD_WEAP_RAW!$A$3,"Variable",I$2,"Escenario",I$1,"Branch","Demand Sites and Catchments\"&amp;$D391),0)</f>
        <v>0</v>
      </c>
      <c r="J391" s="99">
        <f>IFERROR(GETPIVOTDATA("Value",TD_WEAP_RAW!$A$3,"Variable",J$2,"Escenario",J$1,"Branch","Demand Sites and Catchments\"&amp;$D391),0)</f>
        <v>0</v>
      </c>
      <c r="K391" s="99">
        <f>IFERROR(GETPIVOTDATA("Value",TD_WEAP_RAW!$A$3,"Variable",K$2,"Escenario",K$1,"Branch","Demand Sites and Catchments\"&amp;$D391),0)</f>
        <v>0</v>
      </c>
      <c r="L391" s="99">
        <f>IFERROR(GETPIVOTDATA("Value",TD_WEAP_RAW!$A$3,"Variable",L$2,"Escenario",L$1,"Branch","Demand Sites and Catchments\"&amp;$D391),0)</f>
        <v>0</v>
      </c>
    </row>
    <row r="392" spans="4:12">
      <c r="D392" s="53"/>
      <c r="G392" s="51"/>
      <c r="H392" s="99">
        <f>IFERROR(GETPIVOTDATA("Value",TD_WEAP_RAW!$A$3,"Variable",H$2,"Escenario",H$1,"Branch","Demand Sites and Catchments\"&amp;$D392),0)</f>
        <v>0</v>
      </c>
      <c r="I392" s="99">
        <f>IFERROR(GETPIVOTDATA("Value",TD_WEAP_RAW!$A$3,"Variable",I$2,"Escenario",I$1,"Branch","Demand Sites and Catchments\"&amp;$D392),0)</f>
        <v>0</v>
      </c>
      <c r="J392" s="99">
        <f>IFERROR(GETPIVOTDATA("Value",TD_WEAP_RAW!$A$3,"Variable",J$2,"Escenario",J$1,"Branch","Demand Sites and Catchments\"&amp;$D392),0)</f>
        <v>0</v>
      </c>
      <c r="K392" s="99">
        <f>IFERROR(GETPIVOTDATA("Value",TD_WEAP_RAW!$A$3,"Variable",K$2,"Escenario",K$1,"Branch","Demand Sites and Catchments\"&amp;$D392),0)</f>
        <v>0</v>
      </c>
      <c r="L392" s="99">
        <f>IFERROR(GETPIVOTDATA("Value",TD_WEAP_RAW!$A$3,"Variable",L$2,"Escenario",L$1,"Branch","Demand Sites and Catchments\"&amp;$D392),0)</f>
        <v>0</v>
      </c>
    </row>
    <row r="393" spans="4:12">
      <c r="D393" s="53"/>
      <c r="G393" s="51"/>
      <c r="H393" s="99">
        <f>IFERROR(GETPIVOTDATA("Value",TD_WEAP_RAW!$A$3,"Variable",H$2,"Escenario",H$1,"Branch","Demand Sites and Catchments\"&amp;$D393),0)</f>
        <v>0</v>
      </c>
      <c r="I393" s="99">
        <f>IFERROR(GETPIVOTDATA("Value",TD_WEAP_RAW!$A$3,"Variable",I$2,"Escenario",I$1,"Branch","Demand Sites and Catchments\"&amp;$D393),0)</f>
        <v>0</v>
      </c>
      <c r="J393" s="99">
        <f>IFERROR(GETPIVOTDATA("Value",TD_WEAP_RAW!$A$3,"Variable",J$2,"Escenario",J$1,"Branch","Demand Sites and Catchments\"&amp;$D393),0)</f>
        <v>0</v>
      </c>
      <c r="K393" s="99">
        <f>IFERROR(GETPIVOTDATA("Value",TD_WEAP_RAW!$A$3,"Variable",K$2,"Escenario",K$1,"Branch","Demand Sites and Catchments\"&amp;$D393),0)</f>
        <v>0</v>
      </c>
      <c r="L393" s="99">
        <f>IFERROR(GETPIVOTDATA("Value",TD_WEAP_RAW!$A$3,"Variable",L$2,"Escenario",L$1,"Branch","Demand Sites and Catchments\"&amp;$D393),0)</f>
        <v>0</v>
      </c>
    </row>
    <row r="394" spans="4:12">
      <c r="D394" s="53"/>
      <c r="G394" s="51"/>
      <c r="H394" s="99">
        <f>IFERROR(GETPIVOTDATA("Value",TD_WEAP_RAW!$A$3,"Variable",H$2,"Escenario",H$1,"Branch","Demand Sites and Catchments\"&amp;$D394),0)</f>
        <v>0</v>
      </c>
      <c r="I394" s="99">
        <f>IFERROR(GETPIVOTDATA("Value",TD_WEAP_RAW!$A$3,"Variable",I$2,"Escenario",I$1,"Branch","Demand Sites and Catchments\"&amp;$D394),0)</f>
        <v>0</v>
      </c>
      <c r="J394" s="99">
        <f>IFERROR(GETPIVOTDATA("Value",TD_WEAP_RAW!$A$3,"Variable",J$2,"Escenario",J$1,"Branch","Demand Sites and Catchments\"&amp;$D394),0)</f>
        <v>0</v>
      </c>
      <c r="K394" s="99">
        <f>IFERROR(GETPIVOTDATA("Value",TD_WEAP_RAW!$A$3,"Variable",K$2,"Escenario",K$1,"Branch","Demand Sites and Catchments\"&amp;$D394),0)</f>
        <v>0</v>
      </c>
      <c r="L394" s="99">
        <f>IFERROR(GETPIVOTDATA("Value",TD_WEAP_RAW!$A$3,"Variable",L$2,"Escenario",L$1,"Branch","Demand Sites and Catchments\"&amp;$D394),0)</f>
        <v>0</v>
      </c>
    </row>
    <row r="395" spans="4:12">
      <c r="D395" s="53"/>
      <c r="G395" s="51"/>
      <c r="H395" s="99">
        <f>IFERROR(GETPIVOTDATA("Value",TD_WEAP_RAW!$A$3,"Variable",H$2,"Escenario",H$1,"Branch","Demand Sites and Catchments\"&amp;$D395),0)</f>
        <v>0</v>
      </c>
      <c r="I395" s="99">
        <f>IFERROR(GETPIVOTDATA("Value",TD_WEAP_RAW!$A$3,"Variable",I$2,"Escenario",I$1,"Branch","Demand Sites and Catchments\"&amp;$D395),0)</f>
        <v>0</v>
      </c>
      <c r="J395" s="99">
        <f>IFERROR(GETPIVOTDATA("Value",TD_WEAP_RAW!$A$3,"Variable",J$2,"Escenario",J$1,"Branch","Demand Sites and Catchments\"&amp;$D395),0)</f>
        <v>0</v>
      </c>
      <c r="K395" s="99">
        <f>IFERROR(GETPIVOTDATA("Value",TD_WEAP_RAW!$A$3,"Variable",K$2,"Escenario",K$1,"Branch","Demand Sites and Catchments\"&amp;$D395),0)</f>
        <v>0</v>
      </c>
      <c r="L395" s="99">
        <f>IFERROR(GETPIVOTDATA("Value",TD_WEAP_RAW!$A$3,"Variable",L$2,"Escenario",L$1,"Branch","Demand Sites and Catchments\"&amp;$D395),0)</f>
        <v>0</v>
      </c>
    </row>
    <row r="396" spans="4:12">
      <c r="D396" s="53"/>
      <c r="G396" s="51"/>
      <c r="H396" s="99">
        <f>IFERROR(GETPIVOTDATA("Value",TD_WEAP_RAW!$A$3,"Variable",H$2,"Escenario",H$1,"Branch","Demand Sites and Catchments\"&amp;$D396),0)</f>
        <v>0</v>
      </c>
      <c r="I396" s="99">
        <f>IFERROR(GETPIVOTDATA("Value",TD_WEAP_RAW!$A$3,"Variable",I$2,"Escenario",I$1,"Branch","Demand Sites and Catchments\"&amp;$D396),0)</f>
        <v>0</v>
      </c>
      <c r="J396" s="99">
        <f>IFERROR(GETPIVOTDATA("Value",TD_WEAP_RAW!$A$3,"Variable",J$2,"Escenario",J$1,"Branch","Demand Sites and Catchments\"&amp;$D396),0)</f>
        <v>0</v>
      </c>
      <c r="K396" s="99">
        <f>IFERROR(GETPIVOTDATA("Value",TD_WEAP_RAW!$A$3,"Variable",K$2,"Escenario",K$1,"Branch","Demand Sites and Catchments\"&amp;$D396),0)</f>
        <v>0</v>
      </c>
      <c r="L396" s="99">
        <f>IFERROR(GETPIVOTDATA("Value",TD_WEAP_RAW!$A$3,"Variable",L$2,"Escenario",L$1,"Branch","Demand Sites and Catchments\"&amp;$D396),0)</f>
        <v>0</v>
      </c>
    </row>
    <row r="397" spans="4:12">
      <c r="D397" s="53"/>
      <c r="G397" s="51"/>
      <c r="H397" s="99">
        <f>IFERROR(GETPIVOTDATA("Value",TD_WEAP_RAW!$A$3,"Variable",H$2,"Escenario",H$1,"Branch","Demand Sites and Catchments\"&amp;$D397),0)</f>
        <v>0</v>
      </c>
      <c r="I397" s="99">
        <f>IFERROR(GETPIVOTDATA("Value",TD_WEAP_RAW!$A$3,"Variable",I$2,"Escenario",I$1,"Branch","Demand Sites and Catchments\"&amp;$D397),0)</f>
        <v>0</v>
      </c>
      <c r="J397" s="99">
        <f>IFERROR(GETPIVOTDATA("Value",TD_WEAP_RAW!$A$3,"Variable",J$2,"Escenario",J$1,"Branch","Demand Sites and Catchments\"&amp;$D397),0)</f>
        <v>0</v>
      </c>
      <c r="K397" s="99">
        <f>IFERROR(GETPIVOTDATA("Value",TD_WEAP_RAW!$A$3,"Variable",K$2,"Escenario",K$1,"Branch","Demand Sites and Catchments\"&amp;$D397),0)</f>
        <v>0</v>
      </c>
      <c r="L397" s="99">
        <f>IFERROR(GETPIVOTDATA("Value",TD_WEAP_RAW!$A$3,"Variable",L$2,"Escenario",L$1,"Branch","Demand Sites and Catchments\"&amp;$D397),0)</f>
        <v>0</v>
      </c>
    </row>
    <row r="398" spans="4:12">
      <c r="D398" s="53"/>
      <c r="G398" s="51"/>
      <c r="H398" s="99">
        <f>IFERROR(GETPIVOTDATA("Value",TD_WEAP_RAW!$A$3,"Variable",H$2,"Escenario",H$1,"Branch","Demand Sites and Catchments\"&amp;$D398),0)</f>
        <v>0</v>
      </c>
      <c r="I398" s="99">
        <f>IFERROR(GETPIVOTDATA("Value",TD_WEAP_RAW!$A$3,"Variable",I$2,"Escenario",I$1,"Branch","Demand Sites and Catchments\"&amp;$D398),0)</f>
        <v>0</v>
      </c>
      <c r="J398" s="99">
        <f>IFERROR(GETPIVOTDATA("Value",TD_WEAP_RAW!$A$3,"Variable",J$2,"Escenario",J$1,"Branch","Demand Sites and Catchments\"&amp;$D398),0)</f>
        <v>0</v>
      </c>
      <c r="K398" s="99">
        <f>IFERROR(GETPIVOTDATA("Value",TD_WEAP_RAW!$A$3,"Variable",K$2,"Escenario",K$1,"Branch","Demand Sites and Catchments\"&amp;$D398),0)</f>
        <v>0</v>
      </c>
      <c r="L398" s="99">
        <f>IFERROR(GETPIVOTDATA("Value",TD_WEAP_RAW!$A$3,"Variable",L$2,"Escenario",L$1,"Branch","Demand Sites and Catchments\"&amp;$D398),0)</f>
        <v>0</v>
      </c>
    </row>
    <row r="399" spans="4:12">
      <c r="D399" s="53"/>
      <c r="G399" s="51"/>
      <c r="H399" s="99">
        <f>IFERROR(GETPIVOTDATA("Value",TD_WEAP_RAW!$A$3,"Variable",H$2,"Escenario",H$1,"Branch","Demand Sites and Catchments\"&amp;$D399),0)</f>
        <v>0</v>
      </c>
      <c r="I399" s="99">
        <f>IFERROR(GETPIVOTDATA("Value",TD_WEAP_RAW!$A$3,"Variable",I$2,"Escenario",I$1,"Branch","Demand Sites and Catchments\"&amp;$D399),0)</f>
        <v>0</v>
      </c>
      <c r="J399" s="99">
        <f>IFERROR(GETPIVOTDATA("Value",TD_WEAP_RAW!$A$3,"Variable",J$2,"Escenario",J$1,"Branch","Demand Sites and Catchments\"&amp;$D399),0)</f>
        <v>0</v>
      </c>
      <c r="K399" s="99">
        <f>IFERROR(GETPIVOTDATA("Value",TD_WEAP_RAW!$A$3,"Variable",K$2,"Escenario",K$1,"Branch","Demand Sites and Catchments\"&amp;$D399),0)</f>
        <v>0</v>
      </c>
      <c r="L399" s="99">
        <f>IFERROR(GETPIVOTDATA("Value",TD_WEAP_RAW!$A$3,"Variable",L$2,"Escenario",L$1,"Branch","Demand Sites and Catchments\"&amp;$D399),0)</f>
        <v>0</v>
      </c>
    </row>
    <row r="400" spans="4:12">
      <c r="D400" s="53"/>
      <c r="G400" s="51"/>
      <c r="H400" s="99">
        <f>IFERROR(GETPIVOTDATA("Value",TD_WEAP_RAW!$A$3,"Variable",H$2,"Escenario",H$1,"Branch","Demand Sites and Catchments\"&amp;$D400),0)</f>
        <v>0</v>
      </c>
      <c r="I400" s="99">
        <f>IFERROR(GETPIVOTDATA("Value",TD_WEAP_RAW!$A$3,"Variable",I$2,"Escenario",I$1,"Branch","Demand Sites and Catchments\"&amp;$D400),0)</f>
        <v>0</v>
      </c>
      <c r="J400" s="99">
        <f>IFERROR(GETPIVOTDATA("Value",TD_WEAP_RAW!$A$3,"Variable",J$2,"Escenario",J$1,"Branch","Demand Sites and Catchments\"&amp;$D400),0)</f>
        <v>0</v>
      </c>
      <c r="K400" s="99">
        <f>IFERROR(GETPIVOTDATA("Value",TD_WEAP_RAW!$A$3,"Variable",K$2,"Escenario",K$1,"Branch","Demand Sites and Catchments\"&amp;$D400),0)</f>
        <v>0</v>
      </c>
      <c r="L400" s="99">
        <f>IFERROR(GETPIVOTDATA("Value",TD_WEAP_RAW!$A$3,"Variable",L$2,"Escenario",L$1,"Branch","Demand Sites and Catchments\"&amp;$D400),0)</f>
        <v>0</v>
      </c>
    </row>
    <row r="401" spans="4:12">
      <c r="D401" s="53"/>
      <c r="G401" s="51"/>
      <c r="H401" s="99">
        <f>IFERROR(GETPIVOTDATA("Value",TD_WEAP_RAW!$A$3,"Variable",H$2,"Escenario",H$1,"Branch","Demand Sites and Catchments\"&amp;$D401),0)</f>
        <v>0</v>
      </c>
      <c r="I401" s="99">
        <f>IFERROR(GETPIVOTDATA("Value",TD_WEAP_RAW!$A$3,"Variable",I$2,"Escenario",I$1,"Branch","Demand Sites and Catchments\"&amp;$D401),0)</f>
        <v>0</v>
      </c>
      <c r="J401" s="99">
        <f>IFERROR(GETPIVOTDATA("Value",TD_WEAP_RAW!$A$3,"Variable",J$2,"Escenario",J$1,"Branch","Demand Sites and Catchments\"&amp;$D401),0)</f>
        <v>0</v>
      </c>
      <c r="K401" s="99">
        <f>IFERROR(GETPIVOTDATA("Value",TD_WEAP_RAW!$A$3,"Variable",K$2,"Escenario",K$1,"Branch","Demand Sites and Catchments\"&amp;$D401),0)</f>
        <v>0</v>
      </c>
      <c r="L401" s="99">
        <f>IFERROR(GETPIVOTDATA("Value",TD_WEAP_RAW!$A$3,"Variable",L$2,"Escenario",L$1,"Branch","Demand Sites and Catchments\"&amp;$D401),0)</f>
        <v>0</v>
      </c>
    </row>
    <row r="402" spans="4:12">
      <c r="D402" s="53"/>
      <c r="G402" s="51"/>
      <c r="H402" s="99">
        <f>IFERROR(GETPIVOTDATA("Value",TD_WEAP_RAW!$A$3,"Variable",H$2,"Escenario",H$1,"Branch","Demand Sites and Catchments\"&amp;$D402),0)</f>
        <v>0</v>
      </c>
      <c r="I402" s="99">
        <f>IFERROR(GETPIVOTDATA("Value",TD_WEAP_RAW!$A$3,"Variable",I$2,"Escenario",I$1,"Branch","Demand Sites and Catchments\"&amp;$D402),0)</f>
        <v>0</v>
      </c>
      <c r="J402" s="99">
        <f>IFERROR(GETPIVOTDATA("Value",TD_WEAP_RAW!$A$3,"Variable",J$2,"Escenario",J$1,"Branch","Demand Sites and Catchments\"&amp;$D402),0)</f>
        <v>0</v>
      </c>
      <c r="K402" s="99">
        <f>IFERROR(GETPIVOTDATA("Value",TD_WEAP_RAW!$A$3,"Variable",K$2,"Escenario",K$1,"Branch","Demand Sites and Catchments\"&amp;$D402),0)</f>
        <v>0</v>
      </c>
      <c r="L402" s="99">
        <f>IFERROR(GETPIVOTDATA("Value",TD_WEAP_RAW!$A$3,"Variable",L$2,"Escenario",L$1,"Branch","Demand Sites and Catchments\"&amp;$D402),0)</f>
        <v>0</v>
      </c>
    </row>
    <row r="403" spans="4:12">
      <c r="D403" s="53"/>
      <c r="G403" s="51"/>
      <c r="H403" s="99">
        <f>IFERROR(GETPIVOTDATA("Value",TD_WEAP_RAW!$A$3,"Variable",H$2,"Escenario",H$1,"Branch","Demand Sites and Catchments\"&amp;$D403),0)</f>
        <v>0</v>
      </c>
      <c r="I403" s="99">
        <f>IFERROR(GETPIVOTDATA("Value",TD_WEAP_RAW!$A$3,"Variable",I$2,"Escenario",I$1,"Branch","Demand Sites and Catchments\"&amp;$D403),0)</f>
        <v>0</v>
      </c>
      <c r="J403" s="99">
        <f>IFERROR(GETPIVOTDATA("Value",TD_WEAP_RAW!$A$3,"Variable",J$2,"Escenario",J$1,"Branch","Demand Sites and Catchments\"&amp;$D403),0)</f>
        <v>0</v>
      </c>
      <c r="K403" s="99">
        <f>IFERROR(GETPIVOTDATA("Value",TD_WEAP_RAW!$A$3,"Variable",K$2,"Escenario",K$1,"Branch","Demand Sites and Catchments\"&amp;$D403),0)</f>
        <v>0</v>
      </c>
      <c r="L403" s="99">
        <f>IFERROR(GETPIVOTDATA("Value",TD_WEAP_RAW!$A$3,"Variable",L$2,"Escenario",L$1,"Branch","Demand Sites and Catchments\"&amp;$D403),0)</f>
        <v>0</v>
      </c>
    </row>
    <row r="404" spans="4:12">
      <c r="D404" s="53"/>
      <c r="G404" s="51"/>
      <c r="H404" s="99">
        <f>IFERROR(GETPIVOTDATA("Value",TD_WEAP_RAW!$A$3,"Variable",H$2,"Escenario",H$1,"Branch","Demand Sites and Catchments\"&amp;$D404),0)</f>
        <v>0</v>
      </c>
      <c r="I404" s="99">
        <f>IFERROR(GETPIVOTDATA("Value",TD_WEAP_RAW!$A$3,"Variable",I$2,"Escenario",I$1,"Branch","Demand Sites and Catchments\"&amp;$D404),0)</f>
        <v>0</v>
      </c>
      <c r="J404" s="99">
        <f>IFERROR(GETPIVOTDATA("Value",TD_WEAP_RAW!$A$3,"Variable",J$2,"Escenario",J$1,"Branch","Demand Sites and Catchments\"&amp;$D404),0)</f>
        <v>0</v>
      </c>
      <c r="K404" s="99">
        <f>IFERROR(GETPIVOTDATA("Value",TD_WEAP_RAW!$A$3,"Variable",K$2,"Escenario",K$1,"Branch","Demand Sites and Catchments\"&amp;$D404),0)</f>
        <v>0</v>
      </c>
      <c r="L404" s="99">
        <f>IFERROR(GETPIVOTDATA("Value",TD_WEAP_RAW!$A$3,"Variable",L$2,"Escenario",L$1,"Branch","Demand Sites and Catchments\"&amp;$D404),0)</f>
        <v>0</v>
      </c>
    </row>
    <row r="405" spans="4:12">
      <c r="D405" s="53"/>
      <c r="G405" s="51"/>
      <c r="H405" s="99">
        <f>IFERROR(GETPIVOTDATA("Value",TD_WEAP_RAW!$A$3,"Variable",H$2,"Escenario",H$1,"Branch","Demand Sites and Catchments\"&amp;$D405),0)</f>
        <v>0</v>
      </c>
      <c r="I405" s="99">
        <f>IFERROR(GETPIVOTDATA("Value",TD_WEAP_RAW!$A$3,"Variable",I$2,"Escenario",I$1,"Branch","Demand Sites and Catchments\"&amp;$D405),0)</f>
        <v>0</v>
      </c>
      <c r="J405" s="99">
        <f>IFERROR(GETPIVOTDATA("Value",TD_WEAP_RAW!$A$3,"Variable",J$2,"Escenario",J$1,"Branch","Demand Sites and Catchments\"&amp;$D405),0)</f>
        <v>0</v>
      </c>
      <c r="K405" s="99">
        <f>IFERROR(GETPIVOTDATA("Value",TD_WEAP_RAW!$A$3,"Variable",K$2,"Escenario",K$1,"Branch","Demand Sites and Catchments\"&amp;$D405),0)</f>
        <v>0</v>
      </c>
      <c r="L405" s="99">
        <f>IFERROR(GETPIVOTDATA("Value",TD_WEAP_RAW!$A$3,"Variable",L$2,"Escenario",L$1,"Branch","Demand Sites and Catchments\"&amp;$D405),0)</f>
        <v>0</v>
      </c>
    </row>
    <row r="406" spans="4:12">
      <c r="D406" s="53"/>
      <c r="G406" s="51"/>
      <c r="H406" s="99">
        <f>IFERROR(GETPIVOTDATA("Value",TD_WEAP_RAW!$A$3,"Variable",H$2,"Escenario",H$1,"Branch","Demand Sites and Catchments\"&amp;$D406),0)</f>
        <v>0</v>
      </c>
      <c r="I406" s="99">
        <f>IFERROR(GETPIVOTDATA("Value",TD_WEAP_RAW!$A$3,"Variable",I$2,"Escenario",I$1,"Branch","Demand Sites and Catchments\"&amp;$D406),0)</f>
        <v>0</v>
      </c>
      <c r="J406" s="99">
        <f>IFERROR(GETPIVOTDATA("Value",TD_WEAP_RAW!$A$3,"Variable",J$2,"Escenario",J$1,"Branch","Demand Sites and Catchments\"&amp;$D406),0)</f>
        <v>0</v>
      </c>
      <c r="K406" s="99">
        <f>IFERROR(GETPIVOTDATA("Value",TD_WEAP_RAW!$A$3,"Variable",K$2,"Escenario",K$1,"Branch","Demand Sites and Catchments\"&amp;$D406),0)</f>
        <v>0</v>
      </c>
      <c r="L406" s="99">
        <f>IFERROR(GETPIVOTDATA("Value",TD_WEAP_RAW!$A$3,"Variable",L$2,"Escenario",L$1,"Branch","Demand Sites and Catchments\"&amp;$D406),0)</f>
        <v>0</v>
      </c>
    </row>
    <row r="407" spans="4:12">
      <c r="D407" s="53"/>
      <c r="G407" s="51"/>
      <c r="H407" s="99">
        <f>IFERROR(GETPIVOTDATA("Value",TD_WEAP_RAW!$A$3,"Variable",H$2,"Escenario",H$1,"Branch","Demand Sites and Catchments\"&amp;$D407),0)</f>
        <v>0</v>
      </c>
      <c r="I407" s="99">
        <f>IFERROR(GETPIVOTDATA("Value",TD_WEAP_RAW!$A$3,"Variable",I$2,"Escenario",I$1,"Branch","Demand Sites and Catchments\"&amp;$D407),0)</f>
        <v>0</v>
      </c>
      <c r="J407" s="99">
        <f>IFERROR(GETPIVOTDATA("Value",TD_WEAP_RAW!$A$3,"Variable",J$2,"Escenario",J$1,"Branch","Demand Sites and Catchments\"&amp;$D407),0)</f>
        <v>0</v>
      </c>
      <c r="K407" s="99">
        <f>IFERROR(GETPIVOTDATA("Value",TD_WEAP_RAW!$A$3,"Variable",K$2,"Escenario",K$1,"Branch","Demand Sites and Catchments\"&amp;$D407),0)</f>
        <v>0</v>
      </c>
      <c r="L407" s="99">
        <f>IFERROR(GETPIVOTDATA("Value",TD_WEAP_RAW!$A$3,"Variable",L$2,"Escenario",L$1,"Branch","Demand Sites and Catchments\"&amp;$D407),0)</f>
        <v>0</v>
      </c>
    </row>
    <row r="408" spans="4:12">
      <c r="D408" s="53"/>
      <c r="G408" s="51"/>
      <c r="H408" s="99">
        <f>IFERROR(GETPIVOTDATA("Value",TD_WEAP_RAW!$A$3,"Variable",H$2,"Escenario",H$1,"Branch","Demand Sites and Catchments\"&amp;$D408),0)</f>
        <v>0</v>
      </c>
      <c r="I408" s="99">
        <f>IFERROR(GETPIVOTDATA("Value",TD_WEAP_RAW!$A$3,"Variable",I$2,"Escenario",I$1,"Branch","Demand Sites and Catchments\"&amp;$D408),0)</f>
        <v>0</v>
      </c>
      <c r="J408" s="99">
        <f>IFERROR(GETPIVOTDATA("Value",TD_WEAP_RAW!$A$3,"Variable",J$2,"Escenario",J$1,"Branch","Demand Sites and Catchments\"&amp;$D408),0)</f>
        <v>0</v>
      </c>
      <c r="K408" s="99">
        <f>IFERROR(GETPIVOTDATA("Value",TD_WEAP_RAW!$A$3,"Variable",K$2,"Escenario",K$1,"Branch","Demand Sites and Catchments\"&amp;$D408),0)</f>
        <v>0</v>
      </c>
      <c r="L408" s="99">
        <f>IFERROR(GETPIVOTDATA("Value",TD_WEAP_RAW!$A$3,"Variable",L$2,"Escenario",L$1,"Branch","Demand Sites and Catchments\"&amp;$D408),0)</f>
        <v>0</v>
      </c>
    </row>
    <row r="409" spans="4:12">
      <c r="D409" s="53"/>
      <c r="G409" s="51"/>
      <c r="H409" s="99">
        <f>IFERROR(GETPIVOTDATA("Value",TD_WEAP_RAW!$A$3,"Variable",H$2,"Escenario",H$1,"Branch","Demand Sites and Catchments\"&amp;$D409),0)</f>
        <v>0</v>
      </c>
      <c r="I409" s="99">
        <f>IFERROR(GETPIVOTDATA("Value",TD_WEAP_RAW!$A$3,"Variable",I$2,"Escenario",I$1,"Branch","Demand Sites and Catchments\"&amp;$D409),0)</f>
        <v>0</v>
      </c>
      <c r="J409" s="99">
        <f>IFERROR(GETPIVOTDATA("Value",TD_WEAP_RAW!$A$3,"Variable",J$2,"Escenario",J$1,"Branch","Demand Sites and Catchments\"&amp;$D409),0)</f>
        <v>0</v>
      </c>
      <c r="K409" s="99">
        <f>IFERROR(GETPIVOTDATA("Value",TD_WEAP_RAW!$A$3,"Variable",K$2,"Escenario",K$1,"Branch","Demand Sites and Catchments\"&amp;$D409),0)</f>
        <v>0</v>
      </c>
      <c r="L409" s="99">
        <f>IFERROR(GETPIVOTDATA("Value",TD_WEAP_RAW!$A$3,"Variable",L$2,"Escenario",L$1,"Branch","Demand Sites and Catchments\"&amp;$D409),0)</f>
        <v>0</v>
      </c>
    </row>
    <row r="410" spans="4:12">
      <c r="D410" s="53"/>
      <c r="G410" s="51"/>
      <c r="H410" s="99">
        <f>IFERROR(GETPIVOTDATA("Value",TD_WEAP_RAW!$A$3,"Variable",H$2,"Escenario",H$1,"Branch","Demand Sites and Catchments\"&amp;$D410),0)</f>
        <v>0</v>
      </c>
      <c r="I410" s="99">
        <f>IFERROR(GETPIVOTDATA("Value",TD_WEAP_RAW!$A$3,"Variable",I$2,"Escenario",I$1,"Branch","Demand Sites and Catchments\"&amp;$D410),0)</f>
        <v>0</v>
      </c>
      <c r="J410" s="99">
        <f>IFERROR(GETPIVOTDATA("Value",TD_WEAP_RAW!$A$3,"Variable",J$2,"Escenario",J$1,"Branch","Demand Sites and Catchments\"&amp;$D410),0)</f>
        <v>0</v>
      </c>
      <c r="K410" s="99">
        <f>IFERROR(GETPIVOTDATA("Value",TD_WEAP_RAW!$A$3,"Variable",K$2,"Escenario",K$1,"Branch","Demand Sites and Catchments\"&amp;$D410),0)</f>
        <v>0</v>
      </c>
      <c r="L410" s="99">
        <f>IFERROR(GETPIVOTDATA("Value",TD_WEAP_RAW!$A$3,"Variable",L$2,"Escenario",L$1,"Branch","Demand Sites and Catchments\"&amp;$D410),0)</f>
        <v>0</v>
      </c>
    </row>
    <row r="411" spans="4:12">
      <c r="D411" s="53"/>
      <c r="G411" s="51"/>
      <c r="H411" s="99">
        <f>IFERROR(GETPIVOTDATA("Value",TD_WEAP_RAW!$A$3,"Variable",H$2,"Escenario",H$1,"Branch","Demand Sites and Catchments\"&amp;$D411),0)</f>
        <v>0</v>
      </c>
      <c r="I411" s="99">
        <f>IFERROR(GETPIVOTDATA("Value",TD_WEAP_RAW!$A$3,"Variable",I$2,"Escenario",I$1,"Branch","Demand Sites and Catchments\"&amp;$D411),0)</f>
        <v>0</v>
      </c>
      <c r="J411" s="99">
        <f>IFERROR(GETPIVOTDATA("Value",TD_WEAP_RAW!$A$3,"Variable",J$2,"Escenario",J$1,"Branch","Demand Sites and Catchments\"&amp;$D411),0)</f>
        <v>0</v>
      </c>
      <c r="K411" s="99">
        <f>IFERROR(GETPIVOTDATA("Value",TD_WEAP_RAW!$A$3,"Variable",K$2,"Escenario",K$1,"Branch","Demand Sites and Catchments\"&amp;$D411),0)</f>
        <v>0</v>
      </c>
      <c r="L411" s="99">
        <f>IFERROR(GETPIVOTDATA("Value",TD_WEAP_RAW!$A$3,"Variable",L$2,"Escenario",L$1,"Branch","Demand Sites and Catchments\"&amp;$D411),0)</f>
        <v>0</v>
      </c>
    </row>
    <row r="412" spans="4:12">
      <c r="D412" s="53"/>
      <c r="G412" s="51"/>
      <c r="H412" s="99">
        <f>IFERROR(GETPIVOTDATA("Value",TD_WEAP_RAW!$A$3,"Variable",H$2,"Escenario",H$1,"Branch","Demand Sites and Catchments\"&amp;$D412),0)</f>
        <v>0</v>
      </c>
      <c r="I412" s="99">
        <f>IFERROR(GETPIVOTDATA("Value",TD_WEAP_RAW!$A$3,"Variable",I$2,"Escenario",I$1,"Branch","Demand Sites and Catchments\"&amp;$D412),0)</f>
        <v>0</v>
      </c>
      <c r="J412" s="99">
        <f>IFERROR(GETPIVOTDATA("Value",TD_WEAP_RAW!$A$3,"Variable",J$2,"Escenario",J$1,"Branch","Demand Sites and Catchments\"&amp;$D412),0)</f>
        <v>0</v>
      </c>
      <c r="K412" s="99">
        <f>IFERROR(GETPIVOTDATA("Value",TD_WEAP_RAW!$A$3,"Variable",K$2,"Escenario",K$1,"Branch","Demand Sites and Catchments\"&amp;$D412),0)</f>
        <v>0</v>
      </c>
      <c r="L412" s="99">
        <f>IFERROR(GETPIVOTDATA("Value",TD_WEAP_RAW!$A$3,"Variable",L$2,"Escenario",L$1,"Branch","Demand Sites and Catchments\"&amp;$D412),0)</f>
        <v>0</v>
      </c>
    </row>
    <row r="413" spans="4:12">
      <c r="D413" s="53"/>
      <c r="G413" s="51"/>
      <c r="H413" s="99">
        <f>IFERROR(GETPIVOTDATA("Value",TD_WEAP_RAW!$A$3,"Variable",H$2,"Escenario",H$1,"Branch","Demand Sites and Catchments\"&amp;$D413),0)</f>
        <v>0</v>
      </c>
      <c r="I413" s="99">
        <f>IFERROR(GETPIVOTDATA("Value",TD_WEAP_RAW!$A$3,"Variable",I$2,"Escenario",I$1,"Branch","Demand Sites and Catchments\"&amp;$D413),0)</f>
        <v>0</v>
      </c>
      <c r="J413" s="99">
        <f>IFERROR(GETPIVOTDATA("Value",TD_WEAP_RAW!$A$3,"Variable",J$2,"Escenario",J$1,"Branch","Demand Sites and Catchments\"&amp;$D413),0)</f>
        <v>0</v>
      </c>
      <c r="K413" s="99">
        <f>IFERROR(GETPIVOTDATA("Value",TD_WEAP_RAW!$A$3,"Variable",K$2,"Escenario",K$1,"Branch","Demand Sites and Catchments\"&amp;$D413),0)</f>
        <v>0</v>
      </c>
      <c r="L413" s="99">
        <f>IFERROR(GETPIVOTDATA("Value",TD_WEAP_RAW!$A$3,"Variable",L$2,"Escenario",L$1,"Branch","Demand Sites and Catchments\"&amp;$D413),0)</f>
        <v>0</v>
      </c>
    </row>
    <row r="414" spans="4:12">
      <c r="D414" s="53"/>
      <c r="G414" s="51"/>
      <c r="H414" s="99">
        <f>IFERROR(GETPIVOTDATA("Value",TD_WEAP_RAW!$A$3,"Variable",H$2,"Escenario",H$1,"Branch","Demand Sites and Catchments\"&amp;$D414),0)</f>
        <v>0</v>
      </c>
      <c r="I414" s="99">
        <f>IFERROR(GETPIVOTDATA("Value",TD_WEAP_RAW!$A$3,"Variable",I$2,"Escenario",I$1,"Branch","Demand Sites and Catchments\"&amp;$D414),0)</f>
        <v>0</v>
      </c>
      <c r="J414" s="99">
        <f>IFERROR(GETPIVOTDATA("Value",TD_WEAP_RAW!$A$3,"Variable",J$2,"Escenario",J$1,"Branch","Demand Sites and Catchments\"&amp;$D414),0)</f>
        <v>0</v>
      </c>
      <c r="K414" s="99">
        <f>IFERROR(GETPIVOTDATA("Value",TD_WEAP_RAW!$A$3,"Variable",K$2,"Escenario",K$1,"Branch","Demand Sites and Catchments\"&amp;$D414),0)</f>
        <v>0</v>
      </c>
      <c r="L414" s="99">
        <f>IFERROR(GETPIVOTDATA("Value",TD_WEAP_RAW!$A$3,"Variable",L$2,"Escenario",L$1,"Branch","Demand Sites and Catchments\"&amp;$D414),0)</f>
        <v>0</v>
      </c>
    </row>
    <row r="415" spans="4:12">
      <c r="D415" s="53"/>
      <c r="G415" s="51"/>
      <c r="H415" s="99">
        <f>IFERROR(GETPIVOTDATA("Value",TD_WEAP_RAW!$A$3,"Variable",H$2,"Escenario",H$1,"Branch","Demand Sites and Catchments\"&amp;$D415),0)</f>
        <v>0</v>
      </c>
      <c r="I415" s="99">
        <f>IFERROR(GETPIVOTDATA("Value",TD_WEAP_RAW!$A$3,"Variable",I$2,"Escenario",I$1,"Branch","Demand Sites and Catchments\"&amp;$D415),0)</f>
        <v>0</v>
      </c>
      <c r="J415" s="99">
        <f>IFERROR(GETPIVOTDATA("Value",TD_WEAP_RAW!$A$3,"Variable",J$2,"Escenario",J$1,"Branch","Demand Sites and Catchments\"&amp;$D415),0)</f>
        <v>0</v>
      </c>
      <c r="K415" s="99">
        <f>IFERROR(GETPIVOTDATA("Value",TD_WEAP_RAW!$A$3,"Variable",K$2,"Escenario",K$1,"Branch","Demand Sites and Catchments\"&amp;$D415),0)</f>
        <v>0</v>
      </c>
      <c r="L415" s="99">
        <f>IFERROR(GETPIVOTDATA("Value",TD_WEAP_RAW!$A$3,"Variable",L$2,"Escenario",L$1,"Branch","Demand Sites and Catchments\"&amp;$D415),0)</f>
        <v>0</v>
      </c>
    </row>
    <row r="416" spans="4:12">
      <c r="D416" s="53"/>
      <c r="G416" s="51"/>
      <c r="H416" s="99">
        <f>IFERROR(GETPIVOTDATA("Value",TD_WEAP_RAW!$A$3,"Variable",H$2,"Escenario",H$1,"Branch","Demand Sites and Catchments\"&amp;$D416),0)</f>
        <v>0</v>
      </c>
      <c r="I416" s="99">
        <f>IFERROR(GETPIVOTDATA("Value",TD_WEAP_RAW!$A$3,"Variable",I$2,"Escenario",I$1,"Branch","Demand Sites and Catchments\"&amp;$D416),0)</f>
        <v>0</v>
      </c>
      <c r="J416" s="99">
        <f>IFERROR(GETPIVOTDATA("Value",TD_WEAP_RAW!$A$3,"Variable",J$2,"Escenario",J$1,"Branch","Demand Sites and Catchments\"&amp;$D416),0)</f>
        <v>0</v>
      </c>
      <c r="K416" s="99">
        <f>IFERROR(GETPIVOTDATA("Value",TD_WEAP_RAW!$A$3,"Variable",K$2,"Escenario",K$1,"Branch","Demand Sites and Catchments\"&amp;$D416),0)</f>
        <v>0</v>
      </c>
      <c r="L416" s="99">
        <f>IFERROR(GETPIVOTDATA("Value",TD_WEAP_RAW!$A$3,"Variable",L$2,"Escenario",L$1,"Branch","Demand Sites and Catchments\"&amp;$D416),0)</f>
        <v>0</v>
      </c>
    </row>
    <row r="417" spans="4:12">
      <c r="D417" s="53"/>
      <c r="G417" s="51"/>
      <c r="H417" s="99">
        <f>IFERROR(GETPIVOTDATA("Value",TD_WEAP_RAW!$A$3,"Variable",H$2,"Escenario",H$1,"Branch","Demand Sites and Catchments\"&amp;$D417),0)</f>
        <v>0</v>
      </c>
      <c r="I417" s="99">
        <f>IFERROR(GETPIVOTDATA("Value",TD_WEAP_RAW!$A$3,"Variable",I$2,"Escenario",I$1,"Branch","Demand Sites and Catchments\"&amp;$D417),0)</f>
        <v>0</v>
      </c>
      <c r="J417" s="99">
        <f>IFERROR(GETPIVOTDATA("Value",TD_WEAP_RAW!$A$3,"Variable",J$2,"Escenario",J$1,"Branch","Demand Sites and Catchments\"&amp;$D417),0)</f>
        <v>0</v>
      </c>
      <c r="K417" s="99">
        <f>IFERROR(GETPIVOTDATA("Value",TD_WEAP_RAW!$A$3,"Variable",K$2,"Escenario",K$1,"Branch","Demand Sites and Catchments\"&amp;$D417),0)</f>
        <v>0</v>
      </c>
      <c r="L417" s="99">
        <f>IFERROR(GETPIVOTDATA("Value",TD_WEAP_RAW!$A$3,"Variable",L$2,"Escenario",L$1,"Branch","Demand Sites and Catchments\"&amp;$D417),0)</f>
        <v>0</v>
      </c>
    </row>
    <row r="418" spans="4:12">
      <c r="D418" s="53"/>
      <c r="G418" s="51"/>
      <c r="H418" s="99">
        <f>IFERROR(GETPIVOTDATA("Value",TD_WEAP_RAW!$A$3,"Variable",H$2,"Escenario",H$1,"Branch","Demand Sites and Catchments\"&amp;$D418),0)</f>
        <v>0</v>
      </c>
      <c r="I418" s="99">
        <f>IFERROR(GETPIVOTDATA("Value",TD_WEAP_RAW!$A$3,"Variable",I$2,"Escenario",I$1,"Branch","Demand Sites and Catchments\"&amp;$D418),0)</f>
        <v>0</v>
      </c>
      <c r="J418" s="99">
        <f>IFERROR(GETPIVOTDATA("Value",TD_WEAP_RAW!$A$3,"Variable",J$2,"Escenario",J$1,"Branch","Demand Sites and Catchments\"&amp;$D418),0)</f>
        <v>0</v>
      </c>
      <c r="K418" s="99">
        <f>IFERROR(GETPIVOTDATA("Value",TD_WEAP_RAW!$A$3,"Variable",K$2,"Escenario",K$1,"Branch","Demand Sites and Catchments\"&amp;$D418),0)</f>
        <v>0</v>
      </c>
      <c r="L418" s="99">
        <f>IFERROR(GETPIVOTDATA("Value",TD_WEAP_RAW!$A$3,"Variable",L$2,"Escenario",L$1,"Branch","Demand Sites and Catchments\"&amp;$D418),0)</f>
        <v>0</v>
      </c>
    </row>
    <row r="419" spans="4:12">
      <c r="D419" s="53"/>
      <c r="G419" s="51"/>
      <c r="H419" s="99">
        <f>IFERROR(GETPIVOTDATA("Value",TD_WEAP_RAW!$A$3,"Variable",H$2,"Escenario",H$1,"Branch","Demand Sites and Catchments\"&amp;$D419),0)</f>
        <v>0</v>
      </c>
      <c r="I419" s="99">
        <f>IFERROR(GETPIVOTDATA("Value",TD_WEAP_RAW!$A$3,"Variable",I$2,"Escenario",I$1,"Branch","Demand Sites and Catchments\"&amp;$D419),0)</f>
        <v>0</v>
      </c>
      <c r="J419" s="99">
        <f>IFERROR(GETPIVOTDATA("Value",TD_WEAP_RAW!$A$3,"Variable",J$2,"Escenario",J$1,"Branch","Demand Sites and Catchments\"&amp;$D419),0)</f>
        <v>0</v>
      </c>
      <c r="K419" s="99">
        <f>IFERROR(GETPIVOTDATA("Value",TD_WEAP_RAW!$A$3,"Variable",K$2,"Escenario",K$1,"Branch","Demand Sites and Catchments\"&amp;$D419),0)</f>
        <v>0</v>
      </c>
      <c r="L419" s="99">
        <f>IFERROR(GETPIVOTDATA("Value",TD_WEAP_RAW!$A$3,"Variable",L$2,"Escenario",L$1,"Branch","Demand Sites and Catchments\"&amp;$D419),0)</f>
        <v>0</v>
      </c>
    </row>
    <row r="420" spans="4:12">
      <c r="D420" s="53"/>
      <c r="G420" s="51"/>
      <c r="H420" s="99">
        <f>IFERROR(GETPIVOTDATA("Value",TD_WEAP_RAW!$A$3,"Variable",H$2,"Escenario",H$1,"Branch","Demand Sites and Catchments\"&amp;$D420),0)</f>
        <v>0</v>
      </c>
      <c r="I420" s="99">
        <f>IFERROR(GETPIVOTDATA("Value",TD_WEAP_RAW!$A$3,"Variable",I$2,"Escenario",I$1,"Branch","Demand Sites and Catchments\"&amp;$D420),0)</f>
        <v>0</v>
      </c>
      <c r="J420" s="99">
        <f>IFERROR(GETPIVOTDATA("Value",TD_WEAP_RAW!$A$3,"Variable",J$2,"Escenario",J$1,"Branch","Demand Sites and Catchments\"&amp;$D420),0)</f>
        <v>0</v>
      </c>
      <c r="K420" s="99">
        <f>IFERROR(GETPIVOTDATA("Value",TD_WEAP_RAW!$A$3,"Variable",K$2,"Escenario",K$1,"Branch","Demand Sites and Catchments\"&amp;$D420),0)</f>
        <v>0</v>
      </c>
      <c r="L420" s="99">
        <f>IFERROR(GETPIVOTDATA("Value",TD_WEAP_RAW!$A$3,"Variable",L$2,"Escenario",L$1,"Branch","Demand Sites and Catchments\"&amp;$D420),0)</f>
        <v>0</v>
      </c>
    </row>
    <row r="421" spans="4:12">
      <c r="D421" s="53"/>
      <c r="G421" s="51"/>
      <c r="H421" s="99">
        <f>IFERROR(GETPIVOTDATA("Value",TD_WEAP_RAW!$A$3,"Variable",H$2,"Escenario",H$1,"Branch","Demand Sites and Catchments\"&amp;$D421),0)</f>
        <v>0</v>
      </c>
      <c r="I421" s="99">
        <f>IFERROR(GETPIVOTDATA("Value",TD_WEAP_RAW!$A$3,"Variable",I$2,"Escenario",I$1,"Branch","Demand Sites and Catchments\"&amp;$D421),0)</f>
        <v>0</v>
      </c>
      <c r="J421" s="99">
        <f>IFERROR(GETPIVOTDATA("Value",TD_WEAP_RAW!$A$3,"Variable",J$2,"Escenario",J$1,"Branch","Demand Sites and Catchments\"&amp;$D421),0)</f>
        <v>0</v>
      </c>
      <c r="K421" s="99">
        <f>IFERROR(GETPIVOTDATA("Value",TD_WEAP_RAW!$A$3,"Variable",K$2,"Escenario",K$1,"Branch","Demand Sites and Catchments\"&amp;$D421),0)</f>
        <v>0</v>
      </c>
      <c r="L421" s="99">
        <f>IFERROR(GETPIVOTDATA("Value",TD_WEAP_RAW!$A$3,"Variable",L$2,"Escenario",L$1,"Branch","Demand Sites and Catchments\"&amp;$D421),0)</f>
        <v>0</v>
      </c>
    </row>
    <row r="422" spans="4:12">
      <c r="D422" s="53"/>
      <c r="G422" s="51"/>
      <c r="H422" s="99">
        <f>IFERROR(GETPIVOTDATA("Value",TD_WEAP_RAW!$A$3,"Variable",H$2,"Escenario",H$1,"Branch","Demand Sites and Catchments\"&amp;$D422),0)</f>
        <v>0</v>
      </c>
      <c r="I422" s="99">
        <f>IFERROR(GETPIVOTDATA("Value",TD_WEAP_RAW!$A$3,"Variable",I$2,"Escenario",I$1,"Branch","Demand Sites and Catchments\"&amp;$D422),0)</f>
        <v>0</v>
      </c>
      <c r="J422" s="99">
        <f>IFERROR(GETPIVOTDATA("Value",TD_WEAP_RAW!$A$3,"Variable",J$2,"Escenario",J$1,"Branch","Demand Sites and Catchments\"&amp;$D422),0)</f>
        <v>0</v>
      </c>
      <c r="K422" s="99">
        <f>IFERROR(GETPIVOTDATA("Value",TD_WEAP_RAW!$A$3,"Variable",K$2,"Escenario",K$1,"Branch","Demand Sites and Catchments\"&amp;$D422),0)</f>
        <v>0</v>
      </c>
      <c r="L422" s="99">
        <f>IFERROR(GETPIVOTDATA("Value",TD_WEAP_RAW!$A$3,"Variable",L$2,"Escenario",L$1,"Branch","Demand Sites and Catchments\"&amp;$D422),0)</f>
        <v>0</v>
      </c>
    </row>
    <row r="423" spans="4:12">
      <c r="D423" s="53"/>
      <c r="G423" s="51"/>
      <c r="H423" s="99">
        <f>IFERROR(GETPIVOTDATA("Value",TD_WEAP_RAW!$A$3,"Variable",H$2,"Escenario",H$1,"Branch","Demand Sites and Catchments\"&amp;$D423),0)</f>
        <v>0</v>
      </c>
      <c r="I423" s="99">
        <f>IFERROR(GETPIVOTDATA("Value",TD_WEAP_RAW!$A$3,"Variable",I$2,"Escenario",I$1,"Branch","Demand Sites and Catchments\"&amp;$D423),0)</f>
        <v>0</v>
      </c>
      <c r="J423" s="99">
        <f>IFERROR(GETPIVOTDATA("Value",TD_WEAP_RAW!$A$3,"Variable",J$2,"Escenario",J$1,"Branch","Demand Sites and Catchments\"&amp;$D423),0)</f>
        <v>0</v>
      </c>
      <c r="K423" s="99">
        <f>IFERROR(GETPIVOTDATA("Value",TD_WEAP_RAW!$A$3,"Variable",K$2,"Escenario",K$1,"Branch","Demand Sites and Catchments\"&amp;$D423),0)</f>
        <v>0</v>
      </c>
      <c r="L423" s="99">
        <f>IFERROR(GETPIVOTDATA("Value",TD_WEAP_RAW!$A$3,"Variable",L$2,"Escenario",L$1,"Branch","Demand Sites and Catchments\"&amp;$D423),0)</f>
        <v>0</v>
      </c>
    </row>
    <row r="424" spans="4:12">
      <c r="D424" s="53"/>
      <c r="G424" s="51"/>
      <c r="H424" s="99">
        <f>IFERROR(GETPIVOTDATA("Value",TD_WEAP_RAW!$A$3,"Variable",H$2,"Escenario",H$1,"Branch","Demand Sites and Catchments\"&amp;$D424),0)</f>
        <v>0</v>
      </c>
      <c r="I424" s="99">
        <f>IFERROR(GETPIVOTDATA("Value",TD_WEAP_RAW!$A$3,"Variable",I$2,"Escenario",I$1,"Branch","Demand Sites and Catchments\"&amp;$D424),0)</f>
        <v>0</v>
      </c>
      <c r="J424" s="99">
        <f>IFERROR(GETPIVOTDATA("Value",TD_WEAP_RAW!$A$3,"Variable",J$2,"Escenario",J$1,"Branch","Demand Sites and Catchments\"&amp;$D424),0)</f>
        <v>0</v>
      </c>
      <c r="K424" s="99">
        <f>IFERROR(GETPIVOTDATA("Value",TD_WEAP_RAW!$A$3,"Variable",K$2,"Escenario",K$1,"Branch","Demand Sites and Catchments\"&amp;$D424),0)</f>
        <v>0</v>
      </c>
      <c r="L424" s="99">
        <f>IFERROR(GETPIVOTDATA("Value",TD_WEAP_RAW!$A$3,"Variable",L$2,"Escenario",L$1,"Branch","Demand Sites and Catchments\"&amp;$D424),0)</f>
        <v>0</v>
      </c>
    </row>
    <row r="425" spans="4:12">
      <c r="D425" s="53"/>
      <c r="G425" s="51"/>
      <c r="H425" s="99">
        <f>IFERROR(GETPIVOTDATA("Value",TD_WEAP_RAW!$A$3,"Variable",H$2,"Escenario",H$1,"Branch","Demand Sites and Catchments\"&amp;$D425),0)</f>
        <v>0</v>
      </c>
      <c r="I425" s="99">
        <f>IFERROR(GETPIVOTDATA("Value",TD_WEAP_RAW!$A$3,"Variable",I$2,"Escenario",I$1,"Branch","Demand Sites and Catchments\"&amp;$D425),0)</f>
        <v>0</v>
      </c>
      <c r="J425" s="99">
        <f>IFERROR(GETPIVOTDATA("Value",TD_WEAP_RAW!$A$3,"Variable",J$2,"Escenario",J$1,"Branch","Demand Sites and Catchments\"&amp;$D425),0)</f>
        <v>0</v>
      </c>
      <c r="K425" s="99">
        <f>IFERROR(GETPIVOTDATA("Value",TD_WEAP_RAW!$A$3,"Variable",K$2,"Escenario",K$1,"Branch","Demand Sites and Catchments\"&amp;$D425),0)</f>
        <v>0</v>
      </c>
      <c r="L425" s="99">
        <f>IFERROR(GETPIVOTDATA("Value",TD_WEAP_RAW!$A$3,"Variable",L$2,"Escenario",L$1,"Branch","Demand Sites and Catchments\"&amp;$D425),0)</f>
        <v>0</v>
      </c>
    </row>
    <row r="426" spans="4:12">
      <c r="D426" s="53"/>
      <c r="G426" s="51"/>
      <c r="H426" s="99">
        <f>IFERROR(GETPIVOTDATA("Value",TD_WEAP_RAW!$A$3,"Variable",H$2,"Escenario",H$1,"Branch","Demand Sites and Catchments\"&amp;$D426),0)</f>
        <v>0</v>
      </c>
      <c r="I426" s="99">
        <f>IFERROR(GETPIVOTDATA("Value",TD_WEAP_RAW!$A$3,"Variable",I$2,"Escenario",I$1,"Branch","Demand Sites and Catchments\"&amp;$D426),0)</f>
        <v>0</v>
      </c>
      <c r="J426" s="99">
        <f>IFERROR(GETPIVOTDATA("Value",TD_WEAP_RAW!$A$3,"Variable",J$2,"Escenario",J$1,"Branch","Demand Sites and Catchments\"&amp;$D426),0)</f>
        <v>0</v>
      </c>
      <c r="K426" s="99">
        <f>IFERROR(GETPIVOTDATA("Value",TD_WEAP_RAW!$A$3,"Variable",K$2,"Escenario",K$1,"Branch","Demand Sites and Catchments\"&amp;$D426),0)</f>
        <v>0</v>
      </c>
      <c r="L426" s="99">
        <f>IFERROR(GETPIVOTDATA("Value",TD_WEAP_RAW!$A$3,"Variable",L$2,"Escenario",L$1,"Branch","Demand Sites and Catchments\"&amp;$D426),0)</f>
        <v>0</v>
      </c>
    </row>
    <row r="427" spans="4:12">
      <c r="D427" s="53"/>
      <c r="G427" s="51"/>
      <c r="H427" s="99">
        <f>IFERROR(GETPIVOTDATA("Value",TD_WEAP_RAW!$A$3,"Variable",H$2,"Escenario",H$1,"Branch","Demand Sites and Catchments\"&amp;$D427),0)</f>
        <v>0</v>
      </c>
      <c r="I427" s="99">
        <f>IFERROR(GETPIVOTDATA("Value",TD_WEAP_RAW!$A$3,"Variable",I$2,"Escenario",I$1,"Branch","Demand Sites and Catchments\"&amp;$D427),0)</f>
        <v>0</v>
      </c>
      <c r="J427" s="99">
        <f>IFERROR(GETPIVOTDATA("Value",TD_WEAP_RAW!$A$3,"Variable",J$2,"Escenario",J$1,"Branch","Demand Sites and Catchments\"&amp;$D427),0)</f>
        <v>0</v>
      </c>
      <c r="K427" s="99">
        <f>IFERROR(GETPIVOTDATA("Value",TD_WEAP_RAW!$A$3,"Variable",K$2,"Escenario",K$1,"Branch","Demand Sites and Catchments\"&amp;$D427),0)</f>
        <v>0</v>
      </c>
      <c r="L427" s="99">
        <f>IFERROR(GETPIVOTDATA("Value",TD_WEAP_RAW!$A$3,"Variable",L$2,"Escenario",L$1,"Branch","Demand Sites and Catchments\"&amp;$D427),0)</f>
        <v>0</v>
      </c>
    </row>
    <row r="428" spans="4:12">
      <c r="D428" s="53"/>
      <c r="G428" s="51"/>
      <c r="H428" s="99">
        <f>IFERROR(GETPIVOTDATA("Value",TD_WEAP_RAW!$A$3,"Variable",H$2,"Escenario",H$1,"Branch","Demand Sites and Catchments\"&amp;$D428),0)</f>
        <v>0</v>
      </c>
      <c r="I428" s="99">
        <f>IFERROR(GETPIVOTDATA("Value",TD_WEAP_RAW!$A$3,"Variable",I$2,"Escenario",I$1,"Branch","Demand Sites and Catchments\"&amp;$D428),0)</f>
        <v>0</v>
      </c>
      <c r="J428" s="99">
        <f>IFERROR(GETPIVOTDATA("Value",TD_WEAP_RAW!$A$3,"Variable",J$2,"Escenario",J$1,"Branch","Demand Sites and Catchments\"&amp;$D428),0)</f>
        <v>0</v>
      </c>
      <c r="K428" s="99">
        <f>IFERROR(GETPIVOTDATA("Value",TD_WEAP_RAW!$A$3,"Variable",K$2,"Escenario",K$1,"Branch","Demand Sites and Catchments\"&amp;$D428),0)</f>
        <v>0</v>
      </c>
      <c r="L428" s="99">
        <f>IFERROR(GETPIVOTDATA("Value",TD_WEAP_RAW!$A$3,"Variable",L$2,"Escenario",L$1,"Branch","Demand Sites and Catchments\"&amp;$D428),0)</f>
        <v>0</v>
      </c>
    </row>
    <row r="429" spans="4:12">
      <c r="D429" s="53"/>
      <c r="G429" s="51"/>
      <c r="H429" s="99">
        <f>IFERROR(GETPIVOTDATA("Value",TD_WEAP_RAW!$A$3,"Variable",H$2,"Escenario",H$1,"Branch","Demand Sites and Catchments\"&amp;$D429),0)</f>
        <v>0</v>
      </c>
      <c r="I429" s="99">
        <f>IFERROR(GETPIVOTDATA("Value",TD_WEAP_RAW!$A$3,"Variable",I$2,"Escenario",I$1,"Branch","Demand Sites and Catchments\"&amp;$D429),0)</f>
        <v>0</v>
      </c>
      <c r="J429" s="99">
        <f>IFERROR(GETPIVOTDATA("Value",TD_WEAP_RAW!$A$3,"Variable",J$2,"Escenario",J$1,"Branch","Demand Sites and Catchments\"&amp;$D429),0)</f>
        <v>0</v>
      </c>
      <c r="K429" s="99">
        <f>IFERROR(GETPIVOTDATA("Value",TD_WEAP_RAW!$A$3,"Variable",K$2,"Escenario",K$1,"Branch","Demand Sites and Catchments\"&amp;$D429),0)</f>
        <v>0</v>
      </c>
      <c r="L429" s="99">
        <f>IFERROR(GETPIVOTDATA("Value",TD_WEAP_RAW!$A$3,"Variable",L$2,"Escenario",L$1,"Branch","Demand Sites and Catchments\"&amp;$D429),0)</f>
        <v>0</v>
      </c>
    </row>
    <row r="430" spans="4:12">
      <c r="D430" s="53"/>
      <c r="G430" s="51"/>
      <c r="H430" s="99">
        <f>IFERROR(GETPIVOTDATA("Value",TD_WEAP_RAW!$A$3,"Variable",H$2,"Escenario",H$1,"Branch","Demand Sites and Catchments\"&amp;$D430),0)</f>
        <v>0</v>
      </c>
      <c r="I430" s="99">
        <f>IFERROR(GETPIVOTDATA("Value",TD_WEAP_RAW!$A$3,"Variable",I$2,"Escenario",I$1,"Branch","Demand Sites and Catchments\"&amp;$D430),0)</f>
        <v>0</v>
      </c>
      <c r="J430" s="99">
        <f>IFERROR(GETPIVOTDATA("Value",TD_WEAP_RAW!$A$3,"Variable",J$2,"Escenario",J$1,"Branch","Demand Sites and Catchments\"&amp;$D430),0)</f>
        <v>0</v>
      </c>
      <c r="K430" s="99">
        <f>IFERROR(GETPIVOTDATA("Value",TD_WEAP_RAW!$A$3,"Variable",K$2,"Escenario",K$1,"Branch","Demand Sites and Catchments\"&amp;$D430),0)</f>
        <v>0</v>
      </c>
      <c r="L430" s="99">
        <f>IFERROR(GETPIVOTDATA("Value",TD_WEAP_RAW!$A$3,"Variable",L$2,"Escenario",L$1,"Branch","Demand Sites and Catchments\"&amp;$D430),0)</f>
        <v>0</v>
      </c>
    </row>
    <row r="431" spans="4:12">
      <c r="D431" s="53"/>
      <c r="G431" s="51"/>
      <c r="H431" s="99">
        <f>IFERROR(GETPIVOTDATA("Value",TD_WEAP_RAW!$A$3,"Variable",H$2,"Escenario",H$1,"Branch","Demand Sites and Catchments\"&amp;$D431),0)</f>
        <v>0</v>
      </c>
      <c r="I431" s="99">
        <f>IFERROR(GETPIVOTDATA("Value",TD_WEAP_RAW!$A$3,"Variable",I$2,"Escenario",I$1,"Branch","Demand Sites and Catchments\"&amp;$D431),0)</f>
        <v>0</v>
      </c>
      <c r="J431" s="99">
        <f>IFERROR(GETPIVOTDATA("Value",TD_WEAP_RAW!$A$3,"Variable",J$2,"Escenario",J$1,"Branch","Demand Sites and Catchments\"&amp;$D431),0)</f>
        <v>0</v>
      </c>
      <c r="K431" s="99">
        <f>IFERROR(GETPIVOTDATA("Value",TD_WEAP_RAW!$A$3,"Variable",K$2,"Escenario",K$1,"Branch","Demand Sites and Catchments\"&amp;$D431),0)</f>
        <v>0</v>
      </c>
      <c r="L431" s="99">
        <f>IFERROR(GETPIVOTDATA("Value",TD_WEAP_RAW!$A$3,"Variable",L$2,"Escenario",L$1,"Branch","Demand Sites and Catchments\"&amp;$D431),0)</f>
        <v>0</v>
      </c>
    </row>
    <row r="432" spans="4:12">
      <c r="D432" s="53"/>
      <c r="G432" s="51"/>
      <c r="H432" s="99">
        <f>IFERROR(GETPIVOTDATA("Value",TD_WEAP_RAW!$A$3,"Variable",H$2,"Escenario",H$1,"Branch","Demand Sites and Catchments\"&amp;$D432),0)</f>
        <v>0</v>
      </c>
      <c r="I432" s="99">
        <f>IFERROR(GETPIVOTDATA("Value",TD_WEAP_RAW!$A$3,"Variable",I$2,"Escenario",I$1,"Branch","Demand Sites and Catchments\"&amp;$D432),0)</f>
        <v>0</v>
      </c>
      <c r="J432" s="99">
        <f>IFERROR(GETPIVOTDATA("Value",TD_WEAP_RAW!$A$3,"Variable",J$2,"Escenario",J$1,"Branch","Demand Sites and Catchments\"&amp;$D432),0)</f>
        <v>0</v>
      </c>
      <c r="K432" s="99">
        <f>IFERROR(GETPIVOTDATA("Value",TD_WEAP_RAW!$A$3,"Variable",K$2,"Escenario",K$1,"Branch","Demand Sites and Catchments\"&amp;$D432),0)</f>
        <v>0</v>
      </c>
      <c r="L432" s="99">
        <f>IFERROR(GETPIVOTDATA("Value",TD_WEAP_RAW!$A$3,"Variable",L$2,"Escenario",L$1,"Branch","Demand Sites and Catchments\"&amp;$D432),0)</f>
        <v>0</v>
      </c>
    </row>
    <row r="433" spans="4:12">
      <c r="D433" s="53"/>
      <c r="G433" s="51"/>
      <c r="H433" s="99">
        <f>IFERROR(GETPIVOTDATA("Value",TD_WEAP_RAW!$A$3,"Variable",H$2,"Escenario",H$1,"Branch","Demand Sites and Catchments\"&amp;$D433),0)</f>
        <v>0</v>
      </c>
      <c r="I433" s="99">
        <f>IFERROR(GETPIVOTDATA("Value",TD_WEAP_RAW!$A$3,"Variable",I$2,"Escenario",I$1,"Branch","Demand Sites and Catchments\"&amp;$D433),0)</f>
        <v>0</v>
      </c>
      <c r="J433" s="99">
        <f>IFERROR(GETPIVOTDATA("Value",TD_WEAP_RAW!$A$3,"Variable",J$2,"Escenario",J$1,"Branch","Demand Sites and Catchments\"&amp;$D433),0)</f>
        <v>0</v>
      </c>
      <c r="K433" s="99">
        <f>IFERROR(GETPIVOTDATA("Value",TD_WEAP_RAW!$A$3,"Variable",K$2,"Escenario",K$1,"Branch","Demand Sites and Catchments\"&amp;$D433),0)</f>
        <v>0</v>
      </c>
      <c r="L433" s="99">
        <f>IFERROR(GETPIVOTDATA("Value",TD_WEAP_RAW!$A$3,"Variable",L$2,"Escenario",L$1,"Branch","Demand Sites and Catchments\"&amp;$D433),0)</f>
        <v>0</v>
      </c>
    </row>
    <row r="434" spans="4:12">
      <c r="D434" s="53"/>
      <c r="G434" s="51"/>
      <c r="H434" s="99">
        <f>IFERROR(GETPIVOTDATA("Value",TD_WEAP_RAW!$A$3,"Variable",H$2,"Escenario",H$1,"Branch","Demand Sites and Catchments\"&amp;$D434),0)</f>
        <v>0</v>
      </c>
      <c r="I434" s="99">
        <f>IFERROR(GETPIVOTDATA("Value",TD_WEAP_RAW!$A$3,"Variable",I$2,"Escenario",I$1,"Branch","Demand Sites and Catchments\"&amp;$D434),0)</f>
        <v>0</v>
      </c>
      <c r="J434" s="99">
        <f>IFERROR(GETPIVOTDATA("Value",TD_WEAP_RAW!$A$3,"Variable",J$2,"Escenario",J$1,"Branch","Demand Sites and Catchments\"&amp;$D434),0)</f>
        <v>0</v>
      </c>
      <c r="K434" s="99">
        <f>IFERROR(GETPIVOTDATA("Value",TD_WEAP_RAW!$A$3,"Variable",K$2,"Escenario",K$1,"Branch","Demand Sites and Catchments\"&amp;$D434),0)</f>
        <v>0</v>
      </c>
      <c r="L434" s="99">
        <f>IFERROR(GETPIVOTDATA("Value",TD_WEAP_RAW!$A$3,"Variable",L$2,"Escenario",L$1,"Branch","Demand Sites and Catchments\"&amp;$D434),0)</f>
        <v>0</v>
      </c>
    </row>
    <row r="435" spans="4:12">
      <c r="D435" s="53"/>
      <c r="G435" s="51"/>
      <c r="H435" s="99">
        <f>IFERROR(GETPIVOTDATA("Value",TD_WEAP_RAW!$A$3,"Variable",H$2,"Escenario",H$1,"Branch","Demand Sites and Catchments\"&amp;$D435),0)</f>
        <v>0</v>
      </c>
      <c r="I435" s="99">
        <f>IFERROR(GETPIVOTDATA("Value",TD_WEAP_RAW!$A$3,"Variable",I$2,"Escenario",I$1,"Branch","Demand Sites and Catchments\"&amp;$D435),0)</f>
        <v>0</v>
      </c>
      <c r="J435" s="99">
        <f>IFERROR(GETPIVOTDATA("Value",TD_WEAP_RAW!$A$3,"Variable",J$2,"Escenario",J$1,"Branch","Demand Sites and Catchments\"&amp;$D435),0)</f>
        <v>0</v>
      </c>
      <c r="K435" s="99">
        <f>IFERROR(GETPIVOTDATA("Value",TD_WEAP_RAW!$A$3,"Variable",K$2,"Escenario",K$1,"Branch","Demand Sites and Catchments\"&amp;$D435),0)</f>
        <v>0</v>
      </c>
      <c r="L435" s="99">
        <f>IFERROR(GETPIVOTDATA("Value",TD_WEAP_RAW!$A$3,"Variable",L$2,"Escenario",L$1,"Branch","Demand Sites and Catchments\"&amp;$D435),0)</f>
        <v>0</v>
      </c>
    </row>
    <row r="436" spans="4:12">
      <c r="D436" s="53"/>
      <c r="G436" s="51"/>
      <c r="H436" s="99">
        <f>IFERROR(GETPIVOTDATA("Value",TD_WEAP_RAW!$A$3,"Variable",H$2,"Escenario",H$1,"Branch","Demand Sites and Catchments\"&amp;$D436),0)</f>
        <v>0</v>
      </c>
      <c r="I436" s="99">
        <f>IFERROR(GETPIVOTDATA("Value",TD_WEAP_RAW!$A$3,"Variable",I$2,"Escenario",I$1,"Branch","Demand Sites and Catchments\"&amp;$D436),0)</f>
        <v>0</v>
      </c>
      <c r="J436" s="99">
        <f>IFERROR(GETPIVOTDATA("Value",TD_WEAP_RAW!$A$3,"Variable",J$2,"Escenario",J$1,"Branch","Demand Sites and Catchments\"&amp;$D436),0)</f>
        <v>0</v>
      </c>
      <c r="K436" s="99">
        <f>IFERROR(GETPIVOTDATA("Value",TD_WEAP_RAW!$A$3,"Variable",K$2,"Escenario",K$1,"Branch","Demand Sites and Catchments\"&amp;$D436),0)</f>
        <v>0</v>
      </c>
      <c r="L436" s="99">
        <f>IFERROR(GETPIVOTDATA("Value",TD_WEAP_RAW!$A$3,"Variable",L$2,"Escenario",L$1,"Branch","Demand Sites and Catchments\"&amp;$D436),0)</f>
        <v>0</v>
      </c>
    </row>
    <row r="437" spans="4:12">
      <c r="D437" s="53"/>
      <c r="G437" s="51"/>
      <c r="H437" s="99">
        <f>IFERROR(GETPIVOTDATA("Value",TD_WEAP_RAW!$A$3,"Variable",H$2,"Escenario",H$1,"Branch","Demand Sites and Catchments\"&amp;$D437),0)</f>
        <v>0</v>
      </c>
      <c r="I437" s="99">
        <f>IFERROR(GETPIVOTDATA("Value",TD_WEAP_RAW!$A$3,"Variable",I$2,"Escenario",I$1,"Branch","Demand Sites and Catchments\"&amp;$D437),0)</f>
        <v>0</v>
      </c>
      <c r="J437" s="99">
        <f>IFERROR(GETPIVOTDATA("Value",TD_WEAP_RAW!$A$3,"Variable",J$2,"Escenario",J$1,"Branch","Demand Sites and Catchments\"&amp;$D437),0)</f>
        <v>0</v>
      </c>
      <c r="K437" s="99">
        <f>IFERROR(GETPIVOTDATA("Value",TD_WEAP_RAW!$A$3,"Variable",K$2,"Escenario",K$1,"Branch","Demand Sites and Catchments\"&amp;$D437),0)</f>
        <v>0</v>
      </c>
      <c r="L437" s="99">
        <f>IFERROR(GETPIVOTDATA("Value",TD_WEAP_RAW!$A$3,"Variable",L$2,"Escenario",L$1,"Branch","Demand Sites and Catchments\"&amp;$D437),0)</f>
        <v>0</v>
      </c>
    </row>
    <row r="438" spans="4:12">
      <c r="D438" s="53"/>
      <c r="G438" s="51"/>
      <c r="H438" s="99">
        <f>IFERROR(GETPIVOTDATA("Value",TD_WEAP_RAW!$A$3,"Variable",H$2,"Escenario",H$1,"Branch","Demand Sites and Catchments\"&amp;$D438),0)</f>
        <v>0</v>
      </c>
      <c r="I438" s="99">
        <f>IFERROR(GETPIVOTDATA("Value",TD_WEAP_RAW!$A$3,"Variable",I$2,"Escenario",I$1,"Branch","Demand Sites and Catchments\"&amp;$D438),0)</f>
        <v>0</v>
      </c>
      <c r="J438" s="99">
        <f>IFERROR(GETPIVOTDATA("Value",TD_WEAP_RAW!$A$3,"Variable",J$2,"Escenario",J$1,"Branch","Demand Sites and Catchments\"&amp;$D438),0)</f>
        <v>0</v>
      </c>
      <c r="K438" s="99">
        <f>IFERROR(GETPIVOTDATA("Value",TD_WEAP_RAW!$A$3,"Variable",K$2,"Escenario",K$1,"Branch","Demand Sites and Catchments\"&amp;$D438),0)</f>
        <v>0</v>
      </c>
      <c r="L438" s="99">
        <f>IFERROR(GETPIVOTDATA("Value",TD_WEAP_RAW!$A$3,"Variable",L$2,"Escenario",L$1,"Branch","Demand Sites and Catchments\"&amp;$D438),0)</f>
        <v>0</v>
      </c>
    </row>
    <row r="439" spans="4:12">
      <c r="D439" s="53"/>
      <c r="G439" s="51"/>
      <c r="H439" s="99">
        <f>IFERROR(GETPIVOTDATA("Value",TD_WEAP_RAW!$A$3,"Variable",H$2,"Escenario",H$1,"Branch","Demand Sites and Catchments\"&amp;$D439),0)</f>
        <v>0</v>
      </c>
      <c r="I439" s="99">
        <f>IFERROR(GETPIVOTDATA("Value",TD_WEAP_RAW!$A$3,"Variable",I$2,"Escenario",I$1,"Branch","Demand Sites and Catchments\"&amp;$D439),0)</f>
        <v>0</v>
      </c>
      <c r="J439" s="99">
        <f>IFERROR(GETPIVOTDATA("Value",TD_WEAP_RAW!$A$3,"Variable",J$2,"Escenario",J$1,"Branch","Demand Sites and Catchments\"&amp;$D439),0)</f>
        <v>0</v>
      </c>
      <c r="K439" s="99">
        <f>IFERROR(GETPIVOTDATA("Value",TD_WEAP_RAW!$A$3,"Variable",K$2,"Escenario",K$1,"Branch","Demand Sites and Catchments\"&amp;$D439),0)</f>
        <v>0</v>
      </c>
      <c r="L439" s="99">
        <f>IFERROR(GETPIVOTDATA("Value",TD_WEAP_RAW!$A$3,"Variable",L$2,"Escenario",L$1,"Branch","Demand Sites and Catchments\"&amp;$D439),0)</f>
        <v>0</v>
      </c>
    </row>
    <row r="440" spans="4:12">
      <c r="D440" s="53"/>
      <c r="G440" s="51"/>
      <c r="H440" s="99">
        <f>IFERROR(GETPIVOTDATA("Value",TD_WEAP_RAW!$A$3,"Variable",H$2,"Escenario",H$1,"Branch","Demand Sites and Catchments\"&amp;$D440),0)</f>
        <v>0</v>
      </c>
      <c r="I440" s="99">
        <f>IFERROR(GETPIVOTDATA("Value",TD_WEAP_RAW!$A$3,"Variable",I$2,"Escenario",I$1,"Branch","Demand Sites and Catchments\"&amp;$D440),0)</f>
        <v>0</v>
      </c>
      <c r="J440" s="99">
        <f>IFERROR(GETPIVOTDATA("Value",TD_WEAP_RAW!$A$3,"Variable",J$2,"Escenario",J$1,"Branch","Demand Sites and Catchments\"&amp;$D440),0)</f>
        <v>0</v>
      </c>
      <c r="K440" s="99">
        <f>IFERROR(GETPIVOTDATA("Value",TD_WEAP_RAW!$A$3,"Variable",K$2,"Escenario",K$1,"Branch","Demand Sites and Catchments\"&amp;$D440),0)</f>
        <v>0</v>
      </c>
      <c r="L440" s="99">
        <f>IFERROR(GETPIVOTDATA("Value",TD_WEAP_RAW!$A$3,"Variable",L$2,"Escenario",L$1,"Branch","Demand Sites and Catchments\"&amp;$D440),0)</f>
        <v>0</v>
      </c>
    </row>
    <row r="441" spans="4:12">
      <c r="D441" s="53"/>
      <c r="G441" s="51"/>
      <c r="H441" s="99">
        <f>IFERROR(GETPIVOTDATA("Value",TD_WEAP_RAW!$A$3,"Variable",H$2,"Escenario",H$1,"Branch","Demand Sites and Catchments\"&amp;$D441),0)</f>
        <v>0</v>
      </c>
      <c r="I441" s="99">
        <f>IFERROR(GETPIVOTDATA("Value",TD_WEAP_RAW!$A$3,"Variable",I$2,"Escenario",I$1,"Branch","Demand Sites and Catchments\"&amp;$D441),0)</f>
        <v>0</v>
      </c>
      <c r="J441" s="99">
        <f>IFERROR(GETPIVOTDATA("Value",TD_WEAP_RAW!$A$3,"Variable",J$2,"Escenario",J$1,"Branch","Demand Sites and Catchments\"&amp;$D441),0)</f>
        <v>0</v>
      </c>
      <c r="K441" s="99">
        <f>IFERROR(GETPIVOTDATA("Value",TD_WEAP_RAW!$A$3,"Variable",K$2,"Escenario",K$1,"Branch","Demand Sites and Catchments\"&amp;$D441),0)</f>
        <v>0</v>
      </c>
      <c r="L441" s="99">
        <f>IFERROR(GETPIVOTDATA("Value",TD_WEAP_RAW!$A$3,"Variable",L$2,"Escenario",L$1,"Branch","Demand Sites and Catchments\"&amp;$D441),0)</f>
        <v>0</v>
      </c>
    </row>
    <row r="442" spans="4:12">
      <c r="D442" s="53"/>
      <c r="G442" s="51"/>
      <c r="H442" s="99">
        <f>IFERROR(GETPIVOTDATA("Value",TD_WEAP_RAW!$A$3,"Variable",H$2,"Escenario",H$1,"Branch","Demand Sites and Catchments\"&amp;$D442),0)</f>
        <v>0</v>
      </c>
      <c r="I442" s="99">
        <f>IFERROR(GETPIVOTDATA("Value",TD_WEAP_RAW!$A$3,"Variable",I$2,"Escenario",I$1,"Branch","Demand Sites and Catchments\"&amp;$D442),0)</f>
        <v>0</v>
      </c>
      <c r="J442" s="99">
        <f>IFERROR(GETPIVOTDATA("Value",TD_WEAP_RAW!$A$3,"Variable",J$2,"Escenario",J$1,"Branch","Demand Sites and Catchments\"&amp;$D442),0)</f>
        <v>0</v>
      </c>
      <c r="K442" s="99">
        <f>IFERROR(GETPIVOTDATA("Value",TD_WEAP_RAW!$A$3,"Variable",K$2,"Escenario",K$1,"Branch","Demand Sites and Catchments\"&amp;$D442),0)</f>
        <v>0</v>
      </c>
      <c r="L442" s="99">
        <f>IFERROR(GETPIVOTDATA("Value",TD_WEAP_RAW!$A$3,"Variable",L$2,"Escenario",L$1,"Branch","Demand Sites and Catchments\"&amp;$D442),0)</f>
        <v>0</v>
      </c>
    </row>
    <row r="443" spans="4:12">
      <c r="D443" s="53"/>
      <c r="G443" s="51"/>
      <c r="H443" s="99">
        <f>IFERROR(GETPIVOTDATA("Value",TD_WEAP_RAW!$A$3,"Variable",H$2,"Escenario",H$1,"Branch","Demand Sites and Catchments\"&amp;$D443),0)</f>
        <v>0</v>
      </c>
      <c r="I443" s="99">
        <f>IFERROR(GETPIVOTDATA("Value",TD_WEAP_RAW!$A$3,"Variable",I$2,"Escenario",I$1,"Branch","Demand Sites and Catchments\"&amp;$D443),0)</f>
        <v>0</v>
      </c>
      <c r="J443" s="99">
        <f>IFERROR(GETPIVOTDATA("Value",TD_WEAP_RAW!$A$3,"Variable",J$2,"Escenario",J$1,"Branch","Demand Sites and Catchments\"&amp;$D443),0)</f>
        <v>0</v>
      </c>
      <c r="K443" s="99">
        <f>IFERROR(GETPIVOTDATA("Value",TD_WEAP_RAW!$A$3,"Variable",K$2,"Escenario",K$1,"Branch","Demand Sites and Catchments\"&amp;$D443),0)</f>
        <v>0</v>
      </c>
      <c r="L443" s="99">
        <f>IFERROR(GETPIVOTDATA("Value",TD_WEAP_RAW!$A$3,"Variable",L$2,"Escenario",L$1,"Branch","Demand Sites and Catchments\"&amp;$D443),0)</f>
        <v>0</v>
      </c>
    </row>
    <row r="444" spans="4:12">
      <c r="D444" s="53"/>
      <c r="G444" s="51"/>
      <c r="H444" s="99">
        <f>IFERROR(GETPIVOTDATA("Value",TD_WEAP_RAW!$A$3,"Variable",H$2,"Escenario",H$1,"Branch","Demand Sites and Catchments\"&amp;$D444),0)</f>
        <v>0</v>
      </c>
      <c r="I444" s="99">
        <f>IFERROR(GETPIVOTDATA("Value",TD_WEAP_RAW!$A$3,"Variable",I$2,"Escenario",I$1,"Branch","Demand Sites and Catchments\"&amp;$D444),0)</f>
        <v>0</v>
      </c>
      <c r="J444" s="99">
        <f>IFERROR(GETPIVOTDATA("Value",TD_WEAP_RAW!$A$3,"Variable",J$2,"Escenario",J$1,"Branch","Demand Sites and Catchments\"&amp;$D444),0)</f>
        <v>0</v>
      </c>
      <c r="K444" s="99">
        <f>IFERROR(GETPIVOTDATA("Value",TD_WEAP_RAW!$A$3,"Variable",K$2,"Escenario",K$1,"Branch","Demand Sites and Catchments\"&amp;$D444),0)</f>
        <v>0</v>
      </c>
      <c r="L444" s="99">
        <f>IFERROR(GETPIVOTDATA("Value",TD_WEAP_RAW!$A$3,"Variable",L$2,"Escenario",L$1,"Branch","Demand Sites and Catchments\"&amp;$D444),0)</f>
        <v>0</v>
      </c>
    </row>
    <row r="445" spans="4:12">
      <c r="D445" s="53"/>
      <c r="G445" s="51"/>
      <c r="H445" s="99">
        <f>IFERROR(GETPIVOTDATA("Value",TD_WEAP_RAW!$A$3,"Variable",H$2,"Escenario",H$1,"Branch","Demand Sites and Catchments\"&amp;$D445),0)</f>
        <v>0</v>
      </c>
      <c r="I445" s="99">
        <f>IFERROR(GETPIVOTDATA("Value",TD_WEAP_RAW!$A$3,"Variable",I$2,"Escenario",I$1,"Branch","Demand Sites and Catchments\"&amp;$D445),0)</f>
        <v>0</v>
      </c>
      <c r="J445" s="99">
        <f>IFERROR(GETPIVOTDATA("Value",TD_WEAP_RAW!$A$3,"Variable",J$2,"Escenario",J$1,"Branch","Demand Sites and Catchments\"&amp;$D445),0)</f>
        <v>0</v>
      </c>
      <c r="K445" s="99">
        <f>IFERROR(GETPIVOTDATA("Value",TD_WEAP_RAW!$A$3,"Variable",K$2,"Escenario",K$1,"Branch","Demand Sites and Catchments\"&amp;$D445),0)</f>
        <v>0</v>
      </c>
      <c r="L445" s="99">
        <f>IFERROR(GETPIVOTDATA("Value",TD_WEAP_RAW!$A$3,"Variable",L$2,"Escenario",L$1,"Branch","Demand Sites and Catchments\"&amp;$D445),0)</f>
        <v>0</v>
      </c>
    </row>
    <row r="446" spans="4:12">
      <c r="D446" s="53"/>
      <c r="G446" s="51"/>
      <c r="H446" s="99">
        <f>IFERROR(GETPIVOTDATA("Value",TD_WEAP_RAW!$A$3,"Variable",H$2,"Escenario",H$1,"Branch","Demand Sites and Catchments\"&amp;$D446),0)</f>
        <v>0</v>
      </c>
      <c r="I446" s="99">
        <f>IFERROR(GETPIVOTDATA("Value",TD_WEAP_RAW!$A$3,"Variable",I$2,"Escenario",I$1,"Branch","Demand Sites and Catchments\"&amp;$D446),0)</f>
        <v>0</v>
      </c>
      <c r="J446" s="99">
        <f>IFERROR(GETPIVOTDATA("Value",TD_WEAP_RAW!$A$3,"Variable",J$2,"Escenario",J$1,"Branch","Demand Sites and Catchments\"&amp;$D446),0)</f>
        <v>0</v>
      </c>
      <c r="K446" s="99">
        <f>IFERROR(GETPIVOTDATA("Value",TD_WEAP_RAW!$A$3,"Variable",K$2,"Escenario",K$1,"Branch","Demand Sites and Catchments\"&amp;$D446),0)</f>
        <v>0</v>
      </c>
      <c r="L446" s="99">
        <f>IFERROR(GETPIVOTDATA("Value",TD_WEAP_RAW!$A$3,"Variable",L$2,"Escenario",L$1,"Branch","Demand Sites and Catchments\"&amp;$D446),0)</f>
        <v>0</v>
      </c>
    </row>
    <row r="447" spans="4:12">
      <c r="D447" s="53"/>
      <c r="G447" s="51"/>
      <c r="H447" s="99">
        <f>IFERROR(GETPIVOTDATA("Value",TD_WEAP_RAW!$A$3,"Variable",H$2,"Escenario",H$1,"Branch","Demand Sites and Catchments\"&amp;$D447),0)</f>
        <v>0</v>
      </c>
      <c r="I447" s="99">
        <f>IFERROR(GETPIVOTDATA("Value",TD_WEAP_RAW!$A$3,"Variable",I$2,"Escenario",I$1,"Branch","Demand Sites and Catchments\"&amp;$D447),0)</f>
        <v>0</v>
      </c>
      <c r="J447" s="99">
        <f>IFERROR(GETPIVOTDATA("Value",TD_WEAP_RAW!$A$3,"Variable",J$2,"Escenario",J$1,"Branch","Demand Sites and Catchments\"&amp;$D447),0)</f>
        <v>0</v>
      </c>
      <c r="K447" s="99">
        <f>IFERROR(GETPIVOTDATA("Value",TD_WEAP_RAW!$A$3,"Variable",K$2,"Escenario",K$1,"Branch","Demand Sites and Catchments\"&amp;$D447),0)</f>
        <v>0</v>
      </c>
      <c r="L447" s="99">
        <f>IFERROR(GETPIVOTDATA("Value",TD_WEAP_RAW!$A$3,"Variable",L$2,"Escenario",L$1,"Branch","Demand Sites and Catchments\"&amp;$D447),0)</f>
        <v>0</v>
      </c>
    </row>
    <row r="448" spans="4:12">
      <c r="D448" s="53"/>
      <c r="G448" s="51"/>
      <c r="H448" s="99">
        <f>IFERROR(GETPIVOTDATA("Value",TD_WEAP_RAW!$A$3,"Variable",H$2,"Escenario",H$1,"Branch","Demand Sites and Catchments\"&amp;$D448),0)</f>
        <v>0</v>
      </c>
      <c r="I448" s="99">
        <f>IFERROR(GETPIVOTDATA("Value",TD_WEAP_RAW!$A$3,"Variable",I$2,"Escenario",I$1,"Branch","Demand Sites and Catchments\"&amp;$D448),0)</f>
        <v>0</v>
      </c>
      <c r="J448" s="99">
        <f>IFERROR(GETPIVOTDATA("Value",TD_WEAP_RAW!$A$3,"Variable",J$2,"Escenario",J$1,"Branch","Demand Sites and Catchments\"&amp;$D448),0)</f>
        <v>0</v>
      </c>
      <c r="K448" s="99">
        <f>IFERROR(GETPIVOTDATA("Value",TD_WEAP_RAW!$A$3,"Variable",K$2,"Escenario",K$1,"Branch","Demand Sites and Catchments\"&amp;$D448),0)</f>
        <v>0</v>
      </c>
      <c r="L448" s="99">
        <f>IFERROR(GETPIVOTDATA("Value",TD_WEAP_RAW!$A$3,"Variable",L$2,"Escenario",L$1,"Branch","Demand Sites and Catchments\"&amp;$D448),0)</f>
        <v>0</v>
      </c>
    </row>
    <row r="449" spans="4:12">
      <c r="D449" s="53"/>
      <c r="G449" s="51"/>
      <c r="H449" s="99">
        <f>IFERROR(GETPIVOTDATA("Value",TD_WEAP_RAW!$A$3,"Variable",H$2,"Escenario",H$1,"Branch","Demand Sites and Catchments\"&amp;$D449),0)</f>
        <v>0</v>
      </c>
      <c r="I449" s="99">
        <f>IFERROR(GETPIVOTDATA("Value",TD_WEAP_RAW!$A$3,"Variable",I$2,"Escenario",I$1,"Branch","Demand Sites and Catchments\"&amp;$D449),0)</f>
        <v>0</v>
      </c>
      <c r="J449" s="99">
        <f>IFERROR(GETPIVOTDATA("Value",TD_WEAP_RAW!$A$3,"Variable",J$2,"Escenario",J$1,"Branch","Demand Sites and Catchments\"&amp;$D449),0)</f>
        <v>0</v>
      </c>
      <c r="K449" s="99">
        <f>IFERROR(GETPIVOTDATA("Value",TD_WEAP_RAW!$A$3,"Variable",K$2,"Escenario",K$1,"Branch","Demand Sites and Catchments\"&amp;$D449),0)</f>
        <v>0</v>
      </c>
      <c r="L449" s="99">
        <f>IFERROR(GETPIVOTDATA("Value",TD_WEAP_RAW!$A$3,"Variable",L$2,"Escenario",L$1,"Branch","Demand Sites and Catchments\"&amp;$D449),0)</f>
        <v>0</v>
      </c>
    </row>
    <row r="450" spans="4:12">
      <c r="D450" s="53"/>
      <c r="G450" s="51"/>
      <c r="H450" s="99">
        <f>IFERROR(GETPIVOTDATA("Value",TD_WEAP_RAW!$A$3,"Variable",H$2,"Escenario",H$1,"Branch","Demand Sites and Catchments\"&amp;$D450),0)</f>
        <v>0</v>
      </c>
      <c r="I450" s="99">
        <f>IFERROR(GETPIVOTDATA("Value",TD_WEAP_RAW!$A$3,"Variable",I$2,"Escenario",I$1,"Branch","Demand Sites and Catchments\"&amp;$D450),0)</f>
        <v>0</v>
      </c>
      <c r="J450" s="99">
        <f>IFERROR(GETPIVOTDATA("Value",TD_WEAP_RAW!$A$3,"Variable",J$2,"Escenario",J$1,"Branch","Demand Sites and Catchments\"&amp;$D450),0)</f>
        <v>0</v>
      </c>
      <c r="K450" s="99">
        <f>IFERROR(GETPIVOTDATA("Value",TD_WEAP_RAW!$A$3,"Variable",K$2,"Escenario",K$1,"Branch","Demand Sites and Catchments\"&amp;$D450),0)</f>
        <v>0</v>
      </c>
      <c r="L450" s="99">
        <f>IFERROR(GETPIVOTDATA("Value",TD_WEAP_RAW!$A$3,"Variable",L$2,"Escenario",L$1,"Branch","Demand Sites and Catchments\"&amp;$D450),0)</f>
        <v>0</v>
      </c>
    </row>
    <row r="451" spans="4:12">
      <c r="D451" s="53"/>
      <c r="G451" s="51"/>
      <c r="H451" s="99">
        <f>IFERROR(GETPIVOTDATA("Value",TD_WEAP_RAW!$A$3,"Variable",H$2,"Escenario",H$1,"Branch","Demand Sites and Catchments\"&amp;$D451),0)</f>
        <v>0</v>
      </c>
      <c r="I451" s="99">
        <f>IFERROR(GETPIVOTDATA("Value",TD_WEAP_RAW!$A$3,"Variable",I$2,"Escenario",I$1,"Branch","Demand Sites and Catchments\"&amp;$D451),0)</f>
        <v>0</v>
      </c>
      <c r="J451" s="99">
        <f>IFERROR(GETPIVOTDATA("Value",TD_WEAP_RAW!$A$3,"Variable",J$2,"Escenario",J$1,"Branch","Demand Sites and Catchments\"&amp;$D451),0)</f>
        <v>0</v>
      </c>
      <c r="K451" s="99">
        <f>IFERROR(GETPIVOTDATA("Value",TD_WEAP_RAW!$A$3,"Variable",K$2,"Escenario",K$1,"Branch","Demand Sites and Catchments\"&amp;$D451),0)</f>
        <v>0</v>
      </c>
      <c r="L451" s="99">
        <f>IFERROR(GETPIVOTDATA("Value",TD_WEAP_RAW!$A$3,"Variable",L$2,"Escenario",L$1,"Branch","Demand Sites and Catchments\"&amp;$D451),0)</f>
        <v>0</v>
      </c>
    </row>
    <row r="452" spans="4:12">
      <c r="D452" s="53"/>
      <c r="G452" s="51"/>
      <c r="H452" s="99">
        <f>IFERROR(GETPIVOTDATA("Value",TD_WEAP_RAW!$A$3,"Variable",H$2,"Escenario",H$1,"Branch","Demand Sites and Catchments\"&amp;$D452),0)</f>
        <v>0</v>
      </c>
      <c r="I452" s="99">
        <f>IFERROR(GETPIVOTDATA("Value",TD_WEAP_RAW!$A$3,"Variable",I$2,"Escenario",I$1,"Branch","Demand Sites and Catchments\"&amp;$D452),0)</f>
        <v>0</v>
      </c>
      <c r="J452" s="99">
        <f>IFERROR(GETPIVOTDATA("Value",TD_WEAP_RAW!$A$3,"Variable",J$2,"Escenario",J$1,"Branch","Demand Sites and Catchments\"&amp;$D452),0)</f>
        <v>0</v>
      </c>
      <c r="K452" s="99">
        <f>IFERROR(GETPIVOTDATA("Value",TD_WEAP_RAW!$A$3,"Variable",K$2,"Escenario",K$1,"Branch","Demand Sites and Catchments\"&amp;$D452),0)</f>
        <v>0</v>
      </c>
      <c r="L452" s="99">
        <f>IFERROR(GETPIVOTDATA("Value",TD_WEAP_RAW!$A$3,"Variable",L$2,"Escenario",L$1,"Branch","Demand Sites and Catchments\"&amp;$D452),0)</f>
        <v>0</v>
      </c>
    </row>
    <row r="453" spans="4:12">
      <c r="D453" s="53"/>
      <c r="G453" s="51"/>
      <c r="H453" s="99">
        <f>IFERROR(GETPIVOTDATA("Value",TD_WEAP_RAW!$A$3,"Variable",H$2,"Escenario",H$1,"Branch","Demand Sites and Catchments\"&amp;$D453),0)</f>
        <v>0</v>
      </c>
      <c r="I453" s="99">
        <f>IFERROR(GETPIVOTDATA("Value",TD_WEAP_RAW!$A$3,"Variable",I$2,"Escenario",I$1,"Branch","Demand Sites and Catchments\"&amp;$D453),0)</f>
        <v>0</v>
      </c>
      <c r="J453" s="99">
        <f>IFERROR(GETPIVOTDATA("Value",TD_WEAP_RAW!$A$3,"Variable",J$2,"Escenario",J$1,"Branch","Demand Sites and Catchments\"&amp;$D453),0)</f>
        <v>0</v>
      </c>
      <c r="K453" s="99">
        <f>IFERROR(GETPIVOTDATA("Value",TD_WEAP_RAW!$A$3,"Variable",K$2,"Escenario",K$1,"Branch","Demand Sites and Catchments\"&amp;$D453),0)</f>
        <v>0</v>
      </c>
      <c r="L453" s="99">
        <f>IFERROR(GETPIVOTDATA("Value",TD_WEAP_RAW!$A$3,"Variable",L$2,"Escenario",L$1,"Branch","Demand Sites and Catchments\"&amp;$D453),0)</f>
        <v>0</v>
      </c>
    </row>
    <row r="454" spans="4:12">
      <c r="D454" s="53"/>
      <c r="G454" s="51"/>
      <c r="H454" s="99">
        <f>IFERROR(GETPIVOTDATA("Value",TD_WEAP_RAW!$A$3,"Variable",H$2,"Escenario",H$1,"Branch","Demand Sites and Catchments\"&amp;$D454),0)</f>
        <v>0</v>
      </c>
      <c r="I454" s="99">
        <f>IFERROR(GETPIVOTDATA("Value",TD_WEAP_RAW!$A$3,"Variable",I$2,"Escenario",I$1,"Branch","Demand Sites and Catchments\"&amp;$D454),0)</f>
        <v>0</v>
      </c>
      <c r="J454" s="99">
        <f>IFERROR(GETPIVOTDATA("Value",TD_WEAP_RAW!$A$3,"Variable",J$2,"Escenario",J$1,"Branch","Demand Sites and Catchments\"&amp;$D454),0)</f>
        <v>0</v>
      </c>
      <c r="K454" s="99">
        <f>IFERROR(GETPIVOTDATA("Value",TD_WEAP_RAW!$A$3,"Variable",K$2,"Escenario",K$1,"Branch","Demand Sites and Catchments\"&amp;$D454),0)</f>
        <v>0</v>
      </c>
      <c r="L454" s="99">
        <f>IFERROR(GETPIVOTDATA("Value",TD_WEAP_RAW!$A$3,"Variable",L$2,"Escenario",L$1,"Branch","Demand Sites and Catchments\"&amp;$D454),0)</f>
        <v>0</v>
      </c>
    </row>
    <row r="455" spans="4:12">
      <c r="D455" s="53"/>
      <c r="G455" s="51"/>
      <c r="H455" s="99">
        <f>IFERROR(GETPIVOTDATA("Value",TD_WEAP_RAW!$A$3,"Variable",H$2,"Escenario",H$1,"Branch","Demand Sites and Catchments\"&amp;$D455),0)</f>
        <v>0</v>
      </c>
      <c r="I455" s="99">
        <f>IFERROR(GETPIVOTDATA("Value",TD_WEAP_RAW!$A$3,"Variable",I$2,"Escenario",I$1,"Branch","Demand Sites and Catchments\"&amp;$D455),0)</f>
        <v>0</v>
      </c>
      <c r="J455" s="99">
        <f>IFERROR(GETPIVOTDATA("Value",TD_WEAP_RAW!$A$3,"Variable",J$2,"Escenario",J$1,"Branch","Demand Sites and Catchments\"&amp;$D455),0)</f>
        <v>0</v>
      </c>
      <c r="K455" s="99">
        <f>IFERROR(GETPIVOTDATA("Value",TD_WEAP_RAW!$A$3,"Variable",K$2,"Escenario",K$1,"Branch","Demand Sites and Catchments\"&amp;$D455),0)</f>
        <v>0</v>
      </c>
      <c r="L455" s="99">
        <f>IFERROR(GETPIVOTDATA("Value",TD_WEAP_RAW!$A$3,"Variable",L$2,"Escenario",L$1,"Branch","Demand Sites and Catchments\"&amp;$D455),0)</f>
        <v>0</v>
      </c>
    </row>
    <row r="456" spans="4:12">
      <c r="D456" s="53"/>
      <c r="G456" s="51"/>
      <c r="H456" s="99">
        <f>IFERROR(GETPIVOTDATA("Value",TD_WEAP_RAW!$A$3,"Variable",H$2,"Escenario",H$1,"Branch","Demand Sites and Catchments\"&amp;$D456),0)</f>
        <v>0</v>
      </c>
      <c r="I456" s="99">
        <f>IFERROR(GETPIVOTDATA("Value",TD_WEAP_RAW!$A$3,"Variable",I$2,"Escenario",I$1,"Branch","Demand Sites and Catchments\"&amp;$D456),0)</f>
        <v>0</v>
      </c>
      <c r="J456" s="99">
        <f>IFERROR(GETPIVOTDATA("Value",TD_WEAP_RAW!$A$3,"Variable",J$2,"Escenario",J$1,"Branch","Demand Sites and Catchments\"&amp;$D456),0)</f>
        <v>0</v>
      </c>
      <c r="K456" s="99">
        <f>IFERROR(GETPIVOTDATA("Value",TD_WEAP_RAW!$A$3,"Variable",K$2,"Escenario",K$1,"Branch","Demand Sites and Catchments\"&amp;$D456),0)</f>
        <v>0</v>
      </c>
      <c r="L456" s="99">
        <f>IFERROR(GETPIVOTDATA("Value",TD_WEAP_RAW!$A$3,"Variable",L$2,"Escenario",L$1,"Branch","Demand Sites and Catchments\"&amp;$D456),0)</f>
        <v>0</v>
      </c>
    </row>
    <row r="457" spans="4:12">
      <c r="D457" s="53"/>
      <c r="G457" s="51"/>
      <c r="H457" s="99">
        <f>IFERROR(GETPIVOTDATA("Value",TD_WEAP_RAW!$A$3,"Variable",H$2,"Escenario",H$1,"Branch","Demand Sites and Catchments\"&amp;$D457),0)</f>
        <v>0</v>
      </c>
      <c r="I457" s="99">
        <f>IFERROR(GETPIVOTDATA("Value",TD_WEAP_RAW!$A$3,"Variable",I$2,"Escenario",I$1,"Branch","Demand Sites and Catchments\"&amp;$D457),0)</f>
        <v>0</v>
      </c>
      <c r="J457" s="99">
        <f>IFERROR(GETPIVOTDATA("Value",TD_WEAP_RAW!$A$3,"Variable",J$2,"Escenario",J$1,"Branch","Demand Sites and Catchments\"&amp;$D457),0)</f>
        <v>0</v>
      </c>
      <c r="K457" s="99">
        <f>IFERROR(GETPIVOTDATA("Value",TD_WEAP_RAW!$A$3,"Variable",K$2,"Escenario",K$1,"Branch","Demand Sites and Catchments\"&amp;$D457),0)</f>
        <v>0</v>
      </c>
      <c r="L457" s="99">
        <f>IFERROR(GETPIVOTDATA("Value",TD_WEAP_RAW!$A$3,"Variable",L$2,"Escenario",L$1,"Branch","Demand Sites and Catchments\"&amp;$D457),0)</f>
        <v>0</v>
      </c>
    </row>
    <row r="458" spans="4:12">
      <c r="D458" s="53"/>
      <c r="G458" s="51"/>
      <c r="H458" s="99">
        <f>IFERROR(GETPIVOTDATA("Value",TD_WEAP_RAW!$A$3,"Variable",H$2,"Escenario",H$1,"Branch","Demand Sites and Catchments\"&amp;$D458),0)</f>
        <v>0</v>
      </c>
      <c r="I458" s="99">
        <f>IFERROR(GETPIVOTDATA("Value",TD_WEAP_RAW!$A$3,"Variable",I$2,"Escenario",I$1,"Branch","Demand Sites and Catchments\"&amp;$D458),0)</f>
        <v>0</v>
      </c>
      <c r="J458" s="99">
        <f>IFERROR(GETPIVOTDATA("Value",TD_WEAP_RAW!$A$3,"Variable",J$2,"Escenario",J$1,"Branch","Demand Sites and Catchments\"&amp;$D458),0)</f>
        <v>0</v>
      </c>
      <c r="K458" s="99">
        <f>IFERROR(GETPIVOTDATA("Value",TD_WEAP_RAW!$A$3,"Variable",K$2,"Escenario",K$1,"Branch","Demand Sites and Catchments\"&amp;$D458),0)</f>
        <v>0</v>
      </c>
      <c r="L458" s="99">
        <f>IFERROR(GETPIVOTDATA("Value",TD_WEAP_RAW!$A$3,"Variable",L$2,"Escenario",L$1,"Branch","Demand Sites and Catchments\"&amp;$D458),0)</f>
        <v>0</v>
      </c>
    </row>
    <row r="459" spans="4:12">
      <c r="D459" s="53"/>
      <c r="G459" s="51"/>
      <c r="H459" s="99">
        <f>IFERROR(GETPIVOTDATA("Value",TD_WEAP_RAW!$A$3,"Variable",H$2,"Escenario",H$1,"Branch","Demand Sites and Catchments\"&amp;$D459),0)</f>
        <v>0</v>
      </c>
      <c r="I459" s="99">
        <f>IFERROR(GETPIVOTDATA("Value",TD_WEAP_RAW!$A$3,"Variable",I$2,"Escenario",I$1,"Branch","Demand Sites and Catchments\"&amp;$D459),0)</f>
        <v>0</v>
      </c>
      <c r="J459" s="99">
        <f>IFERROR(GETPIVOTDATA("Value",TD_WEAP_RAW!$A$3,"Variable",J$2,"Escenario",J$1,"Branch","Demand Sites and Catchments\"&amp;$D459),0)</f>
        <v>0</v>
      </c>
      <c r="K459" s="99">
        <f>IFERROR(GETPIVOTDATA("Value",TD_WEAP_RAW!$A$3,"Variable",K$2,"Escenario",K$1,"Branch","Demand Sites and Catchments\"&amp;$D459),0)</f>
        <v>0</v>
      </c>
      <c r="L459" s="99">
        <f>IFERROR(GETPIVOTDATA("Value",TD_WEAP_RAW!$A$3,"Variable",L$2,"Escenario",L$1,"Branch","Demand Sites and Catchments\"&amp;$D459),0)</f>
        <v>0</v>
      </c>
    </row>
    <row r="460" spans="4:12">
      <c r="D460" s="53"/>
      <c r="G460" s="51"/>
      <c r="H460" s="99">
        <f>IFERROR(GETPIVOTDATA("Value",TD_WEAP_RAW!$A$3,"Variable",H$2,"Escenario",H$1,"Branch","Demand Sites and Catchments\"&amp;$D460),0)</f>
        <v>0</v>
      </c>
      <c r="I460" s="99">
        <f>IFERROR(GETPIVOTDATA("Value",TD_WEAP_RAW!$A$3,"Variable",I$2,"Escenario",I$1,"Branch","Demand Sites and Catchments\"&amp;$D460),0)</f>
        <v>0</v>
      </c>
      <c r="J460" s="99">
        <f>IFERROR(GETPIVOTDATA("Value",TD_WEAP_RAW!$A$3,"Variable",J$2,"Escenario",J$1,"Branch","Demand Sites and Catchments\"&amp;$D460),0)</f>
        <v>0</v>
      </c>
      <c r="K460" s="99">
        <f>IFERROR(GETPIVOTDATA("Value",TD_WEAP_RAW!$A$3,"Variable",K$2,"Escenario",K$1,"Branch","Demand Sites and Catchments\"&amp;$D460),0)</f>
        <v>0</v>
      </c>
      <c r="L460" s="99">
        <f>IFERROR(GETPIVOTDATA("Value",TD_WEAP_RAW!$A$3,"Variable",L$2,"Escenario",L$1,"Branch","Demand Sites and Catchments\"&amp;$D460),0)</f>
        <v>0</v>
      </c>
    </row>
    <row r="461" spans="4:12">
      <c r="D461" s="53"/>
      <c r="G461" s="51"/>
      <c r="H461" s="99">
        <f>IFERROR(GETPIVOTDATA("Value",TD_WEAP_RAW!$A$3,"Variable",H$2,"Escenario",H$1,"Branch","Demand Sites and Catchments\"&amp;$D461),0)</f>
        <v>0</v>
      </c>
      <c r="I461" s="99">
        <f>IFERROR(GETPIVOTDATA("Value",TD_WEAP_RAW!$A$3,"Variable",I$2,"Escenario",I$1,"Branch","Demand Sites and Catchments\"&amp;$D461),0)</f>
        <v>0</v>
      </c>
      <c r="J461" s="99">
        <f>IFERROR(GETPIVOTDATA("Value",TD_WEAP_RAW!$A$3,"Variable",J$2,"Escenario",J$1,"Branch","Demand Sites and Catchments\"&amp;$D461),0)</f>
        <v>0</v>
      </c>
      <c r="K461" s="99">
        <f>IFERROR(GETPIVOTDATA("Value",TD_WEAP_RAW!$A$3,"Variable",K$2,"Escenario",K$1,"Branch","Demand Sites and Catchments\"&amp;$D461),0)</f>
        <v>0</v>
      </c>
      <c r="L461" s="99">
        <f>IFERROR(GETPIVOTDATA("Value",TD_WEAP_RAW!$A$3,"Variable",L$2,"Escenario",L$1,"Branch","Demand Sites and Catchments\"&amp;$D461),0)</f>
        <v>0</v>
      </c>
    </row>
    <row r="462" spans="4:12">
      <c r="D462" s="53"/>
      <c r="G462" s="51"/>
      <c r="H462" s="99">
        <f>IFERROR(GETPIVOTDATA("Value",TD_WEAP_RAW!$A$3,"Variable",H$2,"Escenario",H$1,"Branch","Demand Sites and Catchments\"&amp;$D462),0)</f>
        <v>0</v>
      </c>
      <c r="I462" s="99">
        <f>IFERROR(GETPIVOTDATA("Value",TD_WEAP_RAW!$A$3,"Variable",I$2,"Escenario",I$1,"Branch","Demand Sites and Catchments\"&amp;$D462),0)</f>
        <v>0</v>
      </c>
      <c r="J462" s="99">
        <f>IFERROR(GETPIVOTDATA("Value",TD_WEAP_RAW!$A$3,"Variable",J$2,"Escenario",J$1,"Branch","Demand Sites and Catchments\"&amp;$D462),0)</f>
        <v>0</v>
      </c>
      <c r="K462" s="99">
        <f>IFERROR(GETPIVOTDATA("Value",TD_WEAP_RAW!$A$3,"Variable",K$2,"Escenario",K$1,"Branch","Demand Sites and Catchments\"&amp;$D462),0)</f>
        <v>0</v>
      </c>
      <c r="L462" s="99">
        <f>IFERROR(GETPIVOTDATA("Value",TD_WEAP_RAW!$A$3,"Variable",L$2,"Escenario",L$1,"Branch","Demand Sites and Catchments\"&amp;$D462),0)</f>
        <v>0</v>
      </c>
    </row>
    <row r="463" spans="4:12">
      <c r="D463" s="53"/>
      <c r="G463" s="51"/>
      <c r="H463" s="99">
        <f>IFERROR(GETPIVOTDATA("Value",TD_WEAP_RAW!$A$3,"Variable",H$2,"Escenario",H$1,"Branch","Demand Sites and Catchments\"&amp;$D463),0)</f>
        <v>0</v>
      </c>
      <c r="I463" s="99">
        <f>IFERROR(GETPIVOTDATA("Value",TD_WEAP_RAW!$A$3,"Variable",I$2,"Escenario",I$1,"Branch","Demand Sites and Catchments\"&amp;$D463),0)</f>
        <v>0</v>
      </c>
      <c r="J463" s="99">
        <f>IFERROR(GETPIVOTDATA("Value",TD_WEAP_RAW!$A$3,"Variable",J$2,"Escenario",J$1,"Branch","Demand Sites and Catchments\"&amp;$D463),0)</f>
        <v>0</v>
      </c>
      <c r="K463" s="99">
        <f>IFERROR(GETPIVOTDATA("Value",TD_WEAP_RAW!$A$3,"Variable",K$2,"Escenario",K$1,"Branch","Demand Sites and Catchments\"&amp;$D463),0)</f>
        <v>0</v>
      </c>
      <c r="L463" s="99">
        <f>IFERROR(GETPIVOTDATA("Value",TD_WEAP_RAW!$A$3,"Variable",L$2,"Escenario",L$1,"Branch","Demand Sites and Catchments\"&amp;$D463),0)</f>
        <v>0</v>
      </c>
    </row>
    <row r="464" spans="4:12">
      <c r="D464" s="53"/>
      <c r="G464" s="51"/>
      <c r="H464" s="99">
        <f>IFERROR(GETPIVOTDATA("Value",TD_WEAP_RAW!$A$3,"Variable",H$2,"Escenario",H$1,"Branch","Demand Sites and Catchments\"&amp;$D464),0)</f>
        <v>0</v>
      </c>
      <c r="I464" s="99">
        <f>IFERROR(GETPIVOTDATA("Value",TD_WEAP_RAW!$A$3,"Variable",I$2,"Escenario",I$1,"Branch","Demand Sites and Catchments\"&amp;$D464),0)</f>
        <v>0</v>
      </c>
      <c r="J464" s="99">
        <f>IFERROR(GETPIVOTDATA("Value",TD_WEAP_RAW!$A$3,"Variable",J$2,"Escenario",J$1,"Branch","Demand Sites and Catchments\"&amp;$D464),0)</f>
        <v>0</v>
      </c>
      <c r="K464" s="99">
        <f>IFERROR(GETPIVOTDATA("Value",TD_WEAP_RAW!$A$3,"Variable",K$2,"Escenario",K$1,"Branch","Demand Sites and Catchments\"&amp;$D464),0)</f>
        <v>0</v>
      </c>
      <c r="L464" s="99">
        <f>IFERROR(GETPIVOTDATA("Value",TD_WEAP_RAW!$A$3,"Variable",L$2,"Escenario",L$1,"Branch","Demand Sites and Catchments\"&amp;$D464),0)</f>
        <v>0</v>
      </c>
    </row>
    <row r="465" spans="4:12">
      <c r="D465" s="53"/>
      <c r="G465" s="51"/>
      <c r="H465" s="99">
        <f>IFERROR(GETPIVOTDATA("Value",TD_WEAP_RAW!$A$3,"Variable",H$2,"Escenario",H$1,"Branch","Demand Sites and Catchments\"&amp;$D465),0)</f>
        <v>0</v>
      </c>
      <c r="I465" s="99">
        <f>IFERROR(GETPIVOTDATA("Value",TD_WEAP_RAW!$A$3,"Variable",I$2,"Escenario",I$1,"Branch","Demand Sites and Catchments\"&amp;$D465),0)</f>
        <v>0</v>
      </c>
      <c r="J465" s="99">
        <f>IFERROR(GETPIVOTDATA("Value",TD_WEAP_RAW!$A$3,"Variable",J$2,"Escenario",J$1,"Branch","Demand Sites and Catchments\"&amp;$D465),0)</f>
        <v>0</v>
      </c>
      <c r="K465" s="99">
        <f>IFERROR(GETPIVOTDATA("Value",TD_WEAP_RAW!$A$3,"Variable",K$2,"Escenario",K$1,"Branch","Demand Sites and Catchments\"&amp;$D465),0)</f>
        <v>0</v>
      </c>
      <c r="L465" s="99">
        <f>IFERROR(GETPIVOTDATA("Value",TD_WEAP_RAW!$A$3,"Variable",L$2,"Escenario",L$1,"Branch","Demand Sites and Catchments\"&amp;$D465),0)</f>
        <v>0</v>
      </c>
    </row>
    <row r="466" spans="4:12">
      <c r="D466" s="53"/>
      <c r="G466" s="51"/>
      <c r="H466" s="99">
        <f>IFERROR(GETPIVOTDATA("Value",TD_WEAP_RAW!$A$3,"Variable",H$2,"Escenario",H$1,"Branch","Demand Sites and Catchments\"&amp;$D466),0)</f>
        <v>0</v>
      </c>
      <c r="I466" s="99">
        <f>IFERROR(GETPIVOTDATA("Value",TD_WEAP_RAW!$A$3,"Variable",I$2,"Escenario",I$1,"Branch","Demand Sites and Catchments\"&amp;$D466),0)</f>
        <v>0</v>
      </c>
      <c r="J466" s="99">
        <f>IFERROR(GETPIVOTDATA("Value",TD_WEAP_RAW!$A$3,"Variable",J$2,"Escenario",J$1,"Branch","Demand Sites and Catchments\"&amp;$D466),0)</f>
        <v>0</v>
      </c>
      <c r="K466" s="99">
        <f>IFERROR(GETPIVOTDATA("Value",TD_WEAP_RAW!$A$3,"Variable",K$2,"Escenario",K$1,"Branch","Demand Sites and Catchments\"&amp;$D466),0)</f>
        <v>0</v>
      </c>
      <c r="L466" s="99">
        <f>IFERROR(GETPIVOTDATA("Value",TD_WEAP_RAW!$A$3,"Variable",L$2,"Escenario",L$1,"Branch","Demand Sites and Catchments\"&amp;$D466),0)</f>
        <v>0</v>
      </c>
    </row>
    <row r="467" spans="4:12">
      <c r="D467" s="53"/>
      <c r="G467" s="51"/>
      <c r="H467" s="99">
        <f>IFERROR(GETPIVOTDATA("Value",TD_WEAP_RAW!$A$3,"Variable",H$2,"Escenario",H$1,"Branch","Demand Sites and Catchments\"&amp;$D467),0)</f>
        <v>0</v>
      </c>
      <c r="I467" s="99">
        <f>IFERROR(GETPIVOTDATA("Value",TD_WEAP_RAW!$A$3,"Variable",I$2,"Escenario",I$1,"Branch","Demand Sites and Catchments\"&amp;$D467),0)</f>
        <v>0</v>
      </c>
      <c r="J467" s="99">
        <f>IFERROR(GETPIVOTDATA("Value",TD_WEAP_RAW!$A$3,"Variable",J$2,"Escenario",J$1,"Branch","Demand Sites and Catchments\"&amp;$D467),0)</f>
        <v>0</v>
      </c>
      <c r="K467" s="99">
        <f>IFERROR(GETPIVOTDATA("Value",TD_WEAP_RAW!$A$3,"Variable",K$2,"Escenario",K$1,"Branch","Demand Sites and Catchments\"&amp;$D467),0)</f>
        <v>0</v>
      </c>
      <c r="L467" s="99">
        <f>IFERROR(GETPIVOTDATA("Value",TD_WEAP_RAW!$A$3,"Variable",L$2,"Escenario",L$1,"Branch","Demand Sites and Catchments\"&amp;$D467),0)</f>
        <v>0</v>
      </c>
    </row>
    <row r="468" spans="4:12">
      <c r="D468" s="53"/>
      <c r="G468" s="51"/>
      <c r="H468" s="99">
        <f>IFERROR(GETPIVOTDATA("Value",TD_WEAP_RAW!$A$3,"Variable",H$2,"Escenario",H$1,"Branch","Demand Sites and Catchments\"&amp;$D468),0)</f>
        <v>0</v>
      </c>
      <c r="I468" s="99">
        <f>IFERROR(GETPIVOTDATA("Value",TD_WEAP_RAW!$A$3,"Variable",I$2,"Escenario",I$1,"Branch","Demand Sites and Catchments\"&amp;$D468),0)</f>
        <v>0</v>
      </c>
      <c r="J468" s="99">
        <f>IFERROR(GETPIVOTDATA("Value",TD_WEAP_RAW!$A$3,"Variable",J$2,"Escenario",J$1,"Branch","Demand Sites and Catchments\"&amp;$D468),0)</f>
        <v>0</v>
      </c>
      <c r="K468" s="99">
        <f>IFERROR(GETPIVOTDATA("Value",TD_WEAP_RAW!$A$3,"Variable",K$2,"Escenario",K$1,"Branch","Demand Sites and Catchments\"&amp;$D468),0)</f>
        <v>0</v>
      </c>
      <c r="L468" s="99">
        <f>IFERROR(GETPIVOTDATA("Value",TD_WEAP_RAW!$A$3,"Variable",L$2,"Escenario",L$1,"Branch","Demand Sites and Catchments\"&amp;$D468),0)</f>
        <v>0</v>
      </c>
    </row>
    <row r="469" spans="4:12">
      <c r="D469" s="53"/>
      <c r="G469" s="51"/>
      <c r="H469" s="99">
        <f>IFERROR(GETPIVOTDATA("Value",TD_WEAP_RAW!$A$3,"Variable",H$2,"Escenario",H$1,"Branch","Demand Sites and Catchments\"&amp;$D469),0)</f>
        <v>0</v>
      </c>
      <c r="I469" s="99">
        <f>IFERROR(GETPIVOTDATA("Value",TD_WEAP_RAW!$A$3,"Variable",I$2,"Escenario",I$1,"Branch","Demand Sites and Catchments\"&amp;$D469),0)</f>
        <v>0</v>
      </c>
      <c r="J469" s="99">
        <f>IFERROR(GETPIVOTDATA("Value",TD_WEAP_RAW!$A$3,"Variable",J$2,"Escenario",J$1,"Branch","Demand Sites and Catchments\"&amp;$D469),0)</f>
        <v>0</v>
      </c>
      <c r="K469" s="99">
        <f>IFERROR(GETPIVOTDATA("Value",TD_WEAP_RAW!$A$3,"Variable",K$2,"Escenario",K$1,"Branch","Demand Sites and Catchments\"&amp;$D469),0)</f>
        <v>0</v>
      </c>
      <c r="L469" s="99">
        <f>IFERROR(GETPIVOTDATA("Value",TD_WEAP_RAW!$A$3,"Variable",L$2,"Escenario",L$1,"Branch","Demand Sites and Catchments\"&amp;$D469),0)</f>
        <v>0</v>
      </c>
    </row>
    <row r="470" spans="4:12">
      <c r="D470" s="53"/>
      <c r="G470" s="51"/>
      <c r="H470" s="99">
        <f>IFERROR(GETPIVOTDATA("Value",TD_WEAP_RAW!$A$3,"Variable",H$2,"Escenario",H$1,"Branch","Demand Sites and Catchments\"&amp;$D470),0)</f>
        <v>0</v>
      </c>
      <c r="I470" s="99">
        <f>IFERROR(GETPIVOTDATA("Value",TD_WEAP_RAW!$A$3,"Variable",I$2,"Escenario",I$1,"Branch","Demand Sites and Catchments\"&amp;$D470),0)</f>
        <v>0</v>
      </c>
      <c r="J470" s="99">
        <f>IFERROR(GETPIVOTDATA("Value",TD_WEAP_RAW!$A$3,"Variable",J$2,"Escenario",J$1,"Branch","Demand Sites and Catchments\"&amp;$D470),0)</f>
        <v>0</v>
      </c>
      <c r="K470" s="99">
        <f>IFERROR(GETPIVOTDATA("Value",TD_WEAP_RAW!$A$3,"Variable",K$2,"Escenario",K$1,"Branch","Demand Sites and Catchments\"&amp;$D470),0)</f>
        <v>0</v>
      </c>
      <c r="L470" s="99">
        <f>IFERROR(GETPIVOTDATA("Value",TD_WEAP_RAW!$A$3,"Variable",L$2,"Escenario",L$1,"Branch","Demand Sites and Catchments\"&amp;$D470),0)</f>
        <v>0</v>
      </c>
    </row>
    <row r="471" spans="4:12">
      <c r="D471" s="53"/>
      <c r="G471" s="51"/>
      <c r="H471" s="99">
        <f>IFERROR(GETPIVOTDATA("Value",TD_WEAP_RAW!$A$3,"Variable",H$2,"Escenario",H$1,"Branch","Demand Sites and Catchments\"&amp;$D471),0)</f>
        <v>0</v>
      </c>
      <c r="I471" s="99">
        <f>IFERROR(GETPIVOTDATA("Value",TD_WEAP_RAW!$A$3,"Variable",I$2,"Escenario",I$1,"Branch","Demand Sites and Catchments\"&amp;$D471),0)</f>
        <v>0</v>
      </c>
      <c r="J471" s="99">
        <f>IFERROR(GETPIVOTDATA("Value",TD_WEAP_RAW!$A$3,"Variable",J$2,"Escenario",J$1,"Branch","Demand Sites and Catchments\"&amp;$D471),0)</f>
        <v>0</v>
      </c>
      <c r="K471" s="99">
        <f>IFERROR(GETPIVOTDATA("Value",TD_WEAP_RAW!$A$3,"Variable",K$2,"Escenario",K$1,"Branch","Demand Sites and Catchments\"&amp;$D471),0)</f>
        <v>0</v>
      </c>
      <c r="L471" s="99">
        <f>IFERROR(GETPIVOTDATA("Value",TD_WEAP_RAW!$A$3,"Variable",L$2,"Escenario",L$1,"Branch","Demand Sites and Catchments\"&amp;$D471),0)</f>
        <v>0</v>
      </c>
    </row>
    <row r="472" spans="4:12">
      <c r="D472" s="53"/>
      <c r="G472" s="51"/>
      <c r="H472" s="99">
        <f>IFERROR(GETPIVOTDATA("Value",TD_WEAP_RAW!$A$3,"Variable",H$2,"Escenario",H$1,"Branch","Demand Sites and Catchments\"&amp;$D472),0)</f>
        <v>0</v>
      </c>
      <c r="I472" s="99">
        <f>IFERROR(GETPIVOTDATA("Value",TD_WEAP_RAW!$A$3,"Variable",I$2,"Escenario",I$1,"Branch","Demand Sites and Catchments\"&amp;$D472),0)</f>
        <v>0</v>
      </c>
      <c r="J472" s="99">
        <f>IFERROR(GETPIVOTDATA("Value",TD_WEAP_RAW!$A$3,"Variable",J$2,"Escenario",J$1,"Branch","Demand Sites and Catchments\"&amp;$D472),0)</f>
        <v>0</v>
      </c>
      <c r="K472" s="99">
        <f>IFERROR(GETPIVOTDATA("Value",TD_WEAP_RAW!$A$3,"Variable",K$2,"Escenario",K$1,"Branch","Demand Sites and Catchments\"&amp;$D472),0)</f>
        <v>0</v>
      </c>
      <c r="L472" s="99">
        <f>IFERROR(GETPIVOTDATA("Value",TD_WEAP_RAW!$A$3,"Variable",L$2,"Escenario",L$1,"Branch","Demand Sites and Catchments\"&amp;$D472),0)</f>
        <v>0</v>
      </c>
    </row>
    <row r="473" spans="4:12">
      <c r="D473" s="53"/>
      <c r="G473" s="51"/>
      <c r="H473" s="99">
        <f>IFERROR(GETPIVOTDATA("Value",TD_WEAP_RAW!$A$3,"Variable",H$2,"Escenario",H$1,"Branch","Demand Sites and Catchments\"&amp;$D473),0)</f>
        <v>0</v>
      </c>
      <c r="I473" s="99">
        <f>IFERROR(GETPIVOTDATA("Value",TD_WEAP_RAW!$A$3,"Variable",I$2,"Escenario",I$1,"Branch","Demand Sites and Catchments\"&amp;$D473),0)</f>
        <v>0</v>
      </c>
      <c r="J473" s="99">
        <f>IFERROR(GETPIVOTDATA("Value",TD_WEAP_RAW!$A$3,"Variable",J$2,"Escenario",J$1,"Branch","Demand Sites and Catchments\"&amp;$D473),0)</f>
        <v>0</v>
      </c>
      <c r="K473" s="99">
        <f>IFERROR(GETPIVOTDATA("Value",TD_WEAP_RAW!$A$3,"Variable",K$2,"Escenario",K$1,"Branch","Demand Sites and Catchments\"&amp;$D473),0)</f>
        <v>0</v>
      </c>
      <c r="L473" s="99">
        <f>IFERROR(GETPIVOTDATA("Value",TD_WEAP_RAW!$A$3,"Variable",L$2,"Escenario",L$1,"Branch","Demand Sites and Catchments\"&amp;$D473),0)</f>
        <v>0</v>
      </c>
    </row>
    <row r="474" spans="4:12">
      <c r="D474" s="53"/>
      <c r="G474" s="51"/>
      <c r="H474" s="99">
        <f>IFERROR(GETPIVOTDATA("Value",TD_WEAP_RAW!$A$3,"Variable",H$2,"Escenario",H$1,"Branch","Demand Sites and Catchments\"&amp;$D474),0)</f>
        <v>0</v>
      </c>
      <c r="I474" s="99">
        <f>IFERROR(GETPIVOTDATA("Value",TD_WEAP_RAW!$A$3,"Variable",I$2,"Escenario",I$1,"Branch","Demand Sites and Catchments\"&amp;$D474),0)</f>
        <v>0</v>
      </c>
      <c r="J474" s="99">
        <f>IFERROR(GETPIVOTDATA("Value",TD_WEAP_RAW!$A$3,"Variable",J$2,"Escenario",J$1,"Branch","Demand Sites and Catchments\"&amp;$D474),0)</f>
        <v>0</v>
      </c>
      <c r="K474" s="99">
        <f>IFERROR(GETPIVOTDATA("Value",TD_WEAP_RAW!$A$3,"Variable",K$2,"Escenario",K$1,"Branch","Demand Sites and Catchments\"&amp;$D474),0)</f>
        <v>0</v>
      </c>
      <c r="L474" s="99">
        <f>IFERROR(GETPIVOTDATA("Value",TD_WEAP_RAW!$A$3,"Variable",L$2,"Escenario",L$1,"Branch","Demand Sites and Catchments\"&amp;$D474),0)</f>
        <v>0</v>
      </c>
    </row>
    <row r="475" spans="4:12">
      <c r="D475" s="53"/>
      <c r="G475" s="51"/>
      <c r="H475" s="99">
        <f>IFERROR(GETPIVOTDATA("Value",TD_WEAP_RAW!$A$3,"Variable",H$2,"Escenario",H$1,"Branch","Demand Sites and Catchments\"&amp;$D475),0)</f>
        <v>0</v>
      </c>
      <c r="I475" s="99">
        <f>IFERROR(GETPIVOTDATA("Value",TD_WEAP_RAW!$A$3,"Variable",I$2,"Escenario",I$1,"Branch","Demand Sites and Catchments\"&amp;$D475),0)</f>
        <v>0</v>
      </c>
      <c r="J475" s="99">
        <f>IFERROR(GETPIVOTDATA("Value",TD_WEAP_RAW!$A$3,"Variable",J$2,"Escenario",J$1,"Branch","Demand Sites and Catchments\"&amp;$D475),0)</f>
        <v>0</v>
      </c>
      <c r="K475" s="99">
        <f>IFERROR(GETPIVOTDATA("Value",TD_WEAP_RAW!$A$3,"Variable",K$2,"Escenario",K$1,"Branch","Demand Sites and Catchments\"&amp;$D475),0)</f>
        <v>0</v>
      </c>
      <c r="L475" s="99">
        <f>IFERROR(GETPIVOTDATA("Value",TD_WEAP_RAW!$A$3,"Variable",L$2,"Escenario",L$1,"Branch","Demand Sites and Catchments\"&amp;$D475),0)</f>
        <v>0</v>
      </c>
    </row>
    <row r="476" spans="4:12">
      <c r="D476" s="53"/>
      <c r="G476" s="51"/>
      <c r="H476" s="99">
        <f>IFERROR(GETPIVOTDATA("Value",TD_WEAP_RAW!$A$3,"Variable",H$2,"Escenario",H$1,"Branch","Demand Sites and Catchments\"&amp;$D476),0)</f>
        <v>0</v>
      </c>
      <c r="I476" s="99">
        <f>IFERROR(GETPIVOTDATA("Value",TD_WEAP_RAW!$A$3,"Variable",I$2,"Escenario",I$1,"Branch","Demand Sites and Catchments\"&amp;$D476),0)</f>
        <v>0</v>
      </c>
      <c r="J476" s="99">
        <f>IFERROR(GETPIVOTDATA("Value",TD_WEAP_RAW!$A$3,"Variable",J$2,"Escenario",J$1,"Branch","Demand Sites and Catchments\"&amp;$D476),0)</f>
        <v>0</v>
      </c>
      <c r="K476" s="99">
        <f>IFERROR(GETPIVOTDATA("Value",TD_WEAP_RAW!$A$3,"Variable",K$2,"Escenario",K$1,"Branch","Demand Sites and Catchments\"&amp;$D476),0)</f>
        <v>0</v>
      </c>
      <c r="L476" s="99">
        <f>IFERROR(GETPIVOTDATA("Value",TD_WEAP_RAW!$A$3,"Variable",L$2,"Escenario",L$1,"Branch","Demand Sites and Catchments\"&amp;$D476),0)</f>
        <v>0</v>
      </c>
    </row>
    <row r="477" spans="4:12">
      <c r="D477" s="53"/>
      <c r="G477" s="51"/>
      <c r="H477" s="99">
        <f>IFERROR(GETPIVOTDATA("Value",TD_WEAP_RAW!$A$3,"Variable",H$2,"Escenario",H$1,"Branch","Demand Sites and Catchments\"&amp;$D477),0)</f>
        <v>0</v>
      </c>
      <c r="I477" s="99">
        <f>IFERROR(GETPIVOTDATA("Value",TD_WEAP_RAW!$A$3,"Variable",I$2,"Escenario",I$1,"Branch","Demand Sites and Catchments\"&amp;$D477),0)</f>
        <v>0</v>
      </c>
      <c r="J477" s="99">
        <f>IFERROR(GETPIVOTDATA("Value",TD_WEAP_RAW!$A$3,"Variable",J$2,"Escenario",J$1,"Branch","Demand Sites and Catchments\"&amp;$D477),0)</f>
        <v>0</v>
      </c>
      <c r="K477" s="99">
        <f>IFERROR(GETPIVOTDATA("Value",TD_WEAP_RAW!$A$3,"Variable",K$2,"Escenario",K$1,"Branch","Demand Sites and Catchments\"&amp;$D477),0)</f>
        <v>0</v>
      </c>
      <c r="L477" s="99">
        <f>IFERROR(GETPIVOTDATA("Value",TD_WEAP_RAW!$A$3,"Variable",L$2,"Escenario",L$1,"Branch","Demand Sites and Catchments\"&amp;$D477),0)</f>
        <v>0</v>
      </c>
    </row>
    <row r="478" spans="4:12">
      <c r="D478" s="53"/>
      <c r="G478" s="51"/>
      <c r="H478" s="99">
        <f>IFERROR(GETPIVOTDATA("Value",TD_WEAP_RAW!$A$3,"Variable",H$2,"Escenario",H$1,"Branch","Demand Sites and Catchments\"&amp;$D478),0)</f>
        <v>0</v>
      </c>
      <c r="I478" s="99">
        <f>IFERROR(GETPIVOTDATA("Value",TD_WEAP_RAW!$A$3,"Variable",I$2,"Escenario",I$1,"Branch","Demand Sites and Catchments\"&amp;$D478),0)</f>
        <v>0</v>
      </c>
      <c r="J478" s="99">
        <f>IFERROR(GETPIVOTDATA("Value",TD_WEAP_RAW!$A$3,"Variable",J$2,"Escenario",J$1,"Branch","Demand Sites and Catchments\"&amp;$D478),0)</f>
        <v>0</v>
      </c>
      <c r="K478" s="99">
        <f>IFERROR(GETPIVOTDATA("Value",TD_WEAP_RAW!$A$3,"Variable",K$2,"Escenario",K$1,"Branch","Demand Sites and Catchments\"&amp;$D478),0)</f>
        <v>0</v>
      </c>
      <c r="L478" s="99">
        <f>IFERROR(GETPIVOTDATA("Value",TD_WEAP_RAW!$A$3,"Variable",L$2,"Escenario",L$1,"Branch","Demand Sites and Catchments\"&amp;$D478),0)</f>
        <v>0</v>
      </c>
    </row>
    <row r="479" spans="4:12">
      <c r="D479" s="53"/>
      <c r="G479" s="51"/>
      <c r="H479" s="99">
        <f>IFERROR(GETPIVOTDATA("Value",TD_WEAP_RAW!$A$3,"Variable",H$2,"Escenario",H$1,"Branch","Demand Sites and Catchments\"&amp;$D479),0)</f>
        <v>0</v>
      </c>
      <c r="I479" s="99">
        <f>IFERROR(GETPIVOTDATA("Value",TD_WEAP_RAW!$A$3,"Variable",I$2,"Escenario",I$1,"Branch","Demand Sites and Catchments\"&amp;$D479),0)</f>
        <v>0</v>
      </c>
      <c r="J479" s="99">
        <f>IFERROR(GETPIVOTDATA("Value",TD_WEAP_RAW!$A$3,"Variable",J$2,"Escenario",J$1,"Branch","Demand Sites and Catchments\"&amp;$D479),0)</f>
        <v>0</v>
      </c>
      <c r="K479" s="99">
        <f>IFERROR(GETPIVOTDATA("Value",TD_WEAP_RAW!$A$3,"Variable",K$2,"Escenario",K$1,"Branch","Demand Sites and Catchments\"&amp;$D479),0)</f>
        <v>0</v>
      </c>
      <c r="L479" s="99">
        <f>IFERROR(GETPIVOTDATA("Value",TD_WEAP_RAW!$A$3,"Variable",L$2,"Escenario",L$1,"Branch","Demand Sites and Catchments\"&amp;$D479),0)</f>
        <v>0</v>
      </c>
    </row>
    <row r="480" spans="4:12">
      <c r="D480" s="53"/>
      <c r="G480" s="51"/>
      <c r="H480" s="99">
        <f>IFERROR(GETPIVOTDATA("Value",TD_WEAP_RAW!$A$3,"Variable",H$2,"Escenario",H$1,"Branch","Demand Sites and Catchments\"&amp;$D480),0)</f>
        <v>0</v>
      </c>
      <c r="I480" s="99">
        <f>IFERROR(GETPIVOTDATA("Value",TD_WEAP_RAW!$A$3,"Variable",I$2,"Escenario",I$1,"Branch","Demand Sites and Catchments\"&amp;$D480),0)</f>
        <v>0</v>
      </c>
      <c r="J480" s="99">
        <f>IFERROR(GETPIVOTDATA("Value",TD_WEAP_RAW!$A$3,"Variable",J$2,"Escenario",J$1,"Branch","Demand Sites and Catchments\"&amp;$D480),0)</f>
        <v>0</v>
      </c>
      <c r="K480" s="99">
        <f>IFERROR(GETPIVOTDATA("Value",TD_WEAP_RAW!$A$3,"Variable",K$2,"Escenario",K$1,"Branch","Demand Sites and Catchments\"&amp;$D480),0)</f>
        <v>0</v>
      </c>
      <c r="L480" s="99">
        <f>IFERROR(GETPIVOTDATA("Value",TD_WEAP_RAW!$A$3,"Variable",L$2,"Escenario",L$1,"Branch","Demand Sites and Catchments\"&amp;$D480),0)</f>
        <v>0</v>
      </c>
    </row>
    <row r="481" spans="4:12">
      <c r="D481" s="53"/>
      <c r="G481" s="51"/>
      <c r="H481" s="99">
        <f>IFERROR(GETPIVOTDATA("Value",TD_WEAP_RAW!$A$3,"Variable",H$2,"Escenario",H$1,"Branch","Demand Sites and Catchments\"&amp;$D481),0)</f>
        <v>0</v>
      </c>
      <c r="I481" s="99">
        <f>IFERROR(GETPIVOTDATA("Value",TD_WEAP_RAW!$A$3,"Variable",I$2,"Escenario",I$1,"Branch","Demand Sites and Catchments\"&amp;$D481),0)</f>
        <v>0</v>
      </c>
      <c r="J481" s="99">
        <f>IFERROR(GETPIVOTDATA("Value",TD_WEAP_RAW!$A$3,"Variable",J$2,"Escenario",J$1,"Branch","Demand Sites and Catchments\"&amp;$D481),0)</f>
        <v>0</v>
      </c>
      <c r="K481" s="99">
        <f>IFERROR(GETPIVOTDATA("Value",TD_WEAP_RAW!$A$3,"Variable",K$2,"Escenario",K$1,"Branch","Demand Sites and Catchments\"&amp;$D481),0)</f>
        <v>0</v>
      </c>
      <c r="L481" s="99">
        <f>IFERROR(GETPIVOTDATA("Value",TD_WEAP_RAW!$A$3,"Variable",L$2,"Escenario",L$1,"Branch","Demand Sites and Catchments\"&amp;$D481),0)</f>
        <v>0</v>
      </c>
    </row>
    <row r="482" spans="4:12">
      <c r="D482" s="53"/>
      <c r="G482" s="51"/>
      <c r="H482" s="99">
        <f>IFERROR(GETPIVOTDATA("Value",TD_WEAP_RAW!$A$3,"Variable",H$2,"Escenario",H$1,"Branch","Demand Sites and Catchments\"&amp;$D482),0)</f>
        <v>0</v>
      </c>
      <c r="I482" s="99">
        <f>IFERROR(GETPIVOTDATA("Value",TD_WEAP_RAW!$A$3,"Variable",I$2,"Escenario",I$1,"Branch","Demand Sites and Catchments\"&amp;$D482),0)</f>
        <v>0</v>
      </c>
      <c r="J482" s="99">
        <f>IFERROR(GETPIVOTDATA("Value",TD_WEAP_RAW!$A$3,"Variable",J$2,"Escenario",J$1,"Branch","Demand Sites and Catchments\"&amp;$D482),0)</f>
        <v>0</v>
      </c>
      <c r="K482" s="99">
        <f>IFERROR(GETPIVOTDATA("Value",TD_WEAP_RAW!$A$3,"Variable",K$2,"Escenario",K$1,"Branch","Demand Sites and Catchments\"&amp;$D482),0)</f>
        <v>0</v>
      </c>
      <c r="L482" s="99">
        <f>IFERROR(GETPIVOTDATA("Value",TD_WEAP_RAW!$A$3,"Variable",L$2,"Escenario",L$1,"Branch","Demand Sites and Catchments\"&amp;$D482),0)</f>
        <v>0</v>
      </c>
    </row>
    <row r="483" spans="4:12">
      <c r="D483" s="53"/>
      <c r="G483" s="51"/>
      <c r="H483" s="99">
        <f>IFERROR(GETPIVOTDATA("Value",TD_WEAP_RAW!$A$3,"Variable",H$2,"Escenario",H$1,"Branch","Demand Sites and Catchments\"&amp;$D483),0)</f>
        <v>0</v>
      </c>
      <c r="I483" s="99">
        <f>IFERROR(GETPIVOTDATA("Value",TD_WEAP_RAW!$A$3,"Variable",I$2,"Escenario",I$1,"Branch","Demand Sites and Catchments\"&amp;$D483),0)</f>
        <v>0</v>
      </c>
      <c r="J483" s="99">
        <f>IFERROR(GETPIVOTDATA("Value",TD_WEAP_RAW!$A$3,"Variable",J$2,"Escenario",J$1,"Branch","Demand Sites and Catchments\"&amp;$D483),0)</f>
        <v>0</v>
      </c>
      <c r="K483" s="99">
        <f>IFERROR(GETPIVOTDATA("Value",TD_WEAP_RAW!$A$3,"Variable",K$2,"Escenario",K$1,"Branch","Demand Sites and Catchments\"&amp;$D483),0)</f>
        <v>0</v>
      </c>
      <c r="L483" s="99">
        <f>IFERROR(GETPIVOTDATA("Value",TD_WEAP_RAW!$A$3,"Variable",L$2,"Escenario",L$1,"Branch","Demand Sites and Catchments\"&amp;$D483),0)</f>
        <v>0</v>
      </c>
    </row>
    <row r="484" spans="4:12">
      <c r="D484" s="53"/>
      <c r="G484" s="51"/>
      <c r="H484" s="99">
        <f>IFERROR(GETPIVOTDATA("Value",TD_WEAP_RAW!$A$3,"Variable",H$2,"Escenario",H$1,"Branch","Demand Sites and Catchments\"&amp;$D484),0)</f>
        <v>0</v>
      </c>
      <c r="I484" s="99">
        <f>IFERROR(GETPIVOTDATA("Value",TD_WEAP_RAW!$A$3,"Variable",I$2,"Escenario",I$1,"Branch","Demand Sites and Catchments\"&amp;$D484),0)</f>
        <v>0</v>
      </c>
      <c r="J484" s="99">
        <f>IFERROR(GETPIVOTDATA("Value",TD_WEAP_RAW!$A$3,"Variable",J$2,"Escenario",J$1,"Branch","Demand Sites and Catchments\"&amp;$D484),0)</f>
        <v>0</v>
      </c>
      <c r="K484" s="99">
        <f>IFERROR(GETPIVOTDATA("Value",TD_WEAP_RAW!$A$3,"Variable",K$2,"Escenario",K$1,"Branch","Demand Sites and Catchments\"&amp;$D484),0)</f>
        <v>0</v>
      </c>
      <c r="L484" s="99">
        <f>IFERROR(GETPIVOTDATA("Value",TD_WEAP_RAW!$A$3,"Variable",L$2,"Escenario",L$1,"Branch","Demand Sites and Catchments\"&amp;$D484),0)</f>
        <v>0</v>
      </c>
    </row>
    <row r="485" spans="4:12">
      <c r="D485" s="53"/>
      <c r="G485" s="51"/>
      <c r="H485" s="99">
        <f>IFERROR(GETPIVOTDATA("Value",TD_WEAP_RAW!$A$3,"Variable",H$2,"Escenario",H$1,"Branch","Demand Sites and Catchments\"&amp;$D485),0)</f>
        <v>0</v>
      </c>
      <c r="I485" s="99">
        <f>IFERROR(GETPIVOTDATA("Value",TD_WEAP_RAW!$A$3,"Variable",I$2,"Escenario",I$1,"Branch","Demand Sites and Catchments\"&amp;$D485),0)</f>
        <v>0</v>
      </c>
      <c r="J485" s="99">
        <f>IFERROR(GETPIVOTDATA("Value",TD_WEAP_RAW!$A$3,"Variable",J$2,"Escenario",J$1,"Branch","Demand Sites and Catchments\"&amp;$D485),0)</f>
        <v>0</v>
      </c>
      <c r="K485" s="99">
        <f>IFERROR(GETPIVOTDATA("Value",TD_WEAP_RAW!$A$3,"Variable",K$2,"Escenario",K$1,"Branch","Demand Sites and Catchments\"&amp;$D485),0)</f>
        <v>0</v>
      </c>
      <c r="L485" s="99">
        <f>IFERROR(GETPIVOTDATA("Value",TD_WEAP_RAW!$A$3,"Variable",L$2,"Escenario",L$1,"Branch","Demand Sites and Catchments\"&amp;$D485),0)</f>
        <v>0</v>
      </c>
    </row>
    <row r="486" spans="4:12">
      <c r="D486" s="53"/>
      <c r="G486" s="51"/>
      <c r="H486" s="99">
        <f>IFERROR(GETPIVOTDATA("Value",TD_WEAP_RAW!$A$3,"Variable",H$2,"Escenario",H$1,"Branch","Demand Sites and Catchments\"&amp;$D486),0)</f>
        <v>0</v>
      </c>
      <c r="I486" s="99">
        <f>IFERROR(GETPIVOTDATA("Value",TD_WEAP_RAW!$A$3,"Variable",I$2,"Escenario",I$1,"Branch","Demand Sites and Catchments\"&amp;$D486),0)</f>
        <v>0</v>
      </c>
      <c r="J486" s="99">
        <f>IFERROR(GETPIVOTDATA("Value",TD_WEAP_RAW!$A$3,"Variable",J$2,"Escenario",J$1,"Branch","Demand Sites and Catchments\"&amp;$D486),0)</f>
        <v>0</v>
      </c>
      <c r="K486" s="99">
        <f>IFERROR(GETPIVOTDATA("Value",TD_WEAP_RAW!$A$3,"Variable",K$2,"Escenario",K$1,"Branch","Demand Sites and Catchments\"&amp;$D486),0)</f>
        <v>0</v>
      </c>
      <c r="L486" s="99">
        <f>IFERROR(GETPIVOTDATA("Value",TD_WEAP_RAW!$A$3,"Variable",L$2,"Escenario",L$1,"Branch","Demand Sites and Catchments\"&amp;$D486),0)</f>
        <v>0</v>
      </c>
    </row>
    <row r="487" spans="4:12">
      <c r="D487" s="53"/>
      <c r="G487" s="51"/>
      <c r="H487" s="99">
        <f>IFERROR(GETPIVOTDATA("Value",TD_WEAP_RAW!$A$3,"Variable",H$2,"Escenario",H$1,"Branch","Demand Sites and Catchments\"&amp;$D487),0)</f>
        <v>0</v>
      </c>
      <c r="I487" s="99">
        <f>IFERROR(GETPIVOTDATA("Value",TD_WEAP_RAW!$A$3,"Variable",I$2,"Escenario",I$1,"Branch","Demand Sites and Catchments\"&amp;$D487),0)</f>
        <v>0</v>
      </c>
      <c r="J487" s="99">
        <f>IFERROR(GETPIVOTDATA("Value",TD_WEAP_RAW!$A$3,"Variable",J$2,"Escenario",J$1,"Branch","Demand Sites and Catchments\"&amp;$D487),0)</f>
        <v>0</v>
      </c>
      <c r="K487" s="99">
        <f>IFERROR(GETPIVOTDATA("Value",TD_WEAP_RAW!$A$3,"Variable",K$2,"Escenario",K$1,"Branch","Demand Sites and Catchments\"&amp;$D487),0)</f>
        <v>0</v>
      </c>
      <c r="L487" s="99">
        <f>IFERROR(GETPIVOTDATA("Value",TD_WEAP_RAW!$A$3,"Variable",L$2,"Escenario",L$1,"Branch","Demand Sites and Catchments\"&amp;$D487),0)</f>
        <v>0</v>
      </c>
    </row>
    <row r="488" spans="4:12">
      <c r="D488" s="53"/>
      <c r="G488" s="51"/>
      <c r="H488" s="99">
        <f>IFERROR(GETPIVOTDATA("Value",TD_WEAP_RAW!$A$3,"Variable",H$2,"Escenario",H$1,"Branch","Demand Sites and Catchments\"&amp;$D488),0)</f>
        <v>0</v>
      </c>
      <c r="I488" s="99">
        <f>IFERROR(GETPIVOTDATA("Value",TD_WEAP_RAW!$A$3,"Variable",I$2,"Escenario",I$1,"Branch","Demand Sites and Catchments\"&amp;$D488),0)</f>
        <v>0</v>
      </c>
      <c r="J488" s="99">
        <f>IFERROR(GETPIVOTDATA("Value",TD_WEAP_RAW!$A$3,"Variable",J$2,"Escenario",J$1,"Branch","Demand Sites and Catchments\"&amp;$D488),0)</f>
        <v>0</v>
      </c>
      <c r="K488" s="99">
        <f>IFERROR(GETPIVOTDATA("Value",TD_WEAP_RAW!$A$3,"Variable",K$2,"Escenario",K$1,"Branch","Demand Sites and Catchments\"&amp;$D488),0)</f>
        <v>0</v>
      </c>
      <c r="L488" s="99">
        <f>IFERROR(GETPIVOTDATA("Value",TD_WEAP_RAW!$A$3,"Variable",L$2,"Escenario",L$1,"Branch","Demand Sites and Catchments\"&amp;$D488),0)</f>
        <v>0</v>
      </c>
    </row>
    <row r="489" spans="4:12">
      <c r="D489" s="53"/>
      <c r="G489" s="51"/>
      <c r="H489" s="99">
        <f>IFERROR(GETPIVOTDATA("Value",TD_WEAP_RAW!$A$3,"Variable",H$2,"Escenario",H$1,"Branch","Demand Sites and Catchments\"&amp;$D489),0)</f>
        <v>0</v>
      </c>
      <c r="I489" s="99">
        <f>IFERROR(GETPIVOTDATA("Value",TD_WEAP_RAW!$A$3,"Variable",I$2,"Escenario",I$1,"Branch","Demand Sites and Catchments\"&amp;$D489),0)</f>
        <v>0</v>
      </c>
      <c r="J489" s="99">
        <f>IFERROR(GETPIVOTDATA("Value",TD_WEAP_RAW!$A$3,"Variable",J$2,"Escenario",J$1,"Branch","Demand Sites and Catchments\"&amp;$D489),0)</f>
        <v>0</v>
      </c>
      <c r="K489" s="99">
        <f>IFERROR(GETPIVOTDATA("Value",TD_WEAP_RAW!$A$3,"Variable",K$2,"Escenario",K$1,"Branch","Demand Sites and Catchments\"&amp;$D489),0)</f>
        <v>0</v>
      </c>
      <c r="L489" s="99">
        <f>IFERROR(GETPIVOTDATA("Value",TD_WEAP_RAW!$A$3,"Variable",L$2,"Escenario",L$1,"Branch","Demand Sites and Catchments\"&amp;$D489),0)</f>
        <v>0</v>
      </c>
    </row>
    <row r="490" spans="4:12">
      <c r="D490" s="53"/>
      <c r="G490" s="51"/>
      <c r="H490" s="99">
        <f>IFERROR(GETPIVOTDATA("Value",TD_WEAP_RAW!$A$3,"Variable",H$2,"Escenario",H$1,"Branch","Demand Sites and Catchments\"&amp;$D490),0)</f>
        <v>0</v>
      </c>
      <c r="I490" s="99">
        <f>IFERROR(GETPIVOTDATA("Value",TD_WEAP_RAW!$A$3,"Variable",I$2,"Escenario",I$1,"Branch","Demand Sites and Catchments\"&amp;$D490),0)</f>
        <v>0</v>
      </c>
      <c r="J490" s="99">
        <f>IFERROR(GETPIVOTDATA("Value",TD_WEAP_RAW!$A$3,"Variable",J$2,"Escenario",J$1,"Branch","Demand Sites and Catchments\"&amp;$D490),0)</f>
        <v>0</v>
      </c>
      <c r="K490" s="99">
        <f>IFERROR(GETPIVOTDATA("Value",TD_WEAP_RAW!$A$3,"Variable",K$2,"Escenario",K$1,"Branch","Demand Sites and Catchments\"&amp;$D490),0)</f>
        <v>0</v>
      </c>
      <c r="L490" s="99">
        <f>IFERROR(GETPIVOTDATA("Value",TD_WEAP_RAW!$A$3,"Variable",L$2,"Escenario",L$1,"Branch","Demand Sites and Catchments\"&amp;$D490),0)</f>
        <v>0</v>
      </c>
    </row>
    <row r="491" spans="4:12">
      <c r="D491" s="53"/>
      <c r="G491" s="51"/>
      <c r="H491" s="99">
        <f>IFERROR(GETPIVOTDATA("Value",TD_WEAP_RAW!$A$3,"Variable",H$2,"Escenario",H$1,"Branch","Demand Sites and Catchments\"&amp;$D491),0)</f>
        <v>0</v>
      </c>
      <c r="I491" s="99">
        <f>IFERROR(GETPIVOTDATA("Value",TD_WEAP_RAW!$A$3,"Variable",I$2,"Escenario",I$1,"Branch","Demand Sites and Catchments\"&amp;$D491),0)</f>
        <v>0</v>
      </c>
      <c r="J491" s="99">
        <f>IFERROR(GETPIVOTDATA("Value",TD_WEAP_RAW!$A$3,"Variable",J$2,"Escenario",J$1,"Branch","Demand Sites and Catchments\"&amp;$D491),0)</f>
        <v>0</v>
      </c>
      <c r="K491" s="99">
        <f>IFERROR(GETPIVOTDATA("Value",TD_WEAP_RAW!$A$3,"Variable",K$2,"Escenario",K$1,"Branch","Demand Sites and Catchments\"&amp;$D491),0)</f>
        <v>0</v>
      </c>
      <c r="L491" s="99">
        <f>IFERROR(GETPIVOTDATA("Value",TD_WEAP_RAW!$A$3,"Variable",L$2,"Escenario",L$1,"Branch","Demand Sites and Catchments\"&amp;$D491),0)</f>
        <v>0</v>
      </c>
    </row>
    <row r="492" spans="4:12">
      <c r="D492" s="53"/>
      <c r="G492" s="51"/>
      <c r="H492" s="99">
        <f>IFERROR(GETPIVOTDATA("Value",TD_WEAP_RAW!$A$3,"Variable",H$2,"Escenario",H$1,"Branch","Demand Sites and Catchments\"&amp;$D492),0)</f>
        <v>0</v>
      </c>
      <c r="I492" s="99">
        <f>IFERROR(GETPIVOTDATA("Value",TD_WEAP_RAW!$A$3,"Variable",I$2,"Escenario",I$1,"Branch","Demand Sites and Catchments\"&amp;$D492),0)</f>
        <v>0</v>
      </c>
      <c r="J492" s="99">
        <f>IFERROR(GETPIVOTDATA("Value",TD_WEAP_RAW!$A$3,"Variable",J$2,"Escenario",J$1,"Branch","Demand Sites and Catchments\"&amp;$D492),0)</f>
        <v>0</v>
      </c>
      <c r="K492" s="99">
        <f>IFERROR(GETPIVOTDATA("Value",TD_WEAP_RAW!$A$3,"Variable",K$2,"Escenario",K$1,"Branch","Demand Sites and Catchments\"&amp;$D492),0)</f>
        <v>0</v>
      </c>
      <c r="L492" s="99">
        <f>IFERROR(GETPIVOTDATA("Value",TD_WEAP_RAW!$A$3,"Variable",L$2,"Escenario",L$1,"Branch","Demand Sites and Catchments\"&amp;$D492),0)</f>
        <v>0</v>
      </c>
    </row>
    <row r="493" spans="4:12">
      <c r="D493" s="53"/>
      <c r="G493" s="51"/>
      <c r="H493" s="99">
        <f>IFERROR(GETPIVOTDATA("Value",TD_WEAP_RAW!$A$3,"Variable",H$2,"Escenario",H$1,"Branch","Demand Sites and Catchments\"&amp;$D493),0)</f>
        <v>0</v>
      </c>
      <c r="I493" s="99">
        <f>IFERROR(GETPIVOTDATA("Value",TD_WEAP_RAW!$A$3,"Variable",I$2,"Escenario",I$1,"Branch","Demand Sites and Catchments\"&amp;$D493),0)</f>
        <v>0</v>
      </c>
      <c r="J493" s="99">
        <f>IFERROR(GETPIVOTDATA("Value",TD_WEAP_RAW!$A$3,"Variable",J$2,"Escenario",J$1,"Branch","Demand Sites and Catchments\"&amp;$D493),0)</f>
        <v>0</v>
      </c>
      <c r="K493" s="99">
        <f>IFERROR(GETPIVOTDATA("Value",TD_WEAP_RAW!$A$3,"Variable",K$2,"Escenario",K$1,"Branch","Demand Sites and Catchments\"&amp;$D493),0)</f>
        <v>0</v>
      </c>
      <c r="L493" s="99">
        <f>IFERROR(GETPIVOTDATA("Value",TD_WEAP_RAW!$A$3,"Variable",L$2,"Escenario",L$1,"Branch","Demand Sites and Catchments\"&amp;$D493),0)</f>
        <v>0</v>
      </c>
    </row>
    <row r="494" spans="4:12">
      <c r="D494" s="53"/>
      <c r="G494" s="51"/>
      <c r="H494" s="99">
        <f>IFERROR(GETPIVOTDATA("Value",TD_WEAP_RAW!$A$3,"Variable",H$2,"Escenario",H$1,"Branch","Demand Sites and Catchments\"&amp;$D494),0)</f>
        <v>0</v>
      </c>
      <c r="I494" s="99">
        <f>IFERROR(GETPIVOTDATA("Value",TD_WEAP_RAW!$A$3,"Variable",I$2,"Escenario",I$1,"Branch","Demand Sites and Catchments\"&amp;$D494),0)</f>
        <v>0</v>
      </c>
      <c r="J494" s="99">
        <f>IFERROR(GETPIVOTDATA("Value",TD_WEAP_RAW!$A$3,"Variable",J$2,"Escenario",J$1,"Branch","Demand Sites and Catchments\"&amp;$D494),0)</f>
        <v>0</v>
      </c>
      <c r="K494" s="99">
        <f>IFERROR(GETPIVOTDATA("Value",TD_WEAP_RAW!$A$3,"Variable",K$2,"Escenario",K$1,"Branch","Demand Sites and Catchments\"&amp;$D494),0)</f>
        <v>0</v>
      </c>
      <c r="L494" s="99">
        <f>IFERROR(GETPIVOTDATA("Value",TD_WEAP_RAW!$A$3,"Variable",L$2,"Escenario",L$1,"Branch","Demand Sites and Catchments\"&amp;$D494),0)</f>
        <v>0</v>
      </c>
    </row>
    <row r="495" spans="4:12">
      <c r="D495" s="53"/>
      <c r="G495" s="51"/>
      <c r="H495" s="99">
        <f>IFERROR(GETPIVOTDATA("Value",TD_WEAP_RAW!$A$3,"Variable",H$2,"Escenario",H$1,"Branch","Demand Sites and Catchments\"&amp;$D495),0)</f>
        <v>0</v>
      </c>
      <c r="I495" s="99">
        <f>IFERROR(GETPIVOTDATA("Value",TD_WEAP_RAW!$A$3,"Variable",I$2,"Escenario",I$1,"Branch","Demand Sites and Catchments\"&amp;$D495),0)</f>
        <v>0</v>
      </c>
      <c r="J495" s="99">
        <f>IFERROR(GETPIVOTDATA("Value",TD_WEAP_RAW!$A$3,"Variable",J$2,"Escenario",J$1,"Branch","Demand Sites and Catchments\"&amp;$D495),0)</f>
        <v>0</v>
      </c>
      <c r="K495" s="99">
        <f>IFERROR(GETPIVOTDATA("Value",TD_WEAP_RAW!$A$3,"Variable",K$2,"Escenario",K$1,"Branch","Demand Sites and Catchments\"&amp;$D495),0)</f>
        <v>0</v>
      </c>
      <c r="L495" s="99">
        <f>IFERROR(GETPIVOTDATA("Value",TD_WEAP_RAW!$A$3,"Variable",L$2,"Escenario",L$1,"Branch","Demand Sites and Catchments\"&amp;$D495),0)</f>
        <v>0</v>
      </c>
    </row>
    <row r="496" spans="4:12">
      <c r="D496" s="53"/>
      <c r="G496" s="51"/>
      <c r="H496" s="99">
        <f>IFERROR(GETPIVOTDATA("Value",TD_WEAP_RAW!$A$3,"Variable",H$2,"Escenario",H$1,"Branch","Demand Sites and Catchments\"&amp;$D496),0)</f>
        <v>0</v>
      </c>
      <c r="I496" s="99">
        <f>IFERROR(GETPIVOTDATA("Value",TD_WEAP_RAW!$A$3,"Variable",I$2,"Escenario",I$1,"Branch","Demand Sites and Catchments\"&amp;$D496),0)</f>
        <v>0</v>
      </c>
      <c r="J496" s="99">
        <f>IFERROR(GETPIVOTDATA("Value",TD_WEAP_RAW!$A$3,"Variable",J$2,"Escenario",J$1,"Branch","Demand Sites and Catchments\"&amp;$D496),0)</f>
        <v>0</v>
      </c>
      <c r="K496" s="99">
        <f>IFERROR(GETPIVOTDATA("Value",TD_WEAP_RAW!$A$3,"Variable",K$2,"Escenario",K$1,"Branch","Demand Sites and Catchments\"&amp;$D496),0)</f>
        <v>0</v>
      </c>
      <c r="L496" s="99">
        <f>IFERROR(GETPIVOTDATA("Value",TD_WEAP_RAW!$A$3,"Variable",L$2,"Escenario",L$1,"Branch","Demand Sites and Catchments\"&amp;$D496),0)</f>
        <v>0</v>
      </c>
    </row>
    <row r="497" spans="4:12">
      <c r="D497" s="53"/>
      <c r="G497" s="51"/>
      <c r="H497" s="99">
        <f>IFERROR(GETPIVOTDATA("Value",TD_WEAP_RAW!$A$3,"Variable",H$2,"Escenario",H$1,"Branch","Demand Sites and Catchments\"&amp;$D497),0)</f>
        <v>0</v>
      </c>
      <c r="I497" s="99">
        <f>IFERROR(GETPIVOTDATA("Value",TD_WEAP_RAW!$A$3,"Variable",I$2,"Escenario",I$1,"Branch","Demand Sites and Catchments\"&amp;$D497),0)</f>
        <v>0</v>
      </c>
      <c r="J497" s="99">
        <f>IFERROR(GETPIVOTDATA("Value",TD_WEAP_RAW!$A$3,"Variable",J$2,"Escenario",J$1,"Branch","Demand Sites and Catchments\"&amp;$D497),0)</f>
        <v>0</v>
      </c>
      <c r="K497" s="99">
        <f>IFERROR(GETPIVOTDATA("Value",TD_WEAP_RAW!$A$3,"Variable",K$2,"Escenario",K$1,"Branch","Demand Sites and Catchments\"&amp;$D497),0)</f>
        <v>0</v>
      </c>
      <c r="L497" s="99">
        <f>IFERROR(GETPIVOTDATA("Value",TD_WEAP_RAW!$A$3,"Variable",L$2,"Escenario",L$1,"Branch","Demand Sites and Catchments\"&amp;$D497),0)</f>
        <v>0</v>
      </c>
    </row>
    <row r="498" spans="4:12">
      <c r="D498" s="53"/>
      <c r="G498" s="51"/>
      <c r="H498" s="99">
        <f>IFERROR(GETPIVOTDATA("Value",TD_WEAP_RAW!$A$3,"Variable",H$2,"Escenario",H$1,"Branch","Demand Sites and Catchments\"&amp;$D498),0)</f>
        <v>0</v>
      </c>
      <c r="I498" s="99">
        <f>IFERROR(GETPIVOTDATA("Value",TD_WEAP_RAW!$A$3,"Variable",I$2,"Escenario",I$1,"Branch","Demand Sites and Catchments\"&amp;$D498),0)</f>
        <v>0</v>
      </c>
      <c r="J498" s="99">
        <f>IFERROR(GETPIVOTDATA("Value",TD_WEAP_RAW!$A$3,"Variable",J$2,"Escenario",J$1,"Branch","Demand Sites and Catchments\"&amp;$D498),0)</f>
        <v>0</v>
      </c>
      <c r="K498" s="99">
        <f>IFERROR(GETPIVOTDATA("Value",TD_WEAP_RAW!$A$3,"Variable",K$2,"Escenario",K$1,"Branch","Demand Sites and Catchments\"&amp;$D498),0)</f>
        <v>0</v>
      </c>
      <c r="L498" s="99">
        <f>IFERROR(GETPIVOTDATA("Value",TD_WEAP_RAW!$A$3,"Variable",L$2,"Escenario",L$1,"Branch","Demand Sites and Catchments\"&amp;$D498),0)</f>
        <v>0</v>
      </c>
    </row>
    <row r="499" spans="4:12">
      <c r="D499" s="53"/>
      <c r="G499" s="51"/>
      <c r="H499" s="99">
        <f>IFERROR(GETPIVOTDATA("Value",TD_WEAP_RAW!$A$3,"Variable",H$2,"Escenario",H$1,"Branch","Demand Sites and Catchments\"&amp;$D499),0)</f>
        <v>0</v>
      </c>
      <c r="I499" s="99">
        <f>IFERROR(GETPIVOTDATA("Value",TD_WEAP_RAW!$A$3,"Variable",I$2,"Escenario",I$1,"Branch","Demand Sites and Catchments\"&amp;$D499),0)</f>
        <v>0</v>
      </c>
      <c r="J499" s="99">
        <f>IFERROR(GETPIVOTDATA("Value",TD_WEAP_RAW!$A$3,"Variable",J$2,"Escenario",J$1,"Branch","Demand Sites and Catchments\"&amp;$D499),0)</f>
        <v>0</v>
      </c>
      <c r="K499" s="99">
        <f>IFERROR(GETPIVOTDATA("Value",TD_WEAP_RAW!$A$3,"Variable",K$2,"Escenario",K$1,"Branch","Demand Sites and Catchments\"&amp;$D499),0)</f>
        <v>0</v>
      </c>
      <c r="L499" s="99">
        <f>IFERROR(GETPIVOTDATA("Value",TD_WEAP_RAW!$A$3,"Variable",L$2,"Escenario",L$1,"Branch","Demand Sites and Catchments\"&amp;$D499),0)</f>
        <v>0</v>
      </c>
    </row>
    <row r="500" spans="4:12">
      <c r="D500" s="53"/>
      <c r="G500" s="51"/>
      <c r="H500" s="99">
        <f>IFERROR(GETPIVOTDATA("Value",TD_WEAP_RAW!$A$3,"Variable",H$2,"Escenario",H$1,"Branch","Demand Sites and Catchments\"&amp;$D500),0)</f>
        <v>0</v>
      </c>
      <c r="I500" s="99">
        <f>IFERROR(GETPIVOTDATA("Value",TD_WEAP_RAW!$A$3,"Variable",I$2,"Escenario",I$1,"Branch","Demand Sites and Catchments\"&amp;$D500),0)</f>
        <v>0</v>
      </c>
      <c r="J500" s="99">
        <f>IFERROR(GETPIVOTDATA("Value",TD_WEAP_RAW!$A$3,"Variable",J$2,"Escenario",J$1,"Branch","Demand Sites and Catchments\"&amp;$D500),0)</f>
        <v>0</v>
      </c>
      <c r="K500" s="99">
        <f>IFERROR(GETPIVOTDATA("Value",TD_WEAP_RAW!$A$3,"Variable",K$2,"Escenario",K$1,"Branch","Demand Sites and Catchments\"&amp;$D500),0)</f>
        <v>0</v>
      </c>
      <c r="L500" s="99">
        <f>IFERROR(GETPIVOTDATA("Value",TD_WEAP_RAW!$A$3,"Variable",L$2,"Escenario",L$1,"Branch","Demand Sites and Catchments\"&amp;$D500),0)</f>
        <v>0</v>
      </c>
    </row>
    <row r="501" spans="4:12">
      <c r="D501" s="53"/>
      <c r="G501" s="51"/>
      <c r="H501" s="99">
        <f>IFERROR(GETPIVOTDATA("Value",TD_WEAP_RAW!$A$3,"Variable",H$2,"Escenario",H$1,"Branch","Demand Sites and Catchments\"&amp;$D501),0)</f>
        <v>0</v>
      </c>
      <c r="I501" s="99">
        <f>IFERROR(GETPIVOTDATA("Value",TD_WEAP_RAW!$A$3,"Variable",I$2,"Escenario",I$1,"Branch","Demand Sites and Catchments\"&amp;$D501),0)</f>
        <v>0</v>
      </c>
      <c r="J501" s="99">
        <f>IFERROR(GETPIVOTDATA("Value",TD_WEAP_RAW!$A$3,"Variable",J$2,"Escenario",J$1,"Branch","Demand Sites and Catchments\"&amp;$D501),0)</f>
        <v>0</v>
      </c>
      <c r="K501" s="99">
        <f>IFERROR(GETPIVOTDATA("Value",TD_WEAP_RAW!$A$3,"Variable",K$2,"Escenario",K$1,"Branch","Demand Sites and Catchments\"&amp;$D501),0)</f>
        <v>0</v>
      </c>
      <c r="L501" s="99">
        <f>IFERROR(GETPIVOTDATA("Value",TD_WEAP_RAW!$A$3,"Variable",L$2,"Escenario",L$1,"Branch","Demand Sites and Catchments\"&amp;$D501),0)</f>
        <v>0</v>
      </c>
    </row>
    <row r="502" spans="4:12">
      <c r="D502" s="53"/>
      <c r="G502" s="51"/>
      <c r="H502" s="99">
        <f>IFERROR(GETPIVOTDATA("Value",TD_WEAP_RAW!$A$3,"Variable",H$2,"Escenario",H$1,"Branch","Demand Sites and Catchments\"&amp;$D502),0)</f>
        <v>0</v>
      </c>
      <c r="I502" s="99">
        <f>IFERROR(GETPIVOTDATA("Value",TD_WEAP_RAW!$A$3,"Variable",I$2,"Escenario",I$1,"Branch","Demand Sites and Catchments\"&amp;$D502),0)</f>
        <v>0</v>
      </c>
      <c r="J502" s="99">
        <f>IFERROR(GETPIVOTDATA("Value",TD_WEAP_RAW!$A$3,"Variable",J$2,"Escenario",J$1,"Branch","Demand Sites and Catchments\"&amp;$D502),0)</f>
        <v>0</v>
      </c>
      <c r="K502" s="99">
        <f>IFERROR(GETPIVOTDATA("Value",TD_WEAP_RAW!$A$3,"Variable",K$2,"Escenario",K$1,"Branch","Demand Sites and Catchments\"&amp;$D502),0)</f>
        <v>0</v>
      </c>
      <c r="L502" s="99">
        <f>IFERROR(GETPIVOTDATA("Value",TD_WEAP_RAW!$A$3,"Variable",L$2,"Escenario",L$1,"Branch","Demand Sites and Catchments\"&amp;$D502),0)</f>
        <v>0</v>
      </c>
    </row>
    <row r="503" spans="4:12">
      <c r="D503" s="53"/>
      <c r="G503" s="51"/>
      <c r="H503" s="99">
        <f>IFERROR(GETPIVOTDATA("Value",TD_WEAP_RAW!$A$3,"Variable",H$2,"Escenario",H$1,"Branch","Demand Sites and Catchments\"&amp;$D503),0)</f>
        <v>0</v>
      </c>
      <c r="I503" s="99">
        <f>IFERROR(GETPIVOTDATA("Value",TD_WEAP_RAW!$A$3,"Variable",I$2,"Escenario",I$1,"Branch","Demand Sites and Catchments\"&amp;$D503),0)</f>
        <v>0</v>
      </c>
      <c r="J503" s="99">
        <f>IFERROR(GETPIVOTDATA("Value",TD_WEAP_RAW!$A$3,"Variable",J$2,"Escenario",J$1,"Branch","Demand Sites and Catchments\"&amp;$D503),0)</f>
        <v>0</v>
      </c>
      <c r="K503" s="99">
        <f>IFERROR(GETPIVOTDATA("Value",TD_WEAP_RAW!$A$3,"Variable",K$2,"Escenario",K$1,"Branch","Demand Sites and Catchments\"&amp;$D503),0)</f>
        <v>0</v>
      </c>
      <c r="L503" s="99">
        <f>IFERROR(GETPIVOTDATA("Value",TD_WEAP_RAW!$A$3,"Variable",L$2,"Escenario",L$1,"Branch","Demand Sites and Catchments\"&amp;$D503),0)</f>
        <v>0</v>
      </c>
    </row>
    <row r="504" spans="4:12">
      <c r="D504" s="53"/>
      <c r="G504" s="51"/>
      <c r="H504" s="99">
        <f>IFERROR(GETPIVOTDATA("Value",TD_WEAP_RAW!$A$3,"Variable",H$2,"Escenario",H$1,"Branch","Demand Sites and Catchments\"&amp;$D504),0)</f>
        <v>0</v>
      </c>
      <c r="I504" s="99">
        <f>IFERROR(GETPIVOTDATA("Value",TD_WEAP_RAW!$A$3,"Variable",I$2,"Escenario",I$1,"Branch","Demand Sites and Catchments\"&amp;$D504),0)</f>
        <v>0</v>
      </c>
      <c r="J504" s="99">
        <f>IFERROR(GETPIVOTDATA("Value",TD_WEAP_RAW!$A$3,"Variable",J$2,"Escenario",J$1,"Branch","Demand Sites and Catchments\"&amp;$D504),0)</f>
        <v>0</v>
      </c>
      <c r="K504" s="99">
        <f>IFERROR(GETPIVOTDATA("Value",TD_WEAP_RAW!$A$3,"Variable",K$2,"Escenario",K$1,"Branch","Demand Sites and Catchments\"&amp;$D504),0)</f>
        <v>0</v>
      </c>
      <c r="L504" s="99">
        <f>IFERROR(GETPIVOTDATA("Value",TD_WEAP_RAW!$A$3,"Variable",L$2,"Escenario",L$1,"Branch","Demand Sites and Catchments\"&amp;$D504),0)</f>
        <v>0</v>
      </c>
    </row>
    <row r="505" spans="4:12">
      <c r="D505" s="53"/>
      <c r="G505" s="51"/>
      <c r="H505" s="99">
        <f>IFERROR(GETPIVOTDATA("Value",TD_WEAP_RAW!$A$3,"Variable",H$2,"Escenario",H$1,"Branch","Demand Sites and Catchments\"&amp;$D505),0)</f>
        <v>0</v>
      </c>
      <c r="I505" s="99">
        <f>IFERROR(GETPIVOTDATA("Value",TD_WEAP_RAW!$A$3,"Variable",I$2,"Escenario",I$1,"Branch","Demand Sites and Catchments\"&amp;$D505),0)</f>
        <v>0</v>
      </c>
      <c r="J505" s="99">
        <f>IFERROR(GETPIVOTDATA("Value",TD_WEAP_RAW!$A$3,"Variable",J$2,"Escenario",J$1,"Branch","Demand Sites and Catchments\"&amp;$D505),0)</f>
        <v>0</v>
      </c>
      <c r="K505" s="99">
        <f>IFERROR(GETPIVOTDATA("Value",TD_WEAP_RAW!$A$3,"Variable",K$2,"Escenario",K$1,"Branch","Demand Sites and Catchments\"&amp;$D505),0)</f>
        <v>0</v>
      </c>
      <c r="L505" s="99">
        <f>IFERROR(GETPIVOTDATA("Value",TD_WEAP_RAW!$A$3,"Variable",L$2,"Escenario",L$1,"Branch","Demand Sites and Catchments\"&amp;$D505),0)</f>
        <v>0</v>
      </c>
    </row>
    <row r="506" spans="4:12">
      <c r="D506" s="53"/>
      <c r="G506" s="51"/>
      <c r="H506" s="99">
        <f>IFERROR(GETPIVOTDATA("Value",TD_WEAP_RAW!$A$3,"Variable",H$2,"Escenario",H$1,"Branch","Demand Sites and Catchments\"&amp;$D506),0)</f>
        <v>0</v>
      </c>
      <c r="I506" s="99">
        <f>IFERROR(GETPIVOTDATA("Value",TD_WEAP_RAW!$A$3,"Variable",I$2,"Escenario",I$1,"Branch","Demand Sites and Catchments\"&amp;$D506),0)</f>
        <v>0</v>
      </c>
      <c r="J506" s="99">
        <f>IFERROR(GETPIVOTDATA("Value",TD_WEAP_RAW!$A$3,"Variable",J$2,"Escenario",J$1,"Branch","Demand Sites and Catchments\"&amp;$D506),0)</f>
        <v>0</v>
      </c>
      <c r="K506" s="99">
        <f>IFERROR(GETPIVOTDATA("Value",TD_WEAP_RAW!$A$3,"Variable",K$2,"Escenario",K$1,"Branch","Demand Sites and Catchments\"&amp;$D506),0)</f>
        <v>0</v>
      </c>
      <c r="L506" s="99">
        <f>IFERROR(GETPIVOTDATA("Value",TD_WEAP_RAW!$A$3,"Variable",L$2,"Escenario",L$1,"Branch","Demand Sites and Catchments\"&amp;$D506),0)</f>
        <v>0</v>
      </c>
    </row>
    <row r="507" spans="4:12">
      <c r="D507" s="53"/>
      <c r="G507" s="51"/>
      <c r="H507" s="99">
        <f>IFERROR(GETPIVOTDATA("Value",TD_WEAP_RAW!$A$3,"Variable",H$2,"Escenario",H$1,"Branch","Demand Sites and Catchments\"&amp;$D507),0)</f>
        <v>0</v>
      </c>
      <c r="I507" s="99">
        <f>IFERROR(GETPIVOTDATA("Value",TD_WEAP_RAW!$A$3,"Variable",I$2,"Escenario",I$1,"Branch","Demand Sites and Catchments\"&amp;$D507),0)</f>
        <v>0</v>
      </c>
      <c r="J507" s="99">
        <f>IFERROR(GETPIVOTDATA("Value",TD_WEAP_RAW!$A$3,"Variable",J$2,"Escenario",J$1,"Branch","Demand Sites and Catchments\"&amp;$D507),0)</f>
        <v>0</v>
      </c>
      <c r="K507" s="99">
        <f>IFERROR(GETPIVOTDATA("Value",TD_WEAP_RAW!$A$3,"Variable",K$2,"Escenario",K$1,"Branch","Demand Sites and Catchments\"&amp;$D507),0)</f>
        <v>0</v>
      </c>
      <c r="L507" s="99">
        <f>IFERROR(GETPIVOTDATA("Value",TD_WEAP_RAW!$A$3,"Variable",L$2,"Escenario",L$1,"Branch","Demand Sites and Catchments\"&amp;$D507),0)</f>
        <v>0</v>
      </c>
    </row>
    <row r="508" spans="4:12">
      <c r="D508" s="53"/>
      <c r="G508" s="51"/>
      <c r="H508" s="99">
        <f>IFERROR(GETPIVOTDATA("Value",TD_WEAP_RAW!$A$3,"Variable",H$2,"Escenario",H$1,"Branch","Demand Sites and Catchments\"&amp;$D508),0)</f>
        <v>0</v>
      </c>
      <c r="I508" s="99">
        <f>IFERROR(GETPIVOTDATA("Value",TD_WEAP_RAW!$A$3,"Variable",I$2,"Escenario",I$1,"Branch","Demand Sites and Catchments\"&amp;$D508),0)</f>
        <v>0</v>
      </c>
      <c r="J508" s="99">
        <f>IFERROR(GETPIVOTDATA("Value",TD_WEAP_RAW!$A$3,"Variable",J$2,"Escenario",J$1,"Branch","Demand Sites and Catchments\"&amp;$D508),0)</f>
        <v>0</v>
      </c>
      <c r="K508" s="99">
        <f>IFERROR(GETPIVOTDATA("Value",TD_WEAP_RAW!$A$3,"Variable",K$2,"Escenario",K$1,"Branch","Demand Sites and Catchments\"&amp;$D508),0)</f>
        <v>0</v>
      </c>
      <c r="L508" s="99">
        <f>IFERROR(GETPIVOTDATA("Value",TD_WEAP_RAW!$A$3,"Variable",L$2,"Escenario",L$1,"Branch","Demand Sites and Catchments\"&amp;$D508),0)</f>
        <v>0</v>
      </c>
    </row>
    <row r="509" spans="4:12">
      <c r="D509" s="53"/>
      <c r="G509" s="51"/>
      <c r="H509" s="99">
        <f>IFERROR(GETPIVOTDATA("Value",TD_WEAP_RAW!$A$3,"Variable",H$2,"Escenario",H$1,"Branch","Demand Sites and Catchments\"&amp;$D509),0)</f>
        <v>0</v>
      </c>
      <c r="I509" s="99">
        <f>IFERROR(GETPIVOTDATA("Value",TD_WEAP_RAW!$A$3,"Variable",I$2,"Escenario",I$1,"Branch","Demand Sites and Catchments\"&amp;$D509),0)</f>
        <v>0</v>
      </c>
      <c r="J509" s="99">
        <f>IFERROR(GETPIVOTDATA("Value",TD_WEAP_RAW!$A$3,"Variable",J$2,"Escenario",J$1,"Branch","Demand Sites and Catchments\"&amp;$D509),0)</f>
        <v>0</v>
      </c>
      <c r="K509" s="99">
        <f>IFERROR(GETPIVOTDATA("Value",TD_WEAP_RAW!$A$3,"Variable",K$2,"Escenario",K$1,"Branch","Demand Sites and Catchments\"&amp;$D509),0)</f>
        <v>0</v>
      </c>
      <c r="L509" s="99">
        <f>IFERROR(GETPIVOTDATA("Value",TD_WEAP_RAW!$A$3,"Variable",L$2,"Escenario",L$1,"Branch","Demand Sites and Catchments\"&amp;$D509),0)</f>
        <v>0</v>
      </c>
    </row>
    <row r="510" spans="4:12">
      <c r="D510" s="53"/>
      <c r="G510" s="51"/>
      <c r="H510" s="99">
        <f>IFERROR(GETPIVOTDATA("Value",TD_WEAP_RAW!$A$3,"Variable",H$2,"Escenario",H$1,"Branch","Demand Sites and Catchments\"&amp;$D510),0)</f>
        <v>0</v>
      </c>
      <c r="I510" s="99">
        <f>IFERROR(GETPIVOTDATA("Value",TD_WEAP_RAW!$A$3,"Variable",I$2,"Escenario",I$1,"Branch","Demand Sites and Catchments\"&amp;$D510),0)</f>
        <v>0</v>
      </c>
      <c r="J510" s="99">
        <f>IFERROR(GETPIVOTDATA("Value",TD_WEAP_RAW!$A$3,"Variable",J$2,"Escenario",J$1,"Branch","Demand Sites and Catchments\"&amp;$D510),0)</f>
        <v>0</v>
      </c>
      <c r="K510" s="99">
        <f>IFERROR(GETPIVOTDATA("Value",TD_WEAP_RAW!$A$3,"Variable",K$2,"Escenario",K$1,"Branch","Demand Sites and Catchments\"&amp;$D510),0)</f>
        <v>0</v>
      </c>
      <c r="L510" s="99">
        <f>IFERROR(GETPIVOTDATA("Value",TD_WEAP_RAW!$A$3,"Variable",L$2,"Escenario",L$1,"Branch","Demand Sites and Catchments\"&amp;$D510),0)</f>
        <v>0</v>
      </c>
    </row>
    <row r="511" spans="4:12">
      <c r="D511" s="53"/>
      <c r="G511" s="51"/>
      <c r="H511" s="99">
        <f>IFERROR(GETPIVOTDATA("Value",TD_WEAP_RAW!$A$3,"Variable",H$2,"Escenario",H$1,"Branch","Demand Sites and Catchments\"&amp;$D511),0)</f>
        <v>0</v>
      </c>
      <c r="I511" s="99">
        <f>IFERROR(GETPIVOTDATA("Value",TD_WEAP_RAW!$A$3,"Variable",I$2,"Escenario",I$1,"Branch","Demand Sites and Catchments\"&amp;$D511),0)</f>
        <v>0</v>
      </c>
      <c r="J511" s="99">
        <f>IFERROR(GETPIVOTDATA("Value",TD_WEAP_RAW!$A$3,"Variable",J$2,"Escenario",J$1,"Branch","Demand Sites and Catchments\"&amp;$D511),0)</f>
        <v>0</v>
      </c>
      <c r="K511" s="99">
        <f>IFERROR(GETPIVOTDATA("Value",TD_WEAP_RAW!$A$3,"Variable",K$2,"Escenario",K$1,"Branch","Demand Sites and Catchments\"&amp;$D511),0)</f>
        <v>0</v>
      </c>
      <c r="L511" s="99">
        <f>IFERROR(GETPIVOTDATA("Value",TD_WEAP_RAW!$A$3,"Variable",L$2,"Escenario",L$1,"Branch","Demand Sites and Catchments\"&amp;$D511),0)</f>
        <v>0</v>
      </c>
    </row>
    <row r="512" spans="4:12">
      <c r="D512" s="53"/>
      <c r="G512" s="51"/>
      <c r="H512" s="99">
        <f>IFERROR(GETPIVOTDATA("Value",TD_WEAP_RAW!$A$3,"Variable",H$2,"Escenario",H$1,"Branch","Demand Sites and Catchments\"&amp;$D512),0)</f>
        <v>0</v>
      </c>
      <c r="I512" s="99">
        <f>IFERROR(GETPIVOTDATA("Value",TD_WEAP_RAW!$A$3,"Variable",I$2,"Escenario",I$1,"Branch","Demand Sites and Catchments\"&amp;$D512),0)</f>
        <v>0</v>
      </c>
      <c r="J512" s="99">
        <f>IFERROR(GETPIVOTDATA("Value",TD_WEAP_RAW!$A$3,"Variable",J$2,"Escenario",J$1,"Branch","Demand Sites and Catchments\"&amp;$D512),0)</f>
        <v>0</v>
      </c>
      <c r="K512" s="99">
        <f>IFERROR(GETPIVOTDATA("Value",TD_WEAP_RAW!$A$3,"Variable",K$2,"Escenario",K$1,"Branch","Demand Sites and Catchments\"&amp;$D512),0)</f>
        <v>0</v>
      </c>
      <c r="L512" s="99">
        <f>IFERROR(GETPIVOTDATA("Value",TD_WEAP_RAW!$A$3,"Variable",L$2,"Escenario",L$1,"Branch","Demand Sites and Catchments\"&amp;$D512),0)</f>
        <v>0</v>
      </c>
    </row>
    <row r="513" spans="4:12">
      <c r="D513" s="53"/>
      <c r="G513" s="51"/>
      <c r="H513" s="99">
        <f>IFERROR(GETPIVOTDATA("Value",TD_WEAP_RAW!$A$3,"Variable",H$2,"Escenario",H$1,"Branch","Demand Sites and Catchments\"&amp;$D513),0)</f>
        <v>0</v>
      </c>
      <c r="I513" s="99">
        <f>IFERROR(GETPIVOTDATA("Value",TD_WEAP_RAW!$A$3,"Variable",I$2,"Escenario",I$1,"Branch","Demand Sites and Catchments\"&amp;$D513),0)</f>
        <v>0</v>
      </c>
      <c r="J513" s="99">
        <f>IFERROR(GETPIVOTDATA("Value",TD_WEAP_RAW!$A$3,"Variable",J$2,"Escenario",J$1,"Branch","Demand Sites and Catchments\"&amp;$D513),0)</f>
        <v>0</v>
      </c>
      <c r="K513" s="99">
        <f>IFERROR(GETPIVOTDATA("Value",TD_WEAP_RAW!$A$3,"Variable",K$2,"Escenario",K$1,"Branch","Demand Sites and Catchments\"&amp;$D513),0)</f>
        <v>0</v>
      </c>
      <c r="L513" s="99">
        <f>IFERROR(GETPIVOTDATA("Value",TD_WEAP_RAW!$A$3,"Variable",L$2,"Escenario",L$1,"Branch","Demand Sites and Catchments\"&amp;$D513),0)</f>
        <v>0</v>
      </c>
    </row>
    <row r="514" spans="4:12">
      <c r="D514" s="53"/>
      <c r="G514" s="51"/>
      <c r="H514" s="99">
        <f>IFERROR(GETPIVOTDATA("Value",TD_WEAP_RAW!$A$3,"Variable",H$2,"Escenario",H$1,"Branch","Demand Sites and Catchments\"&amp;$D514),0)</f>
        <v>0</v>
      </c>
      <c r="I514" s="99">
        <f>IFERROR(GETPIVOTDATA("Value",TD_WEAP_RAW!$A$3,"Variable",I$2,"Escenario",I$1,"Branch","Demand Sites and Catchments\"&amp;$D514),0)</f>
        <v>0</v>
      </c>
      <c r="J514" s="99">
        <f>IFERROR(GETPIVOTDATA("Value",TD_WEAP_RAW!$A$3,"Variable",J$2,"Escenario",J$1,"Branch","Demand Sites and Catchments\"&amp;$D514),0)</f>
        <v>0</v>
      </c>
      <c r="K514" s="99">
        <f>IFERROR(GETPIVOTDATA("Value",TD_WEAP_RAW!$A$3,"Variable",K$2,"Escenario",K$1,"Branch","Demand Sites and Catchments\"&amp;$D514),0)</f>
        <v>0</v>
      </c>
      <c r="L514" s="99">
        <f>IFERROR(GETPIVOTDATA("Value",TD_WEAP_RAW!$A$3,"Variable",L$2,"Escenario",L$1,"Branch","Demand Sites and Catchments\"&amp;$D514),0)</f>
        <v>0</v>
      </c>
    </row>
    <row r="515" spans="4:12">
      <c r="D515" s="53"/>
      <c r="G515" s="51"/>
      <c r="H515" s="99">
        <f>IFERROR(GETPIVOTDATA("Value",TD_WEAP_RAW!$A$3,"Variable",H$2,"Escenario",H$1,"Branch","Demand Sites and Catchments\"&amp;$D515),0)</f>
        <v>0</v>
      </c>
      <c r="I515" s="99">
        <f>IFERROR(GETPIVOTDATA("Value",TD_WEAP_RAW!$A$3,"Variable",I$2,"Escenario",I$1,"Branch","Demand Sites and Catchments\"&amp;$D515),0)</f>
        <v>0</v>
      </c>
      <c r="J515" s="99">
        <f>IFERROR(GETPIVOTDATA("Value",TD_WEAP_RAW!$A$3,"Variable",J$2,"Escenario",J$1,"Branch","Demand Sites and Catchments\"&amp;$D515),0)</f>
        <v>0</v>
      </c>
      <c r="K515" s="99">
        <f>IFERROR(GETPIVOTDATA("Value",TD_WEAP_RAW!$A$3,"Variable",K$2,"Escenario",K$1,"Branch","Demand Sites and Catchments\"&amp;$D515),0)</f>
        <v>0</v>
      </c>
      <c r="L515" s="99">
        <f>IFERROR(GETPIVOTDATA("Value",TD_WEAP_RAW!$A$3,"Variable",L$2,"Escenario",L$1,"Branch","Demand Sites and Catchments\"&amp;$D515),0)</f>
        <v>0</v>
      </c>
    </row>
    <row r="516" spans="4:12">
      <c r="D516" s="53"/>
      <c r="G516" s="51"/>
      <c r="H516" s="99">
        <f>IFERROR(GETPIVOTDATA("Value",TD_WEAP_RAW!$A$3,"Variable",H$2,"Escenario",H$1,"Branch","Demand Sites and Catchments\"&amp;$D516),0)</f>
        <v>0</v>
      </c>
      <c r="I516" s="99">
        <f>IFERROR(GETPIVOTDATA("Value",TD_WEAP_RAW!$A$3,"Variable",I$2,"Escenario",I$1,"Branch","Demand Sites and Catchments\"&amp;$D516),0)</f>
        <v>0</v>
      </c>
      <c r="J516" s="99">
        <f>IFERROR(GETPIVOTDATA("Value",TD_WEAP_RAW!$A$3,"Variable",J$2,"Escenario",J$1,"Branch","Demand Sites and Catchments\"&amp;$D516),0)</f>
        <v>0</v>
      </c>
      <c r="K516" s="99">
        <f>IFERROR(GETPIVOTDATA("Value",TD_WEAP_RAW!$A$3,"Variable",K$2,"Escenario",K$1,"Branch","Demand Sites and Catchments\"&amp;$D516),0)</f>
        <v>0</v>
      </c>
      <c r="L516" s="99">
        <f>IFERROR(GETPIVOTDATA("Value",TD_WEAP_RAW!$A$3,"Variable",L$2,"Escenario",L$1,"Branch","Demand Sites and Catchments\"&amp;$D516),0)</f>
        <v>0</v>
      </c>
    </row>
    <row r="517" spans="4:12">
      <c r="D517" s="53"/>
      <c r="G517" s="51"/>
      <c r="H517" s="99">
        <f>IFERROR(GETPIVOTDATA("Value",TD_WEAP_RAW!$A$3,"Variable",H$2,"Escenario",H$1,"Branch","Demand Sites and Catchments\"&amp;$D517),0)</f>
        <v>0</v>
      </c>
      <c r="I517" s="99">
        <f>IFERROR(GETPIVOTDATA("Value",TD_WEAP_RAW!$A$3,"Variable",I$2,"Escenario",I$1,"Branch","Demand Sites and Catchments\"&amp;$D517),0)</f>
        <v>0</v>
      </c>
      <c r="J517" s="99">
        <f>IFERROR(GETPIVOTDATA("Value",TD_WEAP_RAW!$A$3,"Variable",J$2,"Escenario",J$1,"Branch","Demand Sites and Catchments\"&amp;$D517),0)</f>
        <v>0</v>
      </c>
      <c r="K517" s="99">
        <f>IFERROR(GETPIVOTDATA("Value",TD_WEAP_RAW!$A$3,"Variable",K$2,"Escenario",K$1,"Branch","Demand Sites and Catchments\"&amp;$D517),0)</f>
        <v>0</v>
      </c>
      <c r="L517" s="99">
        <f>IFERROR(GETPIVOTDATA("Value",TD_WEAP_RAW!$A$3,"Variable",L$2,"Escenario",L$1,"Branch","Demand Sites and Catchments\"&amp;$D517),0)</f>
        <v>0</v>
      </c>
    </row>
    <row r="518" spans="4:12">
      <c r="D518" s="53"/>
      <c r="G518" s="51"/>
      <c r="H518" s="99">
        <f>IFERROR(GETPIVOTDATA("Value",TD_WEAP_RAW!$A$3,"Variable",H$2,"Escenario",H$1,"Branch","Demand Sites and Catchments\"&amp;$D518),0)</f>
        <v>0</v>
      </c>
      <c r="I518" s="99">
        <f>IFERROR(GETPIVOTDATA("Value",TD_WEAP_RAW!$A$3,"Variable",I$2,"Escenario",I$1,"Branch","Demand Sites and Catchments\"&amp;$D518),0)</f>
        <v>0</v>
      </c>
      <c r="J518" s="99">
        <f>IFERROR(GETPIVOTDATA("Value",TD_WEAP_RAW!$A$3,"Variable",J$2,"Escenario",J$1,"Branch","Demand Sites and Catchments\"&amp;$D518),0)</f>
        <v>0</v>
      </c>
      <c r="K518" s="99">
        <f>IFERROR(GETPIVOTDATA("Value",TD_WEAP_RAW!$A$3,"Variable",K$2,"Escenario",K$1,"Branch","Demand Sites and Catchments\"&amp;$D518),0)</f>
        <v>0</v>
      </c>
      <c r="L518" s="99">
        <f>IFERROR(GETPIVOTDATA("Value",TD_WEAP_RAW!$A$3,"Variable",L$2,"Escenario",L$1,"Branch","Demand Sites and Catchments\"&amp;$D518),0)</f>
        <v>0</v>
      </c>
    </row>
    <row r="519" spans="4:12">
      <c r="D519" s="53"/>
      <c r="G519" s="51"/>
      <c r="H519" s="99">
        <f>IFERROR(GETPIVOTDATA("Value",TD_WEAP_RAW!$A$3,"Variable",H$2,"Escenario",H$1,"Branch","Demand Sites and Catchments\"&amp;$D519),0)</f>
        <v>0</v>
      </c>
      <c r="I519" s="99">
        <f>IFERROR(GETPIVOTDATA("Value",TD_WEAP_RAW!$A$3,"Variable",I$2,"Escenario",I$1,"Branch","Demand Sites and Catchments\"&amp;$D519),0)</f>
        <v>0</v>
      </c>
      <c r="J519" s="99">
        <f>IFERROR(GETPIVOTDATA("Value",TD_WEAP_RAW!$A$3,"Variable",J$2,"Escenario",J$1,"Branch","Demand Sites and Catchments\"&amp;$D519),0)</f>
        <v>0</v>
      </c>
      <c r="K519" s="99">
        <f>IFERROR(GETPIVOTDATA("Value",TD_WEAP_RAW!$A$3,"Variable",K$2,"Escenario",K$1,"Branch","Demand Sites and Catchments\"&amp;$D519),0)</f>
        <v>0</v>
      </c>
      <c r="L519" s="99">
        <f>IFERROR(GETPIVOTDATA("Value",TD_WEAP_RAW!$A$3,"Variable",L$2,"Escenario",L$1,"Branch","Demand Sites and Catchments\"&amp;$D519),0)</f>
        <v>0</v>
      </c>
    </row>
    <row r="520" spans="4:12">
      <c r="D520" s="53"/>
      <c r="G520" s="51"/>
      <c r="H520" s="99">
        <f>IFERROR(GETPIVOTDATA("Value",TD_WEAP_RAW!$A$3,"Variable",H$2,"Escenario",H$1,"Branch","Demand Sites and Catchments\"&amp;$D520),0)</f>
        <v>0</v>
      </c>
      <c r="I520" s="99">
        <f>IFERROR(GETPIVOTDATA("Value",TD_WEAP_RAW!$A$3,"Variable",I$2,"Escenario",I$1,"Branch","Demand Sites and Catchments\"&amp;$D520),0)</f>
        <v>0</v>
      </c>
      <c r="J520" s="99">
        <f>IFERROR(GETPIVOTDATA("Value",TD_WEAP_RAW!$A$3,"Variable",J$2,"Escenario",J$1,"Branch","Demand Sites and Catchments\"&amp;$D520),0)</f>
        <v>0</v>
      </c>
      <c r="K520" s="99">
        <f>IFERROR(GETPIVOTDATA("Value",TD_WEAP_RAW!$A$3,"Variable",K$2,"Escenario",K$1,"Branch","Demand Sites and Catchments\"&amp;$D520),0)</f>
        <v>0</v>
      </c>
      <c r="L520" s="99">
        <f>IFERROR(GETPIVOTDATA("Value",TD_WEAP_RAW!$A$3,"Variable",L$2,"Escenario",L$1,"Branch","Demand Sites and Catchments\"&amp;$D520),0)</f>
        <v>0</v>
      </c>
    </row>
    <row r="521" spans="4:12">
      <c r="D521" s="53"/>
      <c r="G521" s="51"/>
      <c r="H521" s="99">
        <f>IFERROR(GETPIVOTDATA("Value",TD_WEAP_RAW!$A$3,"Variable",H$2,"Escenario",H$1,"Branch","Demand Sites and Catchments\"&amp;$D521),0)</f>
        <v>0</v>
      </c>
      <c r="I521" s="99">
        <f>IFERROR(GETPIVOTDATA("Value",TD_WEAP_RAW!$A$3,"Variable",I$2,"Escenario",I$1,"Branch","Demand Sites and Catchments\"&amp;$D521),0)</f>
        <v>0</v>
      </c>
      <c r="J521" s="99">
        <f>IFERROR(GETPIVOTDATA("Value",TD_WEAP_RAW!$A$3,"Variable",J$2,"Escenario",J$1,"Branch","Demand Sites and Catchments\"&amp;$D521),0)</f>
        <v>0</v>
      </c>
      <c r="K521" s="99">
        <f>IFERROR(GETPIVOTDATA("Value",TD_WEAP_RAW!$A$3,"Variable",K$2,"Escenario",K$1,"Branch","Demand Sites and Catchments\"&amp;$D521),0)</f>
        <v>0</v>
      </c>
      <c r="L521" s="99">
        <f>IFERROR(GETPIVOTDATA("Value",TD_WEAP_RAW!$A$3,"Variable",L$2,"Escenario",L$1,"Branch","Demand Sites and Catchments\"&amp;$D521),0)</f>
        <v>0</v>
      </c>
    </row>
    <row r="522" spans="4:12">
      <c r="D522" s="53"/>
      <c r="G522" s="51"/>
      <c r="H522" s="99">
        <f>IFERROR(GETPIVOTDATA("Value",TD_WEAP_RAW!$A$3,"Variable",H$2,"Escenario",H$1,"Branch","Demand Sites and Catchments\"&amp;$D522),0)</f>
        <v>0</v>
      </c>
      <c r="I522" s="99">
        <f>IFERROR(GETPIVOTDATA("Value",TD_WEAP_RAW!$A$3,"Variable",I$2,"Escenario",I$1,"Branch","Demand Sites and Catchments\"&amp;$D522),0)</f>
        <v>0</v>
      </c>
      <c r="J522" s="99">
        <f>IFERROR(GETPIVOTDATA("Value",TD_WEAP_RAW!$A$3,"Variable",J$2,"Escenario",J$1,"Branch","Demand Sites and Catchments\"&amp;$D522),0)</f>
        <v>0</v>
      </c>
      <c r="K522" s="99">
        <f>IFERROR(GETPIVOTDATA("Value",TD_WEAP_RAW!$A$3,"Variable",K$2,"Escenario",K$1,"Branch","Demand Sites and Catchments\"&amp;$D522),0)</f>
        <v>0</v>
      </c>
      <c r="L522" s="99">
        <f>IFERROR(GETPIVOTDATA("Value",TD_WEAP_RAW!$A$3,"Variable",L$2,"Escenario",L$1,"Branch","Demand Sites and Catchments\"&amp;$D522),0)</f>
        <v>0</v>
      </c>
    </row>
    <row r="523" spans="4:12">
      <c r="D523" s="53"/>
      <c r="G523" s="51"/>
      <c r="H523" s="99">
        <f>IFERROR(GETPIVOTDATA("Value",TD_WEAP_RAW!$A$3,"Variable",H$2,"Escenario",H$1,"Branch","Demand Sites and Catchments\"&amp;$D523),0)</f>
        <v>0</v>
      </c>
      <c r="I523" s="99">
        <f>IFERROR(GETPIVOTDATA("Value",TD_WEAP_RAW!$A$3,"Variable",I$2,"Escenario",I$1,"Branch","Demand Sites and Catchments\"&amp;$D523),0)</f>
        <v>0</v>
      </c>
      <c r="J523" s="99">
        <f>IFERROR(GETPIVOTDATA("Value",TD_WEAP_RAW!$A$3,"Variable",J$2,"Escenario",J$1,"Branch","Demand Sites and Catchments\"&amp;$D523),0)</f>
        <v>0</v>
      </c>
      <c r="K523" s="99">
        <f>IFERROR(GETPIVOTDATA("Value",TD_WEAP_RAW!$A$3,"Variable",K$2,"Escenario",K$1,"Branch","Demand Sites and Catchments\"&amp;$D523),0)</f>
        <v>0</v>
      </c>
      <c r="L523" s="99">
        <f>IFERROR(GETPIVOTDATA("Value",TD_WEAP_RAW!$A$3,"Variable",L$2,"Escenario",L$1,"Branch","Demand Sites and Catchments\"&amp;$D523),0)</f>
        <v>0</v>
      </c>
    </row>
    <row r="524" spans="4:12">
      <c r="D524" s="53"/>
      <c r="G524" s="51"/>
      <c r="H524" s="99">
        <f>IFERROR(GETPIVOTDATA("Value",TD_WEAP_RAW!$A$3,"Variable",H$2,"Escenario",H$1,"Branch","Demand Sites and Catchments\"&amp;$D524),0)</f>
        <v>0</v>
      </c>
      <c r="I524" s="99">
        <f>IFERROR(GETPIVOTDATA("Value",TD_WEAP_RAW!$A$3,"Variable",I$2,"Escenario",I$1,"Branch","Demand Sites and Catchments\"&amp;$D524),0)</f>
        <v>0</v>
      </c>
      <c r="J524" s="99">
        <f>IFERROR(GETPIVOTDATA("Value",TD_WEAP_RAW!$A$3,"Variable",J$2,"Escenario",J$1,"Branch","Demand Sites and Catchments\"&amp;$D524),0)</f>
        <v>0</v>
      </c>
      <c r="K524" s="99">
        <f>IFERROR(GETPIVOTDATA("Value",TD_WEAP_RAW!$A$3,"Variable",K$2,"Escenario",K$1,"Branch","Demand Sites and Catchments\"&amp;$D524),0)</f>
        <v>0</v>
      </c>
      <c r="L524" s="99">
        <f>IFERROR(GETPIVOTDATA("Value",TD_WEAP_RAW!$A$3,"Variable",L$2,"Escenario",L$1,"Branch","Demand Sites and Catchments\"&amp;$D524),0)</f>
        <v>0</v>
      </c>
    </row>
    <row r="525" spans="4:12">
      <c r="D525" s="53"/>
      <c r="G525" s="51"/>
      <c r="H525" s="99">
        <f>IFERROR(GETPIVOTDATA("Value",TD_WEAP_RAW!$A$3,"Variable",H$2,"Escenario",H$1,"Branch","Demand Sites and Catchments\"&amp;$D525),0)</f>
        <v>0</v>
      </c>
      <c r="I525" s="99">
        <f>IFERROR(GETPIVOTDATA("Value",TD_WEAP_RAW!$A$3,"Variable",I$2,"Escenario",I$1,"Branch","Demand Sites and Catchments\"&amp;$D525),0)</f>
        <v>0</v>
      </c>
      <c r="J525" s="99">
        <f>IFERROR(GETPIVOTDATA("Value",TD_WEAP_RAW!$A$3,"Variable",J$2,"Escenario",J$1,"Branch","Demand Sites and Catchments\"&amp;$D525),0)</f>
        <v>0</v>
      </c>
      <c r="K525" s="99">
        <f>IFERROR(GETPIVOTDATA("Value",TD_WEAP_RAW!$A$3,"Variable",K$2,"Escenario",K$1,"Branch","Demand Sites and Catchments\"&amp;$D525),0)</f>
        <v>0</v>
      </c>
      <c r="L525" s="99">
        <f>IFERROR(GETPIVOTDATA("Value",TD_WEAP_RAW!$A$3,"Variable",L$2,"Escenario",L$1,"Branch","Demand Sites and Catchments\"&amp;$D525),0)</f>
        <v>0</v>
      </c>
    </row>
    <row r="526" spans="4:12">
      <c r="D526" s="53"/>
      <c r="G526" s="51"/>
      <c r="H526" s="99">
        <f>IFERROR(GETPIVOTDATA("Value",TD_WEAP_RAW!$A$3,"Variable",H$2,"Escenario",H$1,"Branch","Demand Sites and Catchments\"&amp;$D526),0)</f>
        <v>0</v>
      </c>
      <c r="I526" s="99">
        <f>IFERROR(GETPIVOTDATA("Value",TD_WEAP_RAW!$A$3,"Variable",I$2,"Escenario",I$1,"Branch","Demand Sites and Catchments\"&amp;$D526),0)</f>
        <v>0</v>
      </c>
      <c r="J526" s="99">
        <f>IFERROR(GETPIVOTDATA("Value",TD_WEAP_RAW!$A$3,"Variable",J$2,"Escenario",J$1,"Branch","Demand Sites and Catchments\"&amp;$D526),0)</f>
        <v>0</v>
      </c>
      <c r="K526" s="99">
        <f>IFERROR(GETPIVOTDATA("Value",TD_WEAP_RAW!$A$3,"Variable",K$2,"Escenario",K$1,"Branch","Demand Sites and Catchments\"&amp;$D526),0)</f>
        <v>0</v>
      </c>
      <c r="L526" s="99">
        <f>IFERROR(GETPIVOTDATA("Value",TD_WEAP_RAW!$A$3,"Variable",L$2,"Escenario",L$1,"Branch","Demand Sites and Catchments\"&amp;$D526),0)</f>
        <v>0</v>
      </c>
    </row>
    <row r="527" spans="4:12">
      <c r="D527" s="53"/>
      <c r="G527" s="51"/>
      <c r="H527" s="99">
        <f>IFERROR(GETPIVOTDATA("Value",TD_WEAP_RAW!$A$3,"Variable",H$2,"Escenario",H$1,"Branch","Demand Sites and Catchments\"&amp;$D527),0)</f>
        <v>0</v>
      </c>
      <c r="I527" s="99">
        <f>IFERROR(GETPIVOTDATA("Value",TD_WEAP_RAW!$A$3,"Variable",I$2,"Escenario",I$1,"Branch","Demand Sites and Catchments\"&amp;$D527),0)</f>
        <v>0</v>
      </c>
      <c r="J527" s="99">
        <f>IFERROR(GETPIVOTDATA("Value",TD_WEAP_RAW!$A$3,"Variable",J$2,"Escenario",J$1,"Branch","Demand Sites and Catchments\"&amp;$D527),0)</f>
        <v>0</v>
      </c>
      <c r="K527" s="99">
        <f>IFERROR(GETPIVOTDATA("Value",TD_WEAP_RAW!$A$3,"Variable",K$2,"Escenario",K$1,"Branch","Demand Sites and Catchments\"&amp;$D527),0)</f>
        <v>0</v>
      </c>
      <c r="L527" s="99">
        <f>IFERROR(GETPIVOTDATA("Value",TD_WEAP_RAW!$A$3,"Variable",L$2,"Escenario",L$1,"Branch","Demand Sites and Catchments\"&amp;$D527),0)</f>
        <v>0</v>
      </c>
    </row>
    <row r="528" spans="4:12">
      <c r="D528" s="53"/>
      <c r="G528" s="51"/>
      <c r="H528" s="99">
        <f>IFERROR(GETPIVOTDATA("Value",TD_WEAP_RAW!$A$3,"Variable",H$2,"Escenario",H$1,"Branch","Demand Sites and Catchments\"&amp;$D528),0)</f>
        <v>0</v>
      </c>
      <c r="I528" s="99">
        <f>IFERROR(GETPIVOTDATA("Value",TD_WEAP_RAW!$A$3,"Variable",I$2,"Escenario",I$1,"Branch","Demand Sites and Catchments\"&amp;$D528),0)</f>
        <v>0</v>
      </c>
      <c r="J528" s="99"/>
      <c r="K528" s="99">
        <f>IFERROR(GETPIVOTDATA("Value",TD_WEAP_RAW!$A$3,"Variable",K$2,"Escenario",K$1,"Branch","Demand Sites and Catchments\"&amp;$D528),0)</f>
        <v>0</v>
      </c>
      <c r="L528" s="99">
        <f>IFERROR(GETPIVOTDATA("Value",TD_WEAP_RAW!$A$3,"Variable",L$2,"Escenario",L$1,"Branch","Demand Sites and Catchments\"&amp;$D528),0)</f>
        <v>0</v>
      </c>
    </row>
    <row r="529" spans="4:12">
      <c r="D529" s="53"/>
      <c r="G529" s="51"/>
      <c r="H529" s="99">
        <f>IFERROR(GETPIVOTDATA("Value",TD_WEAP_RAW!$A$3,"Variable",H$2,"Escenario",H$1,"Branch","Demand Sites and Catchments\"&amp;$D529),0)</f>
        <v>0</v>
      </c>
      <c r="I529" s="99">
        <f>IFERROR(GETPIVOTDATA("Value",TD_WEAP_RAW!$A$3,"Variable",I$2,"Escenario",I$1,"Branch","Demand Sites and Catchments\"&amp;$D529),0)</f>
        <v>0</v>
      </c>
      <c r="J529" s="99"/>
      <c r="K529" s="99">
        <f>IFERROR(GETPIVOTDATA("Value",TD_WEAP_RAW!$A$3,"Variable",K$2,"Escenario",K$1,"Branch","Demand Sites and Catchments\"&amp;$D529),0)</f>
        <v>0</v>
      </c>
      <c r="L529" s="99">
        <f>IFERROR(GETPIVOTDATA("Value",TD_WEAP_RAW!$A$3,"Variable",L$2,"Escenario",L$1,"Branch","Demand Sites and Catchments\"&amp;$D529),0)</f>
        <v>0</v>
      </c>
    </row>
    <row r="530" spans="4:12">
      <c r="D530" s="53"/>
      <c r="G530" s="51"/>
      <c r="H530" s="99">
        <f>IFERROR(GETPIVOTDATA("Value",TD_WEAP_RAW!$A$3,"Variable",H$2,"Escenario",H$1,"Branch","Demand Sites and Catchments\"&amp;$D530),0)</f>
        <v>0</v>
      </c>
      <c r="I530" s="99">
        <f>IFERROR(GETPIVOTDATA("Value",TD_WEAP_RAW!$A$3,"Variable",I$2,"Escenario",I$1,"Branch","Demand Sites and Catchments\"&amp;$D530),0)</f>
        <v>0</v>
      </c>
      <c r="J530" s="99"/>
      <c r="K530" s="99">
        <f>IFERROR(GETPIVOTDATA("Value",TD_WEAP_RAW!$A$3,"Variable",K$2,"Escenario",K$1,"Branch","Demand Sites and Catchments\"&amp;$D530),0)</f>
        <v>0</v>
      </c>
      <c r="L530" s="99">
        <f>IFERROR(GETPIVOTDATA("Value",TD_WEAP_RAW!$A$3,"Variable",L$2,"Escenario",L$1,"Branch","Demand Sites and Catchments\"&amp;$D530),0)</f>
        <v>0</v>
      </c>
    </row>
    <row r="531" spans="4:12">
      <c r="D531" s="53"/>
      <c r="G531" s="51"/>
      <c r="H531" s="99">
        <f>IFERROR(GETPIVOTDATA("Value",TD_WEAP_RAW!$A$3,"Variable",H$2,"Escenario",H$1,"Branch","Demand Sites and Catchments\"&amp;$D531),0)</f>
        <v>0</v>
      </c>
      <c r="I531" s="99">
        <f>IFERROR(GETPIVOTDATA("Value",TD_WEAP_RAW!$A$3,"Variable",I$2,"Escenario",I$1,"Branch","Demand Sites and Catchments\"&amp;$D531),0)</f>
        <v>0</v>
      </c>
      <c r="J531" s="99"/>
      <c r="K531" s="99">
        <f>IFERROR(GETPIVOTDATA("Value",TD_WEAP_RAW!$A$3,"Variable",K$2,"Escenario",K$1,"Branch","Demand Sites and Catchments\"&amp;$D531),0)</f>
        <v>0</v>
      </c>
      <c r="L531" s="99">
        <f>IFERROR(GETPIVOTDATA("Value",TD_WEAP_RAW!$A$3,"Variable",L$2,"Escenario",L$1,"Branch","Demand Sites and Catchments\"&amp;$D531),0)</f>
        <v>0</v>
      </c>
    </row>
    <row r="532" spans="4:12">
      <c r="D532" s="53"/>
      <c r="G532" s="51"/>
      <c r="H532" s="99">
        <f>IFERROR(GETPIVOTDATA("Value",TD_WEAP_RAW!$A$3,"Variable",H$2,"Escenario",H$1,"Branch","Demand Sites and Catchments\"&amp;$D532),0)</f>
        <v>0</v>
      </c>
      <c r="I532" s="99">
        <f>IFERROR(GETPIVOTDATA("Value",TD_WEAP_RAW!$A$3,"Variable",I$2,"Escenario",I$1,"Branch","Demand Sites and Catchments\"&amp;$D532),0)</f>
        <v>0</v>
      </c>
      <c r="J532" s="99"/>
      <c r="K532" s="99">
        <f>IFERROR(GETPIVOTDATA("Value",TD_WEAP_RAW!$A$3,"Variable",K$2,"Escenario",K$1,"Branch","Demand Sites and Catchments\"&amp;$D532),0)</f>
        <v>0</v>
      </c>
      <c r="L532" s="99">
        <f>IFERROR(GETPIVOTDATA("Value",TD_WEAP_RAW!$A$3,"Variable",L$2,"Escenario",L$1,"Branch","Demand Sites and Catchments\"&amp;$D532),0)</f>
        <v>0</v>
      </c>
    </row>
    <row r="533" spans="4:12">
      <c r="D533" s="53"/>
      <c r="G533" s="51"/>
      <c r="H533" s="99">
        <f>IFERROR(GETPIVOTDATA("Value",TD_WEAP_RAW!$A$3,"Variable",H$2,"Escenario",H$1,"Branch","Demand Sites and Catchments\"&amp;$D533),0)</f>
        <v>0</v>
      </c>
      <c r="I533" s="99">
        <f>IFERROR(GETPIVOTDATA("Value",TD_WEAP_RAW!$A$3,"Variable",I$2,"Escenario",I$1,"Branch","Demand Sites and Catchments\"&amp;$D533),0)</f>
        <v>0</v>
      </c>
      <c r="J533" s="99"/>
      <c r="K533" s="99">
        <f>IFERROR(GETPIVOTDATA("Value",TD_WEAP_RAW!$A$3,"Variable",K$2,"Escenario",K$1,"Branch","Demand Sites and Catchments\"&amp;$D533),0)</f>
        <v>0</v>
      </c>
      <c r="L533" s="99">
        <f>IFERROR(GETPIVOTDATA("Value",TD_WEAP_RAW!$A$3,"Variable",L$2,"Escenario",L$1,"Branch","Demand Sites and Catchments\"&amp;$D533),0)</f>
        <v>0</v>
      </c>
    </row>
    <row r="534" spans="4:12">
      <c r="D534" s="53"/>
      <c r="G534" s="51"/>
      <c r="H534" s="99">
        <f>IFERROR(GETPIVOTDATA("Value",TD_WEAP_RAW!$A$3,"Variable",H$2,"Escenario",H$1,"Branch","Demand Sites and Catchments\"&amp;$D534),0)</f>
        <v>0</v>
      </c>
      <c r="I534" s="99">
        <f>IFERROR(GETPIVOTDATA("Value",TD_WEAP_RAW!$A$3,"Variable",I$2,"Escenario",I$1,"Branch","Demand Sites and Catchments\"&amp;$D534),0)</f>
        <v>0</v>
      </c>
      <c r="J534" s="99"/>
      <c r="K534" s="99">
        <f>IFERROR(GETPIVOTDATA("Value",TD_WEAP_RAW!$A$3,"Variable",K$2,"Escenario",K$1,"Branch","Demand Sites and Catchments\"&amp;$D534),0)</f>
        <v>0</v>
      </c>
      <c r="L534" s="99">
        <f>IFERROR(GETPIVOTDATA("Value",TD_WEAP_RAW!$A$3,"Variable",L$2,"Escenario",L$1,"Branch","Demand Sites and Catchments\"&amp;$D534),0)</f>
        <v>0</v>
      </c>
    </row>
    <row r="535" spans="4:12">
      <c r="D535" s="53"/>
      <c r="G535" s="51"/>
      <c r="H535" s="99">
        <f>IFERROR(GETPIVOTDATA("Value",TD_WEAP_RAW!$A$3,"Variable",H$2,"Escenario",H$1,"Branch","Demand Sites and Catchments\"&amp;$D535),0)</f>
        <v>0</v>
      </c>
      <c r="I535" s="99">
        <f>IFERROR(GETPIVOTDATA("Value",TD_WEAP_RAW!$A$3,"Variable",I$2,"Escenario",I$1,"Branch","Demand Sites and Catchments\"&amp;$D535),0)</f>
        <v>0</v>
      </c>
      <c r="J535" s="99"/>
      <c r="K535" s="99">
        <f>IFERROR(GETPIVOTDATA("Value",TD_WEAP_RAW!$A$3,"Variable",K$2,"Escenario",K$1,"Branch","Demand Sites and Catchments\"&amp;$D535),0)</f>
        <v>0</v>
      </c>
      <c r="L535" s="99">
        <f>IFERROR(GETPIVOTDATA("Value",TD_WEAP_RAW!$A$3,"Variable",L$2,"Escenario",L$1,"Branch","Demand Sites and Catchments\"&amp;$D535),0)</f>
        <v>0</v>
      </c>
    </row>
    <row r="536" spans="4:12">
      <c r="D536" s="53"/>
      <c r="G536" s="51"/>
      <c r="H536" s="99">
        <f>IFERROR(GETPIVOTDATA("Value",TD_WEAP_RAW!$A$3,"Variable",H$2,"Escenario",H$1,"Branch","Demand Sites and Catchments\"&amp;$D536),0)</f>
        <v>0</v>
      </c>
      <c r="I536" s="99">
        <f>IFERROR(GETPIVOTDATA("Value",TD_WEAP_RAW!$A$3,"Variable",I$2,"Escenario",I$1,"Branch","Demand Sites and Catchments\"&amp;$D536),0)</f>
        <v>0</v>
      </c>
      <c r="J536" s="99"/>
      <c r="K536" s="99">
        <f>IFERROR(GETPIVOTDATA("Value",TD_WEAP_RAW!$A$3,"Variable",K$2,"Escenario",K$1,"Branch","Demand Sites and Catchments\"&amp;$D536),0)</f>
        <v>0</v>
      </c>
      <c r="L536" s="99">
        <f>IFERROR(GETPIVOTDATA("Value",TD_WEAP_RAW!$A$3,"Variable",L$2,"Escenario",L$1,"Branch","Demand Sites and Catchments\"&amp;$D536),0)</f>
        <v>0</v>
      </c>
    </row>
    <row r="537" spans="4:12">
      <c r="D537" s="53"/>
      <c r="G537" s="51"/>
      <c r="H537" s="99">
        <f>IFERROR(GETPIVOTDATA("Value",TD_WEAP_RAW!$A$3,"Variable",H$2,"Escenario",H$1,"Branch","Demand Sites and Catchments\"&amp;$D537),0)</f>
        <v>0</v>
      </c>
      <c r="I537" s="99">
        <f>IFERROR(GETPIVOTDATA("Value",TD_WEAP_RAW!$A$3,"Variable",I$2,"Escenario",I$1,"Branch","Demand Sites and Catchments\"&amp;$D537),0)</f>
        <v>0</v>
      </c>
      <c r="J537" s="99"/>
      <c r="K537" s="99">
        <f>IFERROR(GETPIVOTDATA("Value",TD_WEAP_RAW!$A$3,"Variable",K$2,"Escenario",K$1,"Branch","Demand Sites and Catchments\"&amp;$D537),0)</f>
        <v>0</v>
      </c>
      <c r="L537" s="99">
        <f>IFERROR(GETPIVOTDATA("Value",TD_WEAP_RAW!$A$3,"Variable",L$2,"Escenario",L$1,"Branch","Demand Sites and Catchments\"&amp;$D537),0)</f>
        <v>0</v>
      </c>
    </row>
    <row r="538" spans="4:12">
      <c r="D538" s="53"/>
      <c r="G538" s="51"/>
      <c r="H538" s="99">
        <f>IFERROR(GETPIVOTDATA("Value",TD_WEAP_RAW!$A$3,"Variable",H$2,"Escenario",H$1,"Branch","Demand Sites and Catchments\"&amp;$D538),0)</f>
        <v>0</v>
      </c>
      <c r="I538" s="99">
        <f>IFERROR(GETPIVOTDATA("Value",TD_WEAP_RAW!$A$3,"Variable",I$2,"Escenario",I$1,"Branch","Demand Sites and Catchments\"&amp;$D538),0)</f>
        <v>0</v>
      </c>
      <c r="J538" s="99"/>
      <c r="K538" s="99">
        <f>IFERROR(GETPIVOTDATA("Value",TD_WEAP_RAW!$A$3,"Variable",K$2,"Escenario",K$1,"Branch","Demand Sites and Catchments\"&amp;$D538),0)</f>
        <v>0</v>
      </c>
      <c r="L538" s="99">
        <f>IFERROR(GETPIVOTDATA("Value",TD_WEAP_RAW!$A$3,"Variable",L$2,"Escenario",L$1,"Branch","Demand Sites and Catchments\"&amp;$D538),0)</f>
        <v>0</v>
      </c>
    </row>
    <row r="539" spans="4:12">
      <c r="D539" s="53"/>
      <c r="G539" s="51"/>
      <c r="H539" s="99">
        <f>IFERROR(GETPIVOTDATA("Value",TD_WEAP_RAW!$A$3,"Variable",H$2,"Escenario",H$1,"Branch","Demand Sites and Catchments\"&amp;$D539),0)</f>
        <v>0</v>
      </c>
      <c r="I539" s="99">
        <f>IFERROR(GETPIVOTDATA("Value",TD_WEAP_RAW!$A$3,"Variable",I$2,"Escenario",I$1,"Branch","Demand Sites and Catchments\"&amp;$D539),0)</f>
        <v>0</v>
      </c>
      <c r="J539" s="99"/>
      <c r="K539" s="99">
        <f>IFERROR(GETPIVOTDATA("Value",TD_WEAP_RAW!$A$3,"Variable",K$2,"Escenario",K$1,"Branch","Demand Sites and Catchments\"&amp;$D539),0)</f>
        <v>0</v>
      </c>
      <c r="L539" s="99">
        <f>IFERROR(GETPIVOTDATA("Value",TD_WEAP_RAW!$A$3,"Variable",L$2,"Escenario",L$1,"Branch","Demand Sites and Catchments\"&amp;$D539),0)</f>
        <v>0</v>
      </c>
    </row>
    <row r="540" spans="4:12">
      <c r="D540" s="53"/>
      <c r="G540" s="51"/>
      <c r="H540" s="99">
        <f>IFERROR(GETPIVOTDATA("Value",TD_WEAP_RAW!$A$3,"Variable",H$2,"Escenario",H$1,"Branch","Demand Sites and Catchments\"&amp;$D540),0)</f>
        <v>0</v>
      </c>
      <c r="I540" s="99">
        <f>IFERROR(GETPIVOTDATA("Value",TD_WEAP_RAW!$A$3,"Variable",I$2,"Escenario",I$1,"Branch","Demand Sites and Catchments\"&amp;$D540),0)</f>
        <v>0</v>
      </c>
      <c r="J540" s="99"/>
      <c r="K540" s="99">
        <f>IFERROR(GETPIVOTDATA("Value",TD_WEAP_RAW!$A$3,"Variable",K$2,"Escenario",K$1,"Branch","Demand Sites and Catchments\"&amp;$D540),0)</f>
        <v>0</v>
      </c>
      <c r="L540" s="99">
        <f>IFERROR(GETPIVOTDATA("Value",TD_WEAP_RAW!$A$3,"Variable",L$2,"Escenario",L$1,"Branch","Demand Sites and Catchments\"&amp;$D540),0)</f>
        <v>0</v>
      </c>
    </row>
    <row r="541" spans="4:12">
      <c r="D541" s="53"/>
      <c r="G541" s="51"/>
      <c r="H541" s="99">
        <f>IFERROR(GETPIVOTDATA("Value",TD_WEAP_RAW!$A$3,"Variable",H$2,"Escenario",H$1,"Branch","Demand Sites and Catchments\"&amp;$D541),0)</f>
        <v>0</v>
      </c>
      <c r="I541" s="99">
        <f>IFERROR(GETPIVOTDATA("Value",TD_WEAP_RAW!$A$3,"Variable",I$2,"Escenario",I$1,"Branch","Demand Sites and Catchments\"&amp;$D541),0)</f>
        <v>0</v>
      </c>
      <c r="J541" s="99"/>
      <c r="K541" s="99">
        <f>IFERROR(GETPIVOTDATA("Value",TD_WEAP_RAW!$A$3,"Variable",K$2,"Escenario",K$1,"Branch","Demand Sites and Catchments\"&amp;$D541),0)</f>
        <v>0</v>
      </c>
      <c r="L541" s="99">
        <f>IFERROR(GETPIVOTDATA("Value",TD_WEAP_RAW!$A$3,"Variable",L$2,"Escenario",L$1,"Branch","Demand Sites and Catchments\"&amp;$D541),0)</f>
        <v>0</v>
      </c>
    </row>
    <row r="542" spans="4:12">
      <c r="D542" s="53"/>
      <c r="G542" s="51"/>
      <c r="H542" s="99">
        <f>IFERROR(GETPIVOTDATA("Value",TD_WEAP_RAW!$A$3,"Variable",H$2,"Escenario",H$1,"Branch","Demand Sites and Catchments\"&amp;$D542),0)</f>
        <v>0</v>
      </c>
      <c r="I542" s="99">
        <f>IFERROR(GETPIVOTDATA("Value",TD_WEAP_RAW!$A$3,"Variable",I$2,"Escenario",I$1,"Branch","Demand Sites and Catchments\"&amp;$D542),0)</f>
        <v>0</v>
      </c>
      <c r="J542" s="99"/>
      <c r="K542" s="99">
        <f>IFERROR(GETPIVOTDATA("Value",TD_WEAP_RAW!$A$3,"Variable",K$2,"Escenario",K$1,"Branch","Demand Sites and Catchments\"&amp;$D542),0)</f>
        <v>0</v>
      </c>
      <c r="L542" s="99">
        <f>IFERROR(GETPIVOTDATA("Value",TD_WEAP_RAW!$A$3,"Variable",L$2,"Escenario",L$1,"Branch","Demand Sites and Catchments\"&amp;$D542),0)</f>
        <v>0</v>
      </c>
    </row>
    <row r="543" spans="4:12">
      <c r="D543" s="53"/>
      <c r="G543" s="51"/>
      <c r="H543" s="99">
        <f>IFERROR(GETPIVOTDATA("Value",TD_WEAP_RAW!$A$3,"Variable",H$2,"Escenario",H$1,"Branch","Demand Sites and Catchments\"&amp;$D543),0)</f>
        <v>0</v>
      </c>
      <c r="I543" s="99">
        <f>IFERROR(GETPIVOTDATA("Value",TD_WEAP_RAW!$A$3,"Variable",I$2,"Escenario",I$1,"Branch","Demand Sites and Catchments\"&amp;$D543),0)</f>
        <v>0</v>
      </c>
      <c r="J543" s="99"/>
      <c r="K543" s="99">
        <f>IFERROR(GETPIVOTDATA("Value",TD_WEAP_RAW!$A$3,"Variable",K$2,"Escenario",K$1,"Branch","Demand Sites and Catchments\"&amp;$D543),0)</f>
        <v>0</v>
      </c>
      <c r="L543" s="99">
        <f>IFERROR(GETPIVOTDATA("Value",TD_WEAP_RAW!$A$3,"Variable",L$2,"Escenario",L$1,"Branch","Demand Sites and Catchments\"&amp;$D543),0)</f>
        <v>0</v>
      </c>
    </row>
    <row r="544" spans="4:12">
      <c r="D544" s="53"/>
      <c r="G544" s="51"/>
      <c r="H544" s="99">
        <f>IFERROR(GETPIVOTDATA("Value",TD_WEAP_RAW!$A$3,"Variable",H$2,"Escenario",H$1,"Branch","Demand Sites and Catchments\"&amp;$D544),0)</f>
        <v>0</v>
      </c>
      <c r="I544" s="99">
        <f>IFERROR(GETPIVOTDATA("Value",TD_WEAP_RAW!$A$3,"Variable",I$2,"Escenario",I$1,"Branch","Demand Sites and Catchments\"&amp;$D544),0)</f>
        <v>0</v>
      </c>
      <c r="J544" s="99"/>
      <c r="K544" s="99">
        <f>IFERROR(GETPIVOTDATA("Value",TD_WEAP_RAW!$A$3,"Variable",K$2,"Escenario",K$1,"Branch","Demand Sites and Catchments\"&amp;$D544),0)</f>
        <v>0</v>
      </c>
      <c r="L544" s="99">
        <f>IFERROR(GETPIVOTDATA("Value",TD_WEAP_RAW!$A$3,"Variable",L$2,"Escenario",L$1,"Branch","Demand Sites and Catchments\"&amp;$D544),0)</f>
        <v>0</v>
      </c>
    </row>
    <row r="545" spans="4:12">
      <c r="D545" s="53"/>
      <c r="G545" s="51"/>
      <c r="H545" s="99">
        <f>IFERROR(GETPIVOTDATA("Value",TD_WEAP_RAW!$A$3,"Variable",H$2,"Escenario",H$1,"Branch","Demand Sites and Catchments\"&amp;$D545),0)</f>
        <v>0</v>
      </c>
      <c r="I545" s="99">
        <f>IFERROR(GETPIVOTDATA("Value",TD_WEAP_RAW!$A$3,"Variable",I$2,"Escenario",I$1,"Branch","Demand Sites and Catchments\"&amp;$D545),0)</f>
        <v>0</v>
      </c>
      <c r="J545" s="99"/>
      <c r="K545" s="99">
        <f>IFERROR(GETPIVOTDATA("Value",TD_WEAP_RAW!$A$3,"Variable",K$2,"Escenario",K$1,"Branch","Demand Sites and Catchments\"&amp;$D545),0)</f>
        <v>0</v>
      </c>
      <c r="L545" s="99">
        <f>IFERROR(GETPIVOTDATA("Value",TD_WEAP_RAW!$A$3,"Variable",L$2,"Escenario",L$1,"Branch","Demand Sites and Catchments\"&amp;$D545),0)</f>
        <v>0</v>
      </c>
    </row>
    <row r="546" spans="4:12">
      <c r="D546" s="53"/>
      <c r="G546" s="51"/>
      <c r="H546" s="99">
        <f>IFERROR(GETPIVOTDATA("Value",TD_WEAP_RAW!$A$3,"Variable",H$2,"Escenario",H$1,"Branch","Demand Sites and Catchments\"&amp;$D546),0)</f>
        <v>0</v>
      </c>
      <c r="I546" s="99">
        <f>IFERROR(GETPIVOTDATA("Value",TD_WEAP_RAW!$A$3,"Variable",I$2,"Escenario",I$1,"Branch","Demand Sites and Catchments\"&amp;$D546),0)</f>
        <v>0</v>
      </c>
      <c r="J546" s="99"/>
      <c r="K546" s="99">
        <f>IFERROR(GETPIVOTDATA("Value",TD_WEAP_RAW!$A$3,"Variable",K$2,"Escenario",K$1,"Branch","Demand Sites and Catchments\"&amp;$D546),0)</f>
        <v>0</v>
      </c>
      <c r="L546" s="99">
        <f>IFERROR(GETPIVOTDATA("Value",TD_WEAP_RAW!$A$3,"Variable",L$2,"Escenario",L$1,"Branch","Demand Sites and Catchments\"&amp;$D546),0)</f>
        <v>0</v>
      </c>
    </row>
    <row r="547" spans="4:12">
      <c r="D547" s="53"/>
      <c r="G547" s="51"/>
      <c r="H547" s="99">
        <f>IFERROR(GETPIVOTDATA("Value",TD_WEAP_RAW!$A$3,"Variable",H$2,"Escenario",H$1,"Branch","Demand Sites and Catchments\"&amp;$D547),0)</f>
        <v>0</v>
      </c>
      <c r="I547" s="99">
        <f>IFERROR(GETPIVOTDATA("Value",TD_WEAP_RAW!$A$3,"Variable",I$2,"Escenario",I$1,"Branch","Demand Sites and Catchments\"&amp;$D547),0)</f>
        <v>0</v>
      </c>
      <c r="J547" s="99"/>
      <c r="K547" s="99">
        <f>IFERROR(GETPIVOTDATA("Value",TD_WEAP_RAW!$A$3,"Variable",K$2,"Escenario",K$1,"Branch","Demand Sites and Catchments\"&amp;$D547),0)</f>
        <v>0</v>
      </c>
      <c r="L547" s="99">
        <f>IFERROR(GETPIVOTDATA("Value",TD_WEAP_RAW!$A$3,"Variable",L$2,"Escenario",L$1,"Branch","Demand Sites and Catchments\"&amp;$D547),0)</f>
        <v>0</v>
      </c>
    </row>
    <row r="548" spans="4:12">
      <c r="D548" s="53"/>
      <c r="G548" s="51"/>
      <c r="H548" s="99">
        <f>IFERROR(GETPIVOTDATA("Value",TD_WEAP_RAW!$A$3,"Variable",H$2,"Escenario",H$1,"Branch","Demand Sites and Catchments\"&amp;$D548),0)</f>
        <v>0</v>
      </c>
      <c r="I548" s="99">
        <f>IFERROR(GETPIVOTDATA("Value",TD_WEAP_RAW!$A$3,"Variable",I$2,"Escenario",I$1,"Branch","Demand Sites and Catchments\"&amp;$D548),0)</f>
        <v>0</v>
      </c>
      <c r="J548" s="99"/>
      <c r="K548" s="99">
        <f>IFERROR(GETPIVOTDATA("Value",TD_WEAP_RAW!$A$3,"Variable",K$2,"Escenario",K$1,"Branch","Demand Sites and Catchments\"&amp;$D548),0)</f>
        <v>0</v>
      </c>
      <c r="L548" s="99">
        <f>IFERROR(GETPIVOTDATA("Value",TD_WEAP_RAW!$A$3,"Variable",L$2,"Escenario",L$1,"Branch","Demand Sites and Catchments\"&amp;$D548),0)</f>
        <v>0</v>
      </c>
    </row>
    <row r="549" spans="4:12">
      <c r="D549" s="53"/>
      <c r="G549" s="51"/>
      <c r="H549" s="99">
        <f>IFERROR(GETPIVOTDATA("Value",TD_WEAP_RAW!$A$3,"Variable",H$2,"Escenario",H$1,"Branch","Demand Sites and Catchments\"&amp;$D549),0)</f>
        <v>0</v>
      </c>
      <c r="I549" s="99">
        <f>IFERROR(GETPIVOTDATA("Value",TD_WEAP_RAW!$A$3,"Variable",I$2,"Escenario",I$1,"Branch","Demand Sites and Catchments\"&amp;$D549),0)</f>
        <v>0</v>
      </c>
      <c r="J549" s="99"/>
      <c r="K549" s="99">
        <f>IFERROR(GETPIVOTDATA("Value",TD_WEAP_RAW!$A$3,"Variable",K$2,"Escenario",K$1,"Branch","Demand Sites and Catchments\"&amp;$D549),0)</f>
        <v>0</v>
      </c>
      <c r="L549" s="99">
        <f>IFERROR(GETPIVOTDATA("Value",TD_WEAP_RAW!$A$3,"Variable",L$2,"Escenario",L$1,"Branch","Demand Sites and Catchments\"&amp;$D549),0)</f>
        <v>0</v>
      </c>
    </row>
    <row r="550" spans="4:12">
      <c r="D550" s="53"/>
      <c r="G550" s="51"/>
      <c r="H550" s="99">
        <f>IFERROR(GETPIVOTDATA("Value",TD_WEAP_RAW!$A$3,"Variable",H$2,"Escenario",H$1,"Branch","Demand Sites and Catchments\"&amp;$D550),0)</f>
        <v>0</v>
      </c>
      <c r="I550" s="99">
        <f>IFERROR(GETPIVOTDATA("Value",TD_WEAP_RAW!$A$3,"Variable",I$2,"Escenario",I$1,"Branch","Demand Sites and Catchments\"&amp;$D550),0)</f>
        <v>0</v>
      </c>
      <c r="J550" s="99"/>
      <c r="K550" s="99">
        <f>IFERROR(GETPIVOTDATA("Value",TD_WEAP_RAW!$A$3,"Variable",K$2,"Escenario",K$1,"Branch","Demand Sites and Catchments\"&amp;$D550),0)</f>
        <v>0</v>
      </c>
      <c r="L550" s="99">
        <f>IFERROR(GETPIVOTDATA("Value",TD_WEAP_RAW!$A$3,"Variable",L$2,"Escenario",L$1,"Branch","Demand Sites and Catchments\"&amp;$D550),0)</f>
        <v>0</v>
      </c>
    </row>
    <row r="551" spans="4:12">
      <c r="D551" s="53"/>
      <c r="G551" s="51"/>
      <c r="H551" s="99">
        <f>IFERROR(GETPIVOTDATA("Value",TD_WEAP_RAW!$A$3,"Variable",H$2,"Escenario",H$1,"Branch","Demand Sites and Catchments\"&amp;$D551),0)</f>
        <v>0</v>
      </c>
      <c r="I551" s="99">
        <f>IFERROR(GETPIVOTDATA("Value",TD_WEAP_RAW!$A$3,"Variable",I$2,"Escenario",I$1,"Branch","Demand Sites and Catchments\"&amp;$D551),0)</f>
        <v>0</v>
      </c>
      <c r="J551" s="99"/>
      <c r="K551" s="99">
        <f>IFERROR(GETPIVOTDATA("Value",TD_WEAP_RAW!$A$3,"Variable",K$2,"Escenario",K$1,"Branch","Demand Sites and Catchments\"&amp;$D551),0)</f>
        <v>0</v>
      </c>
      <c r="L551" s="99">
        <f>IFERROR(GETPIVOTDATA("Value",TD_WEAP_RAW!$A$3,"Variable",L$2,"Escenario",L$1,"Branch","Demand Sites and Catchments\"&amp;$D551),0)</f>
        <v>0</v>
      </c>
    </row>
    <row r="552" spans="4:12">
      <c r="D552" s="53"/>
      <c r="G552" s="51"/>
      <c r="H552" s="99">
        <f>IFERROR(GETPIVOTDATA("Value",TD_WEAP_RAW!$A$3,"Variable",H$2,"Escenario",H$1,"Branch","Demand Sites and Catchments\"&amp;$D552),0)</f>
        <v>0</v>
      </c>
      <c r="I552" s="99">
        <f>IFERROR(GETPIVOTDATA("Value",TD_WEAP_RAW!$A$3,"Variable",I$2,"Escenario",I$1,"Branch","Demand Sites and Catchments\"&amp;$D552),0)</f>
        <v>0</v>
      </c>
      <c r="J552" s="99"/>
      <c r="K552" s="99">
        <f>IFERROR(GETPIVOTDATA("Value",TD_WEAP_RAW!$A$3,"Variable",K$2,"Escenario",K$1,"Branch","Demand Sites and Catchments\"&amp;$D552),0)</f>
        <v>0</v>
      </c>
      <c r="L552" s="99">
        <f>IFERROR(GETPIVOTDATA("Value",TD_WEAP_RAW!$A$3,"Variable",L$2,"Escenario",L$1,"Branch","Demand Sites and Catchments\"&amp;$D552),0)</f>
        <v>0</v>
      </c>
    </row>
    <row r="553" spans="4:12">
      <c r="D553" s="53"/>
      <c r="G553" s="51"/>
      <c r="H553" s="99">
        <f>IFERROR(GETPIVOTDATA("Value",TD_WEAP_RAW!$A$3,"Variable",H$2,"Escenario",H$1,"Branch","Demand Sites and Catchments\"&amp;$D553),0)</f>
        <v>0</v>
      </c>
      <c r="I553" s="99">
        <f>IFERROR(GETPIVOTDATA("Value",TD_WEAP_RAW!$A$3,"Variable",I$2,"Escenario",I$1,"Branch","Demand Sites and Catchments\"&amp;$D553),0)</f>
        <v>0</v>
      </c>
      <c r="J553" s="99"/>
      <c r="K553" s="99">
        <f>IFERROR(GETPIVOTDATA("Value",TD_WEAP_RAW!$A$3,"Variable",K$2,"Escenario",K$1,"Branch","Demand Sites and Catchments\"&amp;$D553),0)</f>
        <v>0</v>
      </c>
      <c r="L553" s="99">
        <f>IFERROR(GETPIVOTDATA("Value",TD_WEAP_RAW!$A$3,"Variable",L$2,"Escenario",L$1,"Branch","Demand Sites and Catchments\"&amp;$D553),0)</f>
        <v>0</v>
      </c>
    </row>
    <row r="554" spans="4:12">
      <c r="D554" s="53"/>
      <c r="G554" s="51"/>
      <c r="H554" s="99">
        <f>IFERROR(GETPIVOTDATA("Value",TD_WEAP_RAW!$A$3,"Variable",H$2,"Escenario",H$1,"Branch","Demand Sites and Catchments\"&amp;$D554),0)</f>
        <v>0</v>
      </c>
      <c r="I554" s="99">
        <f>IFERROR(GETPIVOTDATA("Value",TD_WEAP_RAW!$A$3,"Variable",I$2,"Escenario",I$1,"Branch","Demand Sites and Catchments\"&amp;$D554),0)</f>
        <v>0</v>
      </c>
      <c r="J554" s="99"/>
      <c r="K554" s="99">
        <f>IFERROR(GETPIVOTDATA("Value",TD_WEAP_RAW!$A$3,"Variable",K$2,"Escenario",K$1,"Branch","Demand Sites and Catchments\"&amp;$D554),0)</f>
        <v>0</v>
      </c>
      <c r="L554" s="99">
        <f>IFERROR(GETPIVOTDATA("Value",TD_WEAP_RAW!$A$3,"Variable",L$2,"Escenario",L$1,"Branch","Demand Sites and Catchments\"&amp;$D554),0)</f>
        <v>0</v>
      </c>
    </row>
    <row r="555" spans="4:12">
      <c r="D555" s="53"/>
      <c r="G555" s="51"/>
      <c r="H555" s="99">
        <f>IFERROR(GETPIVOTDATA("Value",TD_WEAP_RAW!$A$3,"Variable",H$2,"Escenario",H$1,"Branch","Demand Sites and Catchments\"&amp;$D555),0)</f>
        <v>0</v>
      </c>
      <c r="I555" s="99">
        <f>IFERROR(GETPIVOTDATA("Value",TD_WEAP_RAW!$A$3,"Variable",I$2,"Escenario",I$1,"Branch","Demand Sites and Catchments\"&amp;$D555),0)</f>
        <v>0</v>
      </c>
      <c r="J555" s="99"/>
      <c r="K555" s="99">
        <f>IFERROR(GETPIVOTDATA("Value",TD_WEAP_RAW!$A$3,"Variable",K$2,"Escenario",K$1,"Branch","Demand Sites and Catchments\"&amp;$D555),0)</f>
        <v>0</v>
      </c>
      <c r="L555" s="99">
        <f>IFERROR(GETPIVOTDATA("Value",TD_WEAP_RAW!$A$3,"Variable",L$2,"Escenario",L$1,"Branch","Demand Sites and Catchments\"&amp;$D555),0)</f>
        <v>0</v>
      </c>
    </row>
    <row r="556" spans="4:12">
      <c r="D556" s="53"/>
      <c r="G556" s="51"/>
      <c r="H556" s="99">
        <f>IFERROR(GETPIVOTDATA("Value",TD_WEAP_RAW!$A$3,"Variable",H$2,"Escenario",H$1,"Branch","Demand Sites and Catchments\"&amp;$D556),0)</f>
        <v>0</v>
      </c>
      <c r="I556" s="99">
        <f>IFERROR(GETPIVOTDATA("Value",TD_WEAP_RAW!$A$3,"Variable",I$2,"Escenario",I$1,"Branch","Demand Sites and Catchments\"&amp;$D556),0)</f>
        <v>0</v>
      </c>
      <c r="J556" s="99"/>
      <c r="K556" s="99">
        <f>IFERROR(GETPIVOTDATA("Value",TD_WEAP_RAW!$A$3,"Variable",K$2,"Escenario",K$1,"Branch","Demand Sites and Catchments\"&amp;$D556),0)</f>
        <v>0</v>
      </c>
      <c r="L556" s="99">
        <f>IFERROR(GETPIVOTDATA("Value",TD_WEAP_RAW!$A$3,"Variable",L$2,"Escenario",L$1,"Branch","Demand Sites and Catchments\"&amp;$D556),0)</f>
        <v>0</v>
      </c>
    </row>
    <row r="557" spans="4:12">
      <c r="D557" s="53"/>
      <c r="G557" s="51"/>
      <c r="H557" s="99">
        <f>IFERROR(GETPIVOTDATA("Value",TD_WEAP_RAW!$A$3,"Variable",H$2,"Escenario",H$1,"Branch","Demand Sites and Catchments\"&amp;$D557),0)</f>
        <v>0</v>
      </c>
      <c r="I557" s="99">
        <f>IFERROR(GETPIVOTDATA("Value",TD_WEAP_RAW!$A$3,"Variable",I$2,"Escenario",I$1,"Branch","Demand Sites and Catchments\"&amp;$D557),0)</f>
        <v>0</v>
      </c>
      <c r="J557" s="99"/>
      <c r="K557" s="99">
        <f>IFERROR(GETPIVOTDATA("Value",TD_WEAP_RAW!$A$3,"Variable",K$2,"Escenario",K$1,"Branch","Demand Sites and Catchments\"&amp;$D557),0)</f>
        <v>0</v>
      </c>
      <c r="L557" s="99">
        <f>IFERROR(GETPIVOTDATA("Value",TD_WEAP_RAW!$A$3,"Variable",L$2,"Escenario",L$1,"Branch","Demand Sites and Catchments\"&amp;$D557),0)</f>
        <v>0</v>
      </c>
    </row>
    <row r="558" spans="4:12">
      <c r="D558" s="53"/>
      <c r="G558" s="51"/>
      <c r="H558" s="99">
        <f>IFERROR(GETPIVOTDATA("Value",TD_WEAP_RAW!$A$3,"Variable",H$2,"Escenario",H$1,"Branch","Demand Sites and Catchments\"&amp;$D558),0)</f>
        <v>0</v>
      </c>
      <c r="I558" s="99">
        <f>IFERROR(GETPIVOTDATA("Value",TD_WEAP_RAW!$A$3,"Variable",I$2,"Escenario",I$1,"Branch","Demand Sites and Catchments\"&amp;$D558),0)</f>
        <v>0</v>
      </c>
      <c r="J558" s="99"/>
      <c r="K558" s="99">
        <f>IFERROR(GETPIVOTDATA("Value",TD_WEAP_RAW!$A$3,"Variable",K$2,"Escenario",K$1,"Branch","Demand Sites and Catchments\"&amp;$D558),0)</f>
        <v>0</v>
      </c>
      <c r="L558" s="99">
        <f>IFERROR(GETPIVOTDATA("Value",TD_WEAP_RAW!$A$3,"Variable",L$2,"Escenario",L$1,"Branch","Demand Sites and Catchments\"&amp;$D558),0)</f>
        <v>0</v>
      </c>
    </row>
    <row r="559" spans="4:12">
      <c r="D559" s="53"/>
      <c r="G559" s="51"/>
      <c r="H559" s="99">
        <f>IFERROR(GETPIVOTDATA("Value",TD_WEAP_RAW!$A$3,"Variable",H$2,"Escenario",H$1,"Branch","Demand Sites and Catchments\"&amp;$D559),0)</f>
        <v>0</v>
      </c>
      <c r="I559" s="99">
        <f>IFERROR(GETPIVOTDATA("Value",TD_WEAP_RAW!$A$3,"Variable",I$2,"Escenario",I$1,"Branch","Demand Sites and Catchments\"&amp;$D559),0)</f>
        <v>0</v>
      </c>
      <c r="J559" s="99"/>
      <c r="K559" s="99">
        <f>IFERROR(GETPIVOTDATA("Value",TD_WEAP_RAW!$A$3,"Variable",K$2,"Escenario",K$1,"Branch","Demand Sites and Catchments\"&amp;$D559),0)</f>
        <v>0</v>
      </c>
      <c r="L559" s="99">
        <f>IFERROR(GETPIVOTDATA("Value",TD_WEAP_RAW!$A$3,"Variable",L$2,"Escenario",L$1,"Branch","Demand Sites and Catchments\"&amp;$D559),0)</f>
        <v>0</v>
      </c>
    </row>
    <row r="560" spans="4:12">
      <c r="D560" s="53"/>
      <c r="G560" s="51"/>
      <c r="H560" s="99">
        <f>IFERROR(GETPIVOTDATA("Value",TD_WEAP_RAW!$A$3,"Variable",H$2,"Escenario",H$1,"Branch","Demand Sites and Catchments\"&amp;$D560),0)</f>
        <v>0</v>
      </c>
      <c r="I560" s="99">
        <f>IFERROR(GETPIVOTDATA("Value",TD_WEAP_RAW!$A$3,"Variable",I$2,"Escenario",I$1,"Branch","Demand Sites and Catchments\"&amp;$D560),0)</f>
        <v>0</v>
      </c>
      <c r="J560" s="99"/>
      <c r="K560" s="99">
        <f>IFERROR(GETPIVOTDATA("Value",TD_WEAP_RAW!$A$3,"Variable",K$2,"Escenario",K$1,"Branch","Demand Sites and Catchments\"&amp;$D560),0)</f>
        <v>0</v>
      </c>
      <c r="L560" s="99">
        <f>IFERROR(GETPIVOTDATA("Value",TD_WEAP_RAW!$A$3,"Variable",L$2,"Escenario",L$1,"Branch","Demand Sites and Catchments\"&amp;$D560),0)</f>
        <v>0</v>
      </c>
    </row>
    <row r="561" spans="4:12">
      <c r="D561" s="53"/>
      <c r="G561" s="51"/>
      <c r="H561" s="99">
        <f>IFERROR(GETPIVOTDATA("Value",TD_WEAP_RAW!$A$3,"Variable",H$2,"Escenario",H$1,"Branch","Demand Sites and Catchments\"&amp;$D561),0)</f>
        <v>0</v>
      </c>
      <c r="I561" s="99">
        <f>IFERROR(GETPIVOTDATA("Value",TD_WEAP_RAW!$A$3,"Variable",I$2,"Escenario",I$1,"Branch","Demand Sites and Catchments\"&amp;$D561),0)</f>
        <v>0</v>
      </c>
      <c r="J561" s="99"/>
      <c r="K561" s="99">
        <f>IFERROR(GETPIVOTDATA("Value",TD_WEAP_RAW!$A$3,"Variable",K$2,"Escenario",K$1,"Branch","Demand Sites and Catchments\"&amp;$D561),0)</f>
        <v>0</v>
      </c>
      <c r="L561" s="99">
        <f>IFERROR(GETPIVOTDATA("Value",TD_WEAP_RAW!$A$3,"Variable",L$2,"Escenario",L$1,"Branch","Demand Sites and Catchments\"&amp;$D561),0)</f>
        <v>0</v>
      </c>
    </row>
    <row r="562" spans="4:12">
      <c r="D562" s="53"/>
      <c r="G562" s="51"/>
      <c r="H562" s="99">
        <f>IFERROR(GETPIVOTDATA("Value",TD_WEAP_RAW!$A$3,"Variable",H$2,"Escenario",H$1,"Branch","Demand Sites and Catchments\"&amp;$D562),0)</f>
        <v>0</v>
      </c>
      <c r="I562" s="99">
        <f>IFERROR(GETPIVOTDATA("Value",TD_WEAP_RAW!$A$3,"Variable",I$2,"Escenario",I$1,"Branch","Demand Sites and Catchments\"&amp;$D562),0)</f>
        <v>0</v>
      </c>
      <c r="J562" s="99"/>
      <c r="K562" s="99">
        <f>IFERROR(GETPIVOTDATA("Value",TD_WEAP_RAW!$A$3,"Variable",K$2,"Escenario",K$1,"Branch","Demand Sites and Catchments\"&amp;$D562),0)</f>
        <v>0</v>
      </c>
      <c r="L562" s="99">
        <f>IFERROR(GETPIVOTDATA("Value",TD_WEAP_RAW!$A$3,"Variable",L$2,"Escenario",L$1,"Branch","Demand Sites and Catchments\"&amp;$D562),0)</f>
        <v>0</v>
      </c>
    </row>
    <row r="563" spans="4:12">
      <c r="D563" s="53"/>
      <c r="G563" s="51"/>
      <c r="H563" s="99">
        <f>IFERROR(GETPIVOTDATA("Value",TD_WEAP_RAW!$A$3,"Variable",H$2,"Escenario",H$1,"Branch","Demand Sites and Catchments\"&amp;$D563),0)</f>
        <v>0</v>
      </c>
      <c r="I563" s="99">
        <f>IFERROR(GETPIVOTDATA("Value",TD_WEAP_RAW!$A$3,"Variable",I$2,"Escenario",I$1,"Branch","Demand Sites and Catchments\"&amp;$D563),0)</f>
        <v>0</v>
      </c>
      <c r="J563" s="99"/>
      <c r="K563" s="99">
        <f>IFERROR(GETPIVOTDATA("Value",TD_WEAP_RAW!$A$3,"Variable",K$2,"Escenario",K$1,"Branch","Demand Sites and Catchments\"&amp;$D563),0)</f>
        <v>0</v>
      </c>
      <c r="L563" s="99">
        <f>IFERROR(GETPIVOTDATA("Value",TD_WEAP_RAW!$A$3,"Variable",L$2,"Escenario",L$1,"Branch","Demand Sites and Catchments\"&amp;$D563),0)</f>
        <v>0</v>
      </c>
    </row>
    <row r="564" spans="4:12">
      <c r="D564" s="53"/>
      <c r="G564" s="51"/>
      <c r="H564" s="99">
        <f>IFERROR(GETPIVOTDATA("Value",TD_WEAP_RAW!$A$3,"Variable",H$2,"Escenario",H$1,"Branch","Demand Sites and Catchments\"&amp;$D564),0)</f>
        <v>0</v>
      </c>
      <c r="I564" s="99">
        <f>IFERROR(GETPIVOTDATA("Value",TD_WEAP_RAW!$A$3,"Variable",I$2,"Escenario",I$1,"Branch","Demand Sites and Catchments\"&amp;$D564),0)</f>
        <v>0</v>
      </c>
      <c r="J564" s="99"/>
      <c r="K564" s="99">
        <f>IFERROR(GETPIVOTDATA("Value",TD_WEAP_RAW!$A$3,"Variable",K$2,"Escenario",K$1,"Branch","Demand Sites and Catchments\"&amp;$D564),0)</f>
        <v>0</v>
      </c>
      <c r="L564" s="99">
        <f>IFERROR(GETPIVOTDATA("Value",TD_WEAP_RAW!$A$3,"Variable",L$2,"Escenario",L$1,"Branch","Demand Sites and Catchments\"&amp;$D564),0)</f>
        <v>0</v>
      </c>
    </row>
    <row r="565" spans="4:12">
      <c r="D565" s="53"/>
      <c r="G565" s="51"/>
      <c r="H565" s="99">
        <f>IFERROR(GETPIVOTDATA("Value",TD_WEAP_RAW!$A$3,"Variable",H$2,"Escenario",H$1,"Branch","Demand Sites and Catchments\"&amp;$D565),0)</f>
        <v>0</v>
      </c>
      <c r="I565" s="99">
        <f>IFERROR(GETPIVOTDATA("Value",TD_WEAP_RAW!$A$3,"Variable",I$2,"Escenario",I$1,"Branch","Demand Sites and Catchments\"&amp;$D565),0)</f>
        <v>0</v>
      </c>
      <c r="J565" s="99"/>
      <c r="K565" s="99">
        <f>IFERROR(GETPIVOTDATA("Value",TD_WEAP_RAW!$A$3,"Variable",K$2,"Escenario",K$1,"Branch","Demand Sites and Catchments\"&amp;$D565),0)</f>
        <v>0</v>
      </c>
      <c r="L565" s="99">
        <f>IFERROR(GETPIVOTDATA("Value",TD_WEAP_RAW!$A$3,"Variable",L$2,"Escenario",L$1,"Branch","Demand Sites and Catchments\"&amp;$D565),0)</f>
        <v>0</v>
      </c>
    </row>
    <row r="566" spans="4:12">
      <c r="D566" s="53"/>
      <c r="G566" s="51"/>
      <c r="H566" s="99">
        <f>IFERROR(GETPIVOTDATA("Value",TD_WEAP_RAW!$A$3,"Variable",H$2,"Escenario",H$1,"Branch","Demand Sites and Catchments\"&amp;$D566),0)</f>
        <v>0</v>
      </c>
      <c r="I566" s="99">
        <f>IFERROR(GETPIVOTDATA("Value",TD_WEAP_RAW!$A$3,"Variable",I$2,"Escenario",I$1,"Branch","Demand Sites and Catchments\"&amp;$D566),0)</f>
        <v>0</v>
      </c>
      <c r="J566" s="99"/>
      <c r="K566" s="99">
        <f>IFERROR(GETPIVOTDATA("Value",TD_WEAP_RAW!$A$3,"Variable",K$2,"Escenario",K$1,"Branch","Demand Sites and Catchments\"&amp;$D566),0)</f>
        <v>0</v>
      </c>
      <c r="L566" s="99">
        <f>IFERROR(GETPIVOTDATA("Value",TD_WEAP_RAW!$A$3,"Variable",L$2,"Escenario",L$1,"Branch","Demand Sites and Catchments\"&amp;$D566),0)</f>
        <v>0</v>
      </c>
    </row>
    <row r="567" spans="4:12">
      <c r="D567" s="53"/>
      <c r="G567" s="51"/>
      <c r="H567" s="99">
        <f>IFERROR(GETPIVOTDATA("Value",TD_WEAP_RAW!$A$3,"Variable",H$2,"Escenario",H$1,"Branch","Demand Sites and Catchments\"&amp;$D567),0)</f>
        <v>0</v>
      </c>
      <c r="I567" s="99">
        <f>IFERROR(GETPIVOTDATA("Value",TD_WEAP_RAW!$A$3,"Variable",I$2,"Escenario",I$1,"Branch","Demand Sites and Catchments\"&amp;$D567),0)</f>
        <v>0</v>
      </c>
      <c r="J567" s="99"/>
      <c r="K567" s="99">
        <f>IFERROR(GETPIVOTDATA("Value",TD_WEAP_RAW!$A$3,"Variable",K$2,"Escenario",K$1,"Branch","Demand Sites and Catchments\"&amp;$D567),0)</f>
        <v>0</v>
      </c>
      <c r="L567" s="99">
        <f>IFERROR(GETPIVOTDATA("Value",TD_WEAP_RAW!$A$3,"Variable",L$2,"Escenario",L$1,"Branch","Demand Sites and Catchments\"&amp;$D567),0)</f>
        <v>0</v>
      </c>
    </row>
    <row r="568" spans="4:12">
      <c r="D568" s="53"/>
      <c r="G568" s="51"/>
      <c r="H568" s="99">
        <f>IFERROR(GETPIVOTDATA("Value",TD_WEAP_RAW!$A$3,"Variable",H$2,"Escenario",H$1,"Branch","Demand Sites and Catchments\"&amp;$D568),0)</f>
        <v>0</v>
      </c>
      <c r="I568" s="99">
        <f>IFERROR(GETPIVOTDATA("Value",TD_WEAP_RAW!$A$3,"Variable",I$2,"Escenario",I$1,"Branch","Demand Sites and Catchments\"&amp;$D568),0)</f>
        <v>0</v>
      </c>
      <c r="J568" s="99"/>
      <c r="K568" s="99">
        <f>IFERROR(GETPIVOTDATA("Value",TD_WEAP_RAW!$A$3,"Variable",K$2,"Escenario",K$1,"Branch","Demand Sites and Catchments\"&amp;$D568),0)</f>
        <v>0</v>
      </c>
      <c r="L568" s="99">
        <f>IFERROR(GETPIVOTDATA("Value",TD_WEAP_RAW!$A$3,"Variable",L$2,"Escenario",L$1,"Branch","Demand Sites and Catchments\"&amp;$D568),0)</f>
        <v>0</v>
      </c>
    </row>
    <row r="569" spans="4:12">
      <c r="D569" s="53"/>
      <c r="G569" s="51"/>
      <c r="H569" s="99">
        <f>IFERROR(GETPIVOTDATA("Value",TD_WEAP_RAW!$A$3,"Variable",H$2,"Escenario",H$1,"Branch","Demand Sites and Catchments\"&amp;$D569),0)</f>
        <v>0</v>
      </c>
      <c r="I569" s="99">
        <f>IFERROR(GETPIVOTDATA("Value",TD_WEAP_RAW!$A$3,"Variable",I$2,"Escenario",I$1,"Branch","Demand Sites and Catchments\"&amp;$D569),0)</f>
        <v>0</v>
      </c>
      <c r="J569" s="99"/>
      <c r="K569" s="99">
        <f>IFERROR(GETPIVOTDATA("Value",TD_WEAP_RAW!$A$3,"Variable",K$2,"Escenario",K$1,"Branch","Demand Sites and Catchments\"&amp;$D569),0)</f>
        <v>0</v>
      </c>
      <c r="L569" s="99">
        <f>IFERROR(GETPIVOTDATA("Value",TD_WEAP_RAW!$A$3,"Variable",L$2,"Escenario",L$1,"Branch","Demand Sites and Catchments\"&amp;$D569),0)</f>
        <v>0</v>
      </c>
    </row>
    <row r="570" spans="4:12">
      <c r="D570" s="53"/>
      <c r="G570" s="51"/>
      <c r="H570" s="99">
        <f>IFERROR(GETPIVOTDATA("Value",TD_WEAP_RAW!$A$3,"Variable",H$2,"Escenario",H$1,"Branch","Demand Sites and Catchments\"&amp;$D570),0)</f>
        <v>0</v>
      </c>
      <c r="I570" s="99">
        <f>IFERROR(GETPIVOTDATA("Value",TD_WEAP_RAW!$A$3,"Variable",I$2,"Escenario",I$1,"Branch","Demand Sites and Catchments\"&amp;$D570),0)</f>
        <v>0</v>
      </c>
      <c r="J570" s="99"/>
      <c r="K570" s="99">
        <f>IFERROR(GETPIVOTDATA("Value",TD_WEAP_RAW!$A$3,"Variable",K$2,"Escenario",K$1,"Branch","Demand Sites and Catchments\"&amp;$D570),0)</f>
        <v>0</v>
      </c>
      <c r="L570" s="99">
        <f>IFERROR(GETPIVOTDATA("Value",TD_WEAP_RAW!$A$3,"Variable",L$2,"Escenario",L$1,"Branch","Demand Sites and Catchments\"&amp;$D570),0)</f>
        <v>0</v>
      </c>
    </row>
    <row r="571" spans="4:12">
      <c r="D571" s="53"/>
      <c r="G571" s="51"/>
      <c r="H571" s="99">
        <f>IFERROR(GETPIVOTDATA("Value",TD_WEAP_RAW!$A$3,"Variable",H$2,"Escenario",H$1,"Branch","Demand Sites and Catchments\"&amp;$D571),0)</f>
        <v>0</v>
      </c>
      <c r="I571" s="99">
        <f>IFERROR(GETPIVOTDATA("Value",TD_WEAP_RAW!$A$3,"Variable",I$2,"Escenario",I$1,"Branch","Demand Sites and Catchments\"&amp;$D571),0)</f>
        <v>0</v>
      </c>
      <c r="J571" s="99"/>
      <c r="K571" s="99">
        <f>IFERROR(GETPIVOTDATA("Value",TD_WEAP_RAW!$A$3,"Variable",K$2,"Escenario",K$1,"Branch","Demand Sites and Catchments\"&amp;$D571),0)</f>
        <v>0</v>
      </c>
      <c r="L571" s="99">
        <f>IFERROR(GETPIVOTDATA("Value",TD_WEAP_RAW!$A$3,"Variable",L$2,"Escenario",L$1,"Branch","Demand Sites and Catchments\"&amp;$D571),0)</f>
        <v>0</v>
      </c>
    </row>
    <row r="572" spans="4:12">
      <c r="D572" s="53"/>
      <c r="G572" s="51"/>
      <c r="H572" s="99">
        <f>IFERROR(GETPIVOTDATA("Value",TD_WEAP_RAW!$A$3,"Variable",H$2,"Escenario",H$1,"Branch","Demand Sites and Catchments\"&amp;$D572),0)</f>
        <v>0</v>
      </c>
      <c r="I572" s="99">
        <f>IFERROR(GETPIVOTDATA("Value",TD_WEAP_RAW!$A$3,"Variable",I$2,"Escenario",I$1,"Branch","Demand Sites and Catchments\"&amp;$D572),0)</f>
        <v>0</v>
      </c>
      <c r="J572" s="99"/>
      <c r="K572" s="99">
        <f>IFERROR(GETPIVOTDATA("Value",TD_WEAP_RAW!$A$3,"Variable",K$2,"Escenario",K$1,"Branch","Demand Sites and Catchments\"&amp;$D572),0)</f>
        <v>0</v>
      </c>
      <c r="L572" s="99">
        <f>IFERROR(GETPIVOTDATA("Value",TD_WEAP_RAW!$A$3,"Variable",L$2,"Escenario",L$1,"Branch","Demand Sites and Catchments\"&amp;$D572),0)</f>
        <v>0</v>
      </c>
    </row>
    <row r="573" spans="4:12">
      <c r="D573" s="53"/>
      <c r="G573" s="51"/>
      <c r="H573" s="99">
        <f>IFERROR(GETPIVOTDATA("Value",TD_WEAP_RAW!$A$3,"Variable",H$2,"Escenario",H$1,"Branch","Demand Sites and Catchments\"&amp;$D573),0)</f>
        <v>0</v>
      </c>
      <c r="I573" s="99">
        <f>IFERROR(GETPIVOTDATA("Value",TD_WEAP_RAW!$A$3,"Variable",I$2,"Escenario",I$1,"Branch","Demand Sites and Catchments\"&amp;$D573),0)</f>
        <v>0</v>
      </c>
      <c r="J573" s="99"/>
      <c r="K573" s="99">
        <f>IFERROR(GETPIVOTDATA("Value",TD_WEAP_RAW!$A$3,"Variable",K$2,"Escenario",K$1,"Branch","Demand Sites and Catchments\"&amp;$D573),0)</f>
        <v>0</v>
      </c>
      <c r="L573" s="99">
        <f>IFERROR(GETPIVOTDATA("Value",TD_WEAP_RAW!$A$3,"Variable",L$2,"Escenario",L$1,"Branch","Demand Sites and Catchments\"&amp;$D573),0)</f>
        <v>0</v>
      </c>
    </row>
    <row r="574" spans="4:12">
      <c r="D574" s="53"/>
      <c r="G574" s="51"/>
      <c r="H574" s="99">
        <f>IFERROR(GETPIVOTDATA("Value",TD_WEAP_RAW!$A$3,"Variable",H$2,"Escenario",H$1,"Branch","Demand Sites and Catchments\"&amp;$D574),0)</f>
        <v>0</v>
      </c>
      <c r="I574" s="99">
        <f>IFERROR(GETPIVOTDATA("Value",TD_WEAP_RAW!$A$3,"Variable",I$2,"Escenario",I$1,"Branch","Demand Sites and Catchments\"&amp;$D574),0)</f>
        <v>0</v>
      </c>
      <c r="J574" s="99"/>
      <c r="K574" s="99">
        <f>IFERROR(GETPIVOTDATA("Value",TD_WEAP_RAW!$A$3,"Variable",K$2,"Escenario",K$1,"Branch","Demand Sites and Catchments\"&amp;$D574),0)</f>
        <v>0</v>
      </c>
      <c r="L574" s="99">
        <f>IFERROR(GETPIVOTDATA("Value",TD_WEAP_RAW!$A$3,"Variable",L$2,"Escenario",L$1,"Branch","Demand Sites and Catchments\"&amp;$D574),0)</f>
        <v>0</v>
      </c>
    </row>
    <row r="575" spans="4:12">
      <c r="D575" s="53"/>
      <c r="G575" s="51"/>
      <c r="H575" s="99">
        <f>IFERROR(GETPIVOTDATA("Value",TD_WEAP_RAW!$A$3,"Variable",H$2,"Escenario",H$1,"Branch","Demand Sites and Catchments\"&amp;$D575),0)</f>
        <v>0</v>
      </c>
      <c r="I575" s="99">
        <f>IFERROR(GETPIVOTDATA("Value",TD_WEAP_RAW!$A$3,"Variable",I$2,"Escenario",I$1,"Branch","Demand Sites and Catchments\"&amp;$D575),0)</f>
        <v>0</v>
      </c>
      <c r="J575" s="99"/>
      <c r="K575" s="99">
        <f>IFERROR(GETPIVOTDATA("Value",TD_WEAP_RAW!$A$3,"Variable",K$2,"Escenario",K$1,"Branch","Demand Sites and Catchments\"&amp;$D575),0)</f>
        <v>0</v>
      </c>
      <c r="L575" s="99">
        <f>IFERROR(GETPIVOTDATA("Value",TD_WEAP_RAW!$A$3,"Variable",L$2,"Escenario",L$1,"Branch","Demand Sites and Catchments\"&amp;$D575),0)</f>
        <v>0</v>
      </c>
    </row>
    <row r="576" spans="4:12">
      <c r="D576" s="53"/>
      <c r="G576" s="51"/>
      <c r="H576" s="99">
        <f>IFERROR(GETPIVOTDATA("Value",TD_WEAP_RAW!$A$3,"Variable",H$2,"Escenario",H$1,"Branch","Demand Sites and Catchments\"&amp;$D576),0)</f>
        <v>0</v>
      </c>
      <c r="I576" s="99">
        <f>IFERROR(GETPIVOTDATA("Value",TD_WEAP_RAW!$A$3,"Variable",I$2,"Escenario",I$1,"Branch","Demand Sites and Catchments\"&amp;$D576),0)</f>
        <v>0</v>
      </c>
      <c r="J576" s="99"/>
      <c r="K576" s="99">
        <f>IFERROR(GETPIVOTDATA("Value",TD_WEAP_RAW!$A$3,"Variable",K$2,"Escenario",K$1,"Branch","Demand Sites and Catchments\"&amp;$D576),0)</f>
        <v>0</v>
      </c>
      <c r="L576" s="99">
        <f>IFERROR(GETPIVOTDATA("Value",TD_WEAP_RAW!$A$3,"Variable",L$2,"Escenario",L$1,"Branch","Demand Sites and Catchments\"&amp;$D576),0)</f>
        <v>0</v>
      </c>
    </row>
    <row r="577" spans="4:12">
      <c r="D577" s="53"/>
      <c r="G577" s="51"/>
      <c r="H577" s="99">
        <f>IFERROR(GETPIVOTDATA("Value",TD_WEAP_RAW!$A$3,"Variable",H$2,"Escenario",H$1,"Branch","Demand Sites and Catchments\"&amp;$D577),0)</f>
        <v>0</v>
      </c>
      <c r="I577" s="99">
        <f>IFERROR(GETPIVOTDATA("Value",TD_WEAP_RAW!$A$3,"Variable",I$2,"Escenario",I$1,"Branch","Demand Sites and Catchments\"&amp;$D577),0)</f>
        <v>0</v>
      </c>
      <c r="J577" s="99"/>
      <c r="K577" s="99">
        <f>IFERROR(GETPIVOTDATA("Value",TD_WEAP_RAW!$A$3,"Variable",K$2,"Escenario",K$1,"Branch","Demand Sites and Catchments\"&amp;$D577),0)</f>
        <v>0</v>
      </c>
      <c r="L577" s="99">
        <f>IFERROR(GETPIVOTDATA("Value",TD_WEAP_RAW!$A$3,"Variable",L$2,"Escenario",L$1,"Branch","Demand Sites and Catchments\"&amp;$D577),0)</f>
        <v>0</v>
      </c>
    </row>
    <row r="578" spans="4:12">
      <c r="D578" s="53"/>
      <c r="G578" s="51"/>
      <c r="H578" s="99">
        <f>IFERROR(GETPIVOTDATA("Value",TD_WEAP_RAW!$A$3,"Variable",H$2,"Escenario",H$1,"Branch","Demand Sites and Catchments\"&amp;$D578),0)</f>
        <v>0</v>
      </c>
      <c r="I578" s="99">
        <f>IFERROR(GETPIVOTDATA("Value",TD_WEAP_RAW!$A$3,"Variable",I$2,"Escenario",I$1,"Branch","Demand Sites and Catchments\"&amp;$D578),0)</f>
        <v>0</v>
      </c>
      <c r="J578" s="99"/>
      <c r="K578" s="99">
        <f>IFERROR(GETPIVOTDATA("Value",TD_WEAP_RAW!$A$3,"Variable",K$2,"Escenario",K$1,"Branch","Demand Sites and Catchments\"&amp;$D578),0)</f>
        <v>0</v>
      </c>
      <c r="L578" s="99">
        <f>IFERROR(GETPIVOTDATA("Value",TD_WEAP_RAW!$A$3,"Variable",L$2,"Escenario",L$1,"Branch","Demand Sites and Catchments\"&amp;$D578),0)</f>
        <v>0</v>
      </c>
    </row>
    <row r="579" spans="4:12">
      <c r="D579" s="53"/>
      <c r="G579" s="51"/>
      <c r="H579" s="99">
        <f>IFERROR(GETPIVOTDATA("Value",TD_WEAP_RAW!$A$3,"Variable",H$2,"Escenario",H$1,"Branch","Demand Sites and Catchments\"&amp;$D579),0)</f>
        <v>0</v>
      </c>
      <c r="I579" s="99">
        <f>IFERROR(GETPIVOTDATA("Value",TD_WEAP_RAW!$A$3,"Variable",I$2,"Escenario",I$1,"Branch","Demand Sites and Catchments\"&amp;$D579),0)</f>
        <v>0</v>
      </c>
      <c r="J579" s="99"/>
      <c r="K579" s="99">
        <f>IFERROR(GETPIVOTDATA("Value",TD_WEAP_RAW!$A$3,"Variable",K$2,"Escenario",K$1,"Branch","Demand Sites and Catchments\"&amp;$D579),0)</f>
        <v>0</v>
      </c>
      <c r="L579" s="99">
        <f>IFERROR(GETPIVOTDATA("Value",TD_WEAP_RAW!$A$3,"Variable",L$2,"Escenario",L$1,"Branch","Demand Sites and Catchments\"&amp;$D579),0)</f>
        <v>0</v>
      </c>
    </row>
    <row r="580" spans="4:12">
      <c r="D580" s="53"/>
      <c r="G580" s="51"/>
      <c r="H580" s="99">
        <f>IFERROR(GETPIVOTDATA("Value",TD_WEAP_RAW!$A$3,"Variable",H$2,"Escenario",H$1,"Branch","Demand Sites and Catchments\"&amp;$D580),0)</f>
        <v>0</v>
      </c>
      <c r="I580" s="99">
        <f>IFERROR(GETPIVOTDATA("Value",TD_WEAP_RAW!$A$3,"Variable",I$2,"Escenario",I$1,"Branch","Demand Sites and Catchments\"&amp;$D580),0)</f>
        <v>0</v>
      </c>
      <c r="J580" s="99"/>
      <c r="K580" s="99">
        <f>IFERROR(GETPIVOTDATA("Value",TD_WEAP_RAW!$A$3,"Variable",K$2,"Escenario",K$1,"Branch","Demand Sites and Catchments\"&amp;$D580),0)</f>
        <v>0</v>
      </c>
      <c r="L580" s="99">
        <f>IFERROR(GETPIVOTDATA("Value",TD_WEAP_RAW!$A$3,"Variable",L$2,"Escenario",L$1,"Branch","Demand Sites and Catchments\"&amp;$D580),0)</f>
        <v>0</v>
      </c>
    </row>
    <row r="581" spans="4:12">
      <c r="D581" s="53"/>
      <c r="G581" s="51"/>
      <c r="H581" s="99">
        <f>IFERROR(GETPIVOTDATA("Value",TD_WEAP_RAW!$A$3,"Variable",H$2,"Escenario",H$1,"Branch","Demand Sites and Catchments\"&amp;$D581),0)</f>
        <v>0</v>
      </c>
      <c r="I581" s="99">
        <f>IFERROR(GETPIVOTDATA("Value",TD_WEAP_RAW!$A$3,"Variable",I$2,"Escenario",I$1,"Branch","Demand Sites and Catchments\"&amp;$D581),0)</f>
        <v>0</v>
      </c>
      <c r="J581" s="99"/>
      <c r="K581" s="99">
        <f>IFERROR(GETPIVOTDATA("Value",TD_WEAP_RAW!$A$3,"Variable",K$2,"Escenario",K$1,"Branch","Demand Sites and Catchments\"&amp;$D581),0)</f>
        <v>0</v>
      </c>
      <c r="L581" s="99">
        <f>IFERROR(GETPIVOTDATA("Value",TD_WEAP_RAW!$A$3,"Variable",L$2,"Escenario",L$1,"Branch","Demand Sites and Catchments\"&amp;$D581),0)</f>
        <v>0</v>
      </c>
    </row>
    <row r="582" spans="4:12">
      <c r="D582" s="53"/>
      <c r="G582" s="51"/>
      <c r="H582" s="99">
        <f>IFERROR(GETPIVOTDATA("Value",TD_WEAP_RAW!$A$3,"Variable",H$2,"Escenario",H$1,"Branch","Demand Sites and Catchments\"&amp;$D582),0)</f>
        <v>0</v>
      </c>
      <c r="I582" s="99">
        <f>IFERROR(GETPIVOTDATA("Value",TD_WEAP_RAW!$A$3,"Variable",I$2,"Escenario",I$1,"Branch","Demand Sites and Catchments\"&amp;$D582),0)</f>
        <v>0</v>
      </c>
      <c r="J582" s="99"/>
      <c r="K582" s="99">
        <f>IFERROR(GETPIVOTDATA("Value",TD_WEAP_RAW!$A$3,"Variable",K$2,"Escenario",K$1,"Branch","Demand Sites and Catchments\"&amp;$D582),0)</f>
        <v>0</v>
      </c>
      <c r="L582" s="99">
        <f>IFERROR(GETPIVOTDATA("Value",TD_WEAP_RAW!$A$3,"Variable",L$2,"Escenario",L$1,"Branch","Demand Sites and Catchments\"&amp;$D582),0)</f>
        <v>0</v>
      </c>
    </row>
    <row r="583" spans="4:12">
      <c r="D583" s="53"/>
      <c r="G583" s="51"/>
      <c r="H583" s="99">
        <f>IFERROR(GETPIVOTDATA("Value",TD_WEAP_RAW!$A$3,"Variable",H$2,"Escenario",H$1,"Branch","Demand Sites and Catchments\"&amp;$D583),0)</f>
        <v>0</v>
      </c>
      <c r="I583" s="99">
        <f>IFERROR(GETPIVOTDATA("Value",TD_WEAP_RAW!$A$3,"Variable",I$2,"Escenario",I$1,"Branch","Demand Sites and Catchments\"&amp;$D583),0)</f>
        <v>0</v>
      </c>
      <c r="J583" s="99"/>
      <c r="K583" s="99">
        <f>IFERROR(GETPIVOTDATA("Value",TD_WEAP_RAW!$A$3,"Variable",K$2,"Escenario",K$1,"Branch","Demand Sites and Catchments\"&amp;$D583),0)</f>
        <v>0</v>
      </c>
      <c r="L583" s="99">
        <f>IFERROR(GETPIVOTDATA("Value",TD_WEAP_RAW!$A$3,"Variable",L$2,"Escenario",L$1,"Branch","Demand Sites and Catchments\"&amp;$D583),0)</f>
        <v>0</v>
      </c>
    </row>
    <row r="584" spans="4:12">
      <c r="D584" s="53"/>
      <c r="G584" s="51"/>
      <c r="H584" s="99">
        <f>IFERROR(GETPIVOTDATA("Value",TD_WEAP_RAW!$A$3,"Variable",H$2,"Escenario",H$1,"Branch","Demand Sites and Catchments\"&amp;$D584),0)</f>
        <v>0</v>
      </c>
      <c r="I584" s="99">
        <f>IFERROR(GETPIVOTDATA("Value",TD_WEAP_RAW!$A$3,"Variable",I$2,"Escenario",I$1,"Branch","Demand Sites and Catchments\"&amp;$D584),0)</f>
        <v>0</v>
      </c>
      <c r="J584" s="99"/>
      <c r="K584" s="99">
        <f>IFERROR(GETPIVOTDATA("Value",TD_WEAP_RAW!$A$3,"Variable",K$2,"Escenario",K$1,"Branch","Demand Sites and Catchments\"&amp;$D584),0)</f>
        <v>0</v>
      </c>
      <c r="L584" s="99">
        <f>IFERROR(GETPIVOTDATA("Value",TD_WEAP_RAW!$A$3,"Variable",L$2,"Escenario",L$1,"Branch","Demand Sites and Catchments\"&amp;$D584),0)</f>
        <v>0</v>
      </c>
    </row>
    <row r="585" spans="4:12">
      <c r="D585" s="53"/>
      <c r="G585" s="51"/>
      <c r="H585" s="99">
        <f>IFERROR(GETPIVOTDATA("Value",TD_WEAP_RAW!$A$3,"Variable",H$2,"Escenario",H$1,"Branch","Demand Sites and Catchments\"&amp;$D585),0)</f>
        <v>0</v>
      </c>
      <c r="I585" s="99">
        <f>IFERROR(GETPIVOTDATA("Value",TD_WEAP_RAW!$A$3,"Variable",I$2,"Escenario",I$1,"Branch","Demand Sites and Catchments\"&amp;$D585),0)</f>
        <v>0</v>
      </c>
      <c r="J585" s="99"/>
      <c r="K585" s="99">
        <f>IFERROR(GETPIVOTDATA("Value",TD_WEAP_RAW!$A$3,"Variable",K$2,"Escenario",K$1,"Branch","Demand Sites and Catchments\"&amp;$D585),0)</f>
        <v>0</v>
      </c>
      <c r="L585" s="99">
        <f>IFERROR(GETPIVOTDATA("Value",TD_WEAP_RAW!$A$3,"Variable",L$2,"Escenario",L$1,"Branch","Demand Sites and Catchments\"&amp;$D585),0)</f>
        <v>0</v>
      </c>
    </row>
    <row r="586" spans="4:12">
      <c r="D586" s="53"/>
      <c r="G586" s="51"/>
      <c r="H586" s="99">
        <f>IFERROR(GETPIVOTDATA("Value",TD_WEAP_RAW!$A$3,"Variable",H$2,"Escenario",H$1,"Branch","Demand Sites and Catchments\"&amp;$D586),0)</f>
        <v>0</v>
      </c>
      <c r="I586" s="99">
        <f>IFERROR(GETPIVOTDATA("Value",TD_WEAP_RAW!$A$3,"Variable",I$2,"Escenario",I$1,"Branch","Demand Sites and Catchments\"&amp;$D586),0)</f>
        <v>0</v>
      </c>
      <c r="J586" s="99"/>
      <c r="K586" s="99">
        <f>IFERROR(GETPIVOTDATA("Value",TD_WEAP_RAW!$A$3,"Variable",K$2,"Escenario",K$1,"Branch","Demand Sites and Catchments\"&amp;$D586),0)</f>
        <v>0</v>
      </c>
      <c r="L586" s="99">
        <f>IFERROR(GETPIVOTDATA("Value",TD_WEAP_RAW!$A$3,"Variable",L$2,"Escenario",L$1,"Branch","Demand Sites and Catchments\"&amp;$D586),0)</f>
        <v>0</v>
      </c>
    </row>
    <row r="587" spans="4:12">
      <c r="D587" s="53"/>
      <c r="G587" s="51"/>
      <c r="H587" s="99">
        <f>IFERROR(GETPIVOTDATA("Value",TD_WEAP_RAW!$A$3,"Variable",H$2,"Escenario",H$1,"Branch","Demand Sites and Catchments\"&amp;$D587),0)</f>
        <v>0</v>
      </c>
      <c r="I587" s="99">
        <f>IFERROR(GETPIVOTDATA("Value",TD_WEAP_RAW!$A$3,"Variable",I$2,"Escenario",I$1,"Branch","Demand Sites and Catchments\"&amp;$D587),0)</f>
        <v>0</v>
      </c>
      <c r="J587" s="99"/>
      <c r="K587" s="99">
        <f>IFERROR(GETPIVOTDATA("Value",TD_WEAP_RAW!$A$3,"Variable",K$2,"Escenario",K$1,"Branch","Demand Sites and Catchments\"&amp;$D587),0)</f>
        <v>0</v>
      </c>
      <c r="L587" s="99">
        <f>IFERROR(GETPIVOTDATA("Value",TD_WEAP_RAW!$A$3,"Variable",L$2,"Escenario",L$1,"Branch","Demand Sites and Catchments\"&amp;$D587),0)</f>
        <v>0</v>
      </c>
    </row>
    <row r="588" spans="4:12">
      <c r="D588" s="53"/>
      <c r="G588" s="51"/>
      <c r="H588" s="99">
        <f>IFERROR(GETPIVOTDATA("Value",TD_WEAP_RAW!$A$3,"Variable",H$2,"Escenario",H$1,"Branch","Demand Sites and Catchments\"&amp;$D588),0)</f>
        <v>0</v>
      </c>
      <c r="I588" s="99">
        <f>IFERROR(GETPIVOTDATA("Value",TD_WEAP_RAW!$A$3,"Variable",I$2,"Escenario",I$1,"Branch","Demand Sites and Catchments\"&amp;$D588),0)</f>
        <v>0</v>
      </c>
      <c r="J588" s="99"/>
      <c r="K588" s="99">
        <f>IFERROR(GETPIVOTDATA("Value",TD_WEAP_RAW!$A$3,"Variable",K$2,"Escenario",K$1,"Branch","Demand Sites and Catchments\"&amp;$D588),0)</f>
        <v>0</v>
      </c>
      <c r="L588" s="99">
        <f>IFERROR(GETPIVOTDATA("Value",TD_WEAP_RAW!$A$3,"Variable",L$2,"Escenario",L$1,"Branch","Demand Sites and Catchments\"&amp;$D588),0)</f>
        <v>0</v>
      </c>
    </row>
    <row r="589" spans="4:12">
      <c r="D589" s="53"/>
      <c r="G589" s="51"/>
      <c r="H589" s="99">
        <f>IFERROR(GETPIVOTDATA("Value",TD_WEAP_RAW!$A$3,"Variable",H$2,"Escenario",H$1,"Branch","Demand Sites and Catchments\"&amp;$D589),0)</f>
        <v>0</v>
      </c>
      <c r="I589" s="99">
        <f>IFERROR(GETPIVOTDATA("Value",TD_WEAP_RAW!$A$3,"Variable",I$2,"Escenario",I$1,"Branch","Demand Sites and Catchments\"&amp;$D589),0)</f>
        <v>0</v>
      </c>
      <c r="J589" s="99"/>
      <c r="K589" s="99">
        <f>IFERROR(GETPIVOTDATA("Value",TD_WEAP_RAW!$A$3,"Variable",K$2,"Escenario",K$1,"Branch","Demand Sites and Catchments\"&amp;$D589),0)</f>
        <v>0</v>
      </c>
      <c r="L589" s="99">
        <f>IFERROR(GETPIVOTDATA("Value",TD_WEAP_RAW!$A$3,"Variable",L$2,"Escenario",L$1,"Branch","Demand Sites and Catchments\"&amp;$D589),0)</f>
        <v>0</v>
      </c>
    </row>
    <row r="590" spans="4:12">
      <c r="D590" s="53"/>
      <c r="G590" s="51"/>
      <c r="H590" s="99">
        <f>IFERROR(GETPIVOTDATA("Value",TD_WEAP_RAW!$A$3,"Variable",H$2,"Escenario",H$1,"Branch","Demand Sites and Catchments\"&amp;$D590),0)</f>
        <v>0</v>
      </c>
      <c r="I590" s="99">
        <f>IFERROR(GETPIVOTDATA("Value",TD_WEAP_RAW!$A$3,"Variable",I$2,"Escenario",I$1,"Branch","Demand Sites and Catchments\"&amp;$D590),0)</f>
        <v>0</v>
      </c>
      <c r="J590" s="99"/>
      <c r="K590" s="99">
        <f>IFERROR(GETPIVOTDATA("Value",TD_WEAP_RAW!$A$3,"Variable",K$2,"Escenario",K$1,"Branch","Demand Sites and Catchments\"&amp;$D590),0)</f>
        <v>0</v>
      </c>
      <c r="L590" s="99">
        <f>IFERROR(GETPIVOTDATA("Value",TD_WEAP_RAW!$A$3,"Variable",L$2,"Escenario",L$1,"Branch","Demand Sites and Catchments\"&amp;$D590),0)</f>
        <v>0</v>
      </c>
    </row>
    <row r="591" spans="4:12">
      <c r="D591" s="53"/>
      <c r="G591" s="51"/>
      <c r="H591" s="99">
        <f>IFERROR(GETPIVOTDATA("Value",TD_WEAP_RAW!$A$3,"Variable",H$2,"Escenario",H$1,"Branch","Demand Sites and Catchments\"&amp;$D591),0)</f>
        <v>0</v>
      </c>
      <c r="I591" s="99">
        <f>IFERROR(GETPIVOTDATA("Value",TD_WEAP_RAW!$A$3,"Variable",I$2,"Escenario",I$1,"Branch","Demand Sites and Catchments\"&amp;$D591),0)</f>
        <v>0</v>
      </c>
      <c r="J591" s="99"/>
      <c r="K591" s="99">
        <f>IFERROR(GETPIVOTDATA("Value",TD_WEAP_RAW!$A$3,"Variable",K$2,"Escenario",K$1,"Branch","Demand Sites and Catchments\"&amp;$D591),0)</f>
        <v>0</v>
      </c>
      <c r="L591" s="99">
        <f>IFERROR(GETPIVOTDATA("Value",TD_WEAP_RAW!$A$3,"Variable",L$2,"Escenario",L$1,"Branch","Demand Sites and Catchments\"&amp;$D591),0)</f>
        <v>0</v>
      </c>
    </row>
    <row r="592" spans="4:12">
      <c r="D592" s="53"/>
      <c r="G592" s="51"/>
      <c r="H592" s="99">
        <f>IFERROR(GETPIVOTDATA("Value",TD_WEAP_RAW!$A$3,"Variable",H$2,"Escenario",H$1,"Branch","Demand Sites and Catchments\"&amp;$D592),0)</f>
        <v>0</v>
      </c>
      <c r="I592" s="99">
        <f>IFERROR(GETPIVOTDATA("Value",TD_WEAP_RAW!$A$3,"Variable",I$2,"Escenario",I$1,"Branch","Demand Sites and Catchments\"&amp;$D592),0)</f>
        <v>0</v>
      </c>
      <c r="J592" s="99"/>
      <c r="K592" s="99">
        <f>IFERROR(GETPIVOTDATA("Value",TD_WEAP_RAW!$A$3,"Variable",K$2,"Escenario",K$1,"Branch","Demand Sites and Catchments\"&amp;$D592),0)</f>
        <v>0</v>
      </c>
      <c r="L592" s="99">
        <f>IFERROR(GETPIVOTDATA("Value",TD_WEAP_RAW!$A$3,"Variable",L$2,"Escenario",L$1,"Branch","Demand Sites and Catchments\"&amp;$D592),0)</f>
        <v>0</v>
      </c>
    </row>
    <row r="593" spans="4:12">
      <c r="D593" s="53"/>
      <c r="G593" s="51"/>
      <c r="H593" s="99">
        <f>IFERROR(GETPIVOTDATA("Value",TD_WEAP_RAW!$A$3,"Variable",H$2,"Escenario",H$1,"Branch","Demand Sites and Catchments\"&amp;$D593),0)</f>
        <v>0</v>
      </c>
      <c r="I593" s="99">
        <f>IFERROR(GETPIVOTDATA("Value",TD_WEAP_RAW!$A$3,"Variable",I$2,"Escenario",I$1,"Branch","Demand Sites and Catchments\"&amp;$D593),0)</f>
        <v>0</v>
      </c>
      <c r="J593" s="99"/>
      <c r="K593" s="99">
        <f>IFERROR(GETPIVOTDATA("Value",TD_WEAP_RAW!$A$3,"Variable",K$2,"Escenario",K$1,"Branch","Demand Sites and Catchments\"&amp;$D593),0)</f>
        <v>0</v>
      </c>
      <c r="L593" s="99">
        <f>IFERROR(GETPIVOTDATA("Value",TD_WEAP_RAW!$A$3,"Variable",L$2,"Escenario",L$1,"Branch","Demand Sites and Catchments\"&amp;$D593),0)</f>
        <v>0</v>
      </c>
    </row>
    <row r="594" spans="4:12">
      <c r="D594" s="53"/>
      <c r="G594" s="51"/>
      <c r="H594" s="99">
        <f>IFERROR(GETPIVOTDATA("Value",TD_WEAP_RAW!$A$3,"Variable",H$2,"Escenario",H$1,"Branch","Demand Sites and Catchments\"&amp;$D594),0)</f>
        <v>0</v>
      </c>
      <c r="I594" s="99">
        <f>IFERROR(GETPIVOTDATA("Value",TD_WEAP_RAW!$A$3,"Variable",I$2,"Escenario",I$1,"Branch","Demand Sites and Catchments\"&amp;$D594),0)</f>
        <v>0</v>
      </c>
      <c r="J594" s="99"/>
      <c r="K594" s="99">
        <f>IFERROR(GETPIVOTDATA("Value",TD_WEAP_RAW!$A$3,"Variable",K$2,"Escenario",K$1,"Branch","Demand Sites and Catchments\"&amp;$D594),0)</f>
        <v>0</v>
      </c>
      <c r="L594" s="99">
        <f>IFERROR(GETPIVOTDATA("Value",TD_WEAP_RAW!$A$3,"Variable",L$2,"Escenario",L$1,"Branch","Demand Sites and Catchments\"&amp;$D594),0)</f>
        <v>0</v>
      </c>
    </row>
    <row r="595" spans="4:12">
      <c r="D595" s="53"/>
      <c r="G595" s="51"/>
      <c r="H595" s="99">
        <f>IFERROR(GETPIVOTDATA("Value",TD_WEAP_RAW!$A$3,"Variable",H$2,"Escenario",H$1,"Branch","Demand Sites and Catchments\"&amp;$D595),0)</f>
        <v>0</v>
      </c>
      <c r="I595" s="99">
        <f>IFERROR(GETPIVOTDATA("Value",TD_WEAP_RAW!$A$3,"Variable",I$2,"Escenario",I$1,"Branch","Demand Sites and Catchments\"&amp;$D595),0)</f>
        <v>0</v>
      </c>
      <c r="J595" s="99"/>
      <c r="K595" s="99">
        <f>IFERROR(GETPIVOTDATA("Value",TD_WEAP_RAW!$A$3,"Variable",K$2,"Escenario",K$1,"Branch","Demand Sites and Catchments\"&amp;$D595),0)</f>
        <v>0</v>
      </c>
      <c r="L595" s="99">
        <f>IFERROR(GETPIVOTDATA("Value",TD_WEAP_RAW!$A$3,"Variable",L$2,"Escenario",L$1,"Branch","Demand Sites and Catchments\"&amp;$D595),0)</f>
        <v>0</v>
      </c>
    </row>
    <row r="596" spans="4:12">
      <c r="D596" s="53"/>
      <c r="G596" s="51"/>
      <c r="H596" s="99">
        <f>IFERROR(GETPIVOTDATA("Value",TD_WEAP_RAW!$A$3,"Variable",H$2,"Escenario",H$1,"Branch","Demand Sites and Catchments\"&amp;$D596),0)</f>
        <v>0</v>
      </c>
      <c r="I596" s="99">
        <f>IFERROR(GETPIVOTDATA("Value",TD_WEAP_RAW!$A$3,"Variable",I$2,"Escenario",I$1,"Branch","Demand Sites and Catchments\"&amp;$D596),0)</f>
        <v>0</v>
      </c>
      <c r="J596" s="99"/>
      <c r="K596" s="99">
        <f>IFERROR(GETPIVOTDATA("Value",TD_WEAP_RAW!$A$3,"Variable",K$2,"Escenario",K$1,"Branch","Demand Sites and Catchments\"&amp;$D596),0)</f>
        <v>0</v>
      </c>
      <c r="L596" s="99">
        <f>IFERROR(GETPIVOTDATA("Value",TD_WEAP_RAW!$A$3,"Variable",L$2,"Escenario",L$1,"Branch","Demand Sites and Catchments\"&amp;$D596),0)</f>
        <v>0</v>
      </c>
    </row>
    <row r="597" spans="4:12">
      <c r="D597" s="53"/>
      <c r="G597" s="51"/>
      <c r="H597" s="99">
        <f>IFERROR(GETPIVOTDATA("Value",TD_WEAP_RAW!$A$3,"Variable",H$2,"Escenario",H$1,"Branch","Demand Sites and Catchments\"&amp;$D597),0)</f>
        <v>0</v>
      </c>
      <c r="I597" s="99">
        <f>IFERROR(GETPIVOTDATA("Value",TD_WEAP_RAW!$A$3,"Variable",I$2,"Escenario",I$1,"Branch","Demand Sites and Catchments\"&amp;$D597),0)</f>
        <v>0</v>
      </c>
      <c r="J597" s="99"/>
      <c r="K597" s="99">
        <f>IFERROR(GETPIVOTDATA("Value",TD_WEAP_RAW!$A$3,"Variable",K$2,"Escenario",K$1,"Branch","Demand Sites and Catchments\"&amp;$D597),0)</f>
        <v>0</v>
      </c>
      <c r="L597" s="99">
        <f>IFERROR(GETPIVOTDATA("Value",TD_WEAP_RAW!$A$3,"Variable",L$2,"Escenario",L$1,"Branch","Demand Sites and Catchments\"&amp;$D597),0)</f>
        <v>0</v>
      </c>
    </row>
    <row r="598" spans="4:12">
      <c r="D598" s="53"/>
      <c r="G598" s="51"/>
      <c r="H598" s="99">
        <f>IFERROR(GETPIVOTDATA("Value",TD_WEAP_RAW!$A$3,"Variable",H$2,"Escenario",H$1,"Branch","Demand Sites and Catchments\"&amp;$D598),0)</f>
        <v>0</v>
      </c>
      <c r="I598" s="99">
        <f>IFERROR(GETPIVOTDATA("Value",TD_WEAP_RAW!$A$3,"Variable",I$2,"Escenario",I$1,"Branch","Demand Sites and Catchments\"&amp;$D598),0)</f>
        <v>0</v>
      </c>
      <c r="J598" s="99"/>
      <c r="K598" s="99">
        <f>IFERROR(GETPIVOTDATA("Value",TD_WEAP_RAW!$A$3,"Variable",K$2,"Escenario",K$1,"Branch","Demand Sites and Catchments\"&amp;$D598),0)</f>
        <v>0</v>
      </c>
      <c r="L598" s="99">
        <f>IFERROR(GETPIVOTDATA("Value",TD_WEAP_RAW!$A$3,"Variable",L$2,"Escenario",L$1,"Branch","Demand Sites and Catchments\"&amp;$D598),0)</f>
        <v>0</v>
      </c>
    </row>
    <row r="599" spans="4:12">
      <c r="D599" s="53"/>
      <c r="G599" s="51"/>
      <c r="H599" s="99">
        <f>IFERROR(GETPIVOTDATA("Value",TD_WEAP_RAW!$A$3,"Variable",H$2,"Escenario",H$1,"Branch","Demand Sites and Catchments\"&amp;$D599),0)</f>
        <v>0</v>
      </c>
      <c r="I599" s="99">
        <f>IFERROR(GETPIVOTDATA("Value",TD_WEAP_RAW!$A$3,"Variable",I$2,"Escenario",I$1,"Branch","Demand Sites and Catchments\"&amp;$D599),0)</f>
        <v>0</v>
      </c>
      <c r="J599" s="99"/>
      <c r="K599" s="99">
        <f>IFERROR(GETPIVOTDATA("Value",TD_WEAP_RAW!$A$3,"Variable",K$2,"Escenario",K$1,"Branch","Demand Sites and Catchments\"&amp;$D599),0)</f>
        <v>0</v>
      </c>
      <c r="L599" s="99">
        <f>IFERROR(GETPIVOTDATA("Value",TD_WEAP_RAW!$A$3,"Variable",L$2,"Escenario",L$1,"Branch","Demand Sites and Catchments\"&amp;$D599),0)</f>
        <v>0</v>
      </c>
    </row>
    <row r="600" spans="4:12">
      <c r="D600" s="53"/>
      <c r="G600" s="51"/>
      <c r="H600" s="99">
        <f>IFERROR(GETPIVOTDATA("Value",TD_WEAP_RAW!$A$3,"Variable",H$2,"Escenario",H$1,"Branch","Demand Sites and Catchments\"&amp;$D600),0)</f>
        <v>0</v>
      </c>
      <c r="I600" s="99">
        <f>IFERROR(GETPIVOTDATA("Value",TD_WEAP_RAW!$A$3,"Variable",I$2,"Escenario",I$1,"Branch","Demand Sites and Catchments\"&amp;$D600),0)</f>
        <v>0</v>
      </c>
      <c r="J600" s="99"/>
      <c r="K600" s="99">
        <f>IFERROR(GETPIVOTDATA("Value",TD_WEAP_RAW!$A$3,"Variable",K$2,"Escenario",K$1,"Branch","Demand Sites and Catchments\"&amp;$D600),0)</f>
        <v>0</v>
      </c>
      <c r="L600" s="99">
        <f>IFERROR(GETPIVOTDATA("Value",TD_WEAP_RAW!$A$3,"Variable",L$2,"Escenario",L$1,"Branch","Demand Sites and Catchments\"&amp;$D600),0)</f>
        <v>0</v>
      </c>
    </row>
    <row r="601" spans="4:12">
      <c r="D601" s="53"/>
      <c r="G601" s="51"/>
      <c r="H601" s="99">
        <f>IFERROR(GETPIVOTDATA("Value",TD_WEAP_RAW!$A$3,"Variable",H$2,"Escenario",H$1,"Branch","Demand Sites and Catchments\"&amp;$D601),0)</f>
        <v>0</v>
      </c>
      <c r="I601" s="99">
        <f>IFERROR(GETPIVOTDATA("Value",TD_WEAP_RAW!$A$3,"Variable",I$2,"Escenario",I$1,"Branch","Demand Sites and Catchments\"&amp;$D601),0)</f>
        <v>0</v>
      </c>
      <c r="J601" s="99"/>
      <c r="K601" s="99">
        <f>IFERROR(GETPIVOTDATA("Value",TD_WEAP_RAW!$A$3,"Variable",K$2,"Escenario",K$1,"Branch","Demand Sites and Catchments\"&amp;$D601),0)</f>
        <v>0</v>
      </c>
      <c r="L601" s="99">
        <f>IFERROR(GETPIVOTDATA("Value",TD_WEAP_RAW!$A$3,"Variable",L$2,"Escenario",L$1,"Branch","Demand Sites and Catchments\"&amp;$D601),0)</f>
        <v>0</v>
      </c>
    </row>
    <row r="602" spans="4:12">
      <c r="D602" s="53"/>
      <c r="G602" s="51"/>
      <c r="H602" s="99">
        <f>IFERROR(GETPIVOTDATA("Value",TD_WEAP_RAW!$A$3,"Variable",H$2,"Escenario",H$1,"Branch","Demand Sites and Catchments\"&amp;$D602),0)</f>
        <v>0</v>
      </c>
      <c r="I602" s="99">
        <f>IFERROR(GETPIVOTDATA("Value",TD_WEAP_RAW!$A$3,"Variable",I$2,"Escenario",I$1,"Branch","Demand Sites and Catchments\"&amp;$D602),0)</f>
        <v>0</v>
      </c>
      <c r="J602" s="99"/>
      <c r="K602" s="99">
        <f>IFERROR(GETPIVOTDATA("Value",TD_WEAP_RAW!$A$3,"Variable",K$2,"Escenario",K$1,"Branch","Demand Sites and Catchments\"&amp;$D602),0)</f>
        <v>0</v>
      </c>
      <c r="L602" s="99">
        <f>IFERROR(GETPIVOTDATA("Value",TD_WEAP_RAW!$A$3,"Variable",L$2,"Escenario",L$1,"Branch","Demand Sites and Catchments\"&amp;$D602),0)</f>
        <v>0</v>
      </c>
    </row>
    <row r="603" spans="4:12">
      <c r="D603" s="53"/>
      <c r="G603" s="51"/>
      <c r="H603" s="99">
        <f>IFERROR(GETPIVOTDATA("Value",TD_WEAP_RAW!$A$3,"Variable",H$2,"Escenario",H$1,"Branch","Demand Sites and Catchments\"&amp;$D603),0)</f>
        <v>0</v>
      </c>
      <c r="I603" s="99">
        <f>IFERROR(GETPIVOTDATA("Value",TD_WEAP_RAW!$A$3,"Variable",I$2,"Escenario",I$1,"Branch","Demand Sites and Catchments\"&amp;$D603),0)</f>
        <v>0</v>
      </c>
      <c r="J603" s="99"/>
      <c r="K603" s="99">
        <f>IFERROR(GETPIVOTDATA("Value",TD_WEAP_RAW!$A$3,"Variable",K$2,"Escenario",K$1,"Branch","Demand Sites and Catchments\"&amp;$D603),0)</f>
        <v>0</v>
      </c>
      <c r="L603" s="99">
        <f>IFERROR(GETPIVOTDATA("Value",TD_WEAP_RAW!$A$3,"Variable",L$2,"Escenario",L$1,"Branch","Demand Sites and Catchments\"&amp;$D603),0)</f>
        <v>0</v>
      </c>
    </row>
    <row r="604" spans="4:12">
      <c r="D604" s="53"/>
      <c r="G604" s="51"/>
      <c r="H604" s="99">
        <f>IFERROR(GETPIVOTDATA("Value",TD_WEAP_RAW!$A$3,"Variable",H$2,"Escenario",H$1,"Branch","Demand Sites and Catchments\"&amp;$D604),0)</f>
        <v>0</v>
      </c>
      <c r="I604" s="99">
        <f>IFERROR(GETPIVOTDATA("Value",TD_WEAP_RAW!$A$3,"Variable",I$2,"Escenario",I$1,"Branch","Demand Sites and Catchments\"&amp;$D604),0)</f>
        <v>0</v>
      </c>
      <c r="J604" s="99"/>
      <c r="K604" s="99">
        <f>IFERROR(GETPIVOTDATA("Value",TD_WEAP_RAW!$A$3,"Variable",K$2,"Escenario",K$1,"Branch","Demand Sites and Catchments\"&amp;$D604),0)</f>
        <v>0</v>
      </c>
      <c r="L604" s="99">
        <f>IFERROR(GETPIVOTDATA("Value",TD_WEAP_RAW!$A$3,"Variable",L$2,"Escenario",L$1,"Branch","Demand Sites and Catchments\"&amp;$D604),0)</f>
        <v>0</v>
      </c>
    </row>
    <row r="605" spans="4:12">
      <c r="D605" s="53"/>
      <c r="G605" s="51"/>
      <c r="H605" s="99">
        <f>IFERROR(GETPIVOTDATA("Value",TD_WEAP_RAW!$A$3,"Variable",H$2,"Escenario",H$1,"Branch","Demand Sites and Catchments\"&amp;$D605),0)</f>
        <v>0</v>
      </c>
      <c r="I605" s="99">
        <f>IFERROR(GETPIVOTDATA("Value",TD_WEAP_RAW!$A$3,"Variable",I$2,"Escenario",I$1,"Branch","Demand Sites and Catchments\"&amp;$D605),0)</f>
        <v>0</v>
      </c>
      <c r="J605" s="99"/>
      <c r="K605" s="99">
        <f>IFERROR(GETPIVOTDATA("Value",TD_WEAP_RAW!$A$3,"Variable",K$2,"Escenario",K$1,"Branch","Demand Sites and Catchments\"&amp;$D605),0)</f>
        <v>0</v>
      </c>
      <c r="L605" s="99">
        <f>IFERROR(GETPIVOTDATA("Value",TD_WEAP_RAW!$A$3,"Variable",L$2,"Escenario",L$1,"Branch","Demand Sites and Catchments\"&amp;$D605),0)</f>
        <v>0</v>
      </c>
    </row>
    <row r="606" spans="4:12">
      <c r="D606" s="53"/>
      <c r="G606" s="51"/>
      <c r="H606" s="99">
        <f>IFERROR(GETPIVOTDATA("Value",TD_WEAP_RAW!$A$3,"Variable",H$2,"Escenario",H$1,"Branch","Demand Sites and Catchments\"&amp;$D606),0)</f>
        <v>0</v>
      </c>
      <c r="I606" s="99">
        <f>IFERROR(GETPIVOTDATA("Value",TD_WEAP_RAW!$A$3,"Variable",I$2,"Escenario",I$1,"Branch","Demand Sites and Catchments\"&amp;$D606),0)</f>
        <v>0</v>
      </c>
      <c r="J606" s="99"/>
      <c r="K606" s="99">
        <f>IFERROR(GETPIVOTDATA("Value",TD_WEAP_RAW!$A$3,"Variable",K$2,"Escenario",K$1,"Branch","Demand Sites and Catchments\"&amp;$D606),0)</f>
        <v>0</v>
      </c>
      <c r="L606" s="99">
        <f>IFERROR(GETPIVOTDATA("Value",TD_WEAP_RAW!$A$3,"Variable",L$2,"Escenario",L$1,"Branch","Demand Sites and Catchments\"&amp;$D606),0)</f>
        <v>0</v>
      </c>
    </row>
    <row r="607" spans="4:12">
      <c r="D607" s="53"/>
      <c r="G607" s="51"/>
      <c r="H607" s="99">
        <f>IFERROR(GETPIVOTDATA("Value",TD_WEAP_RAW!$A$3,"Variable",H$2,"Escenario",H$1,"Branch","Demand Sites and Catchments\"&amp;$D607),0)</f>
        <v>0</v>
      </c>
      <c r="I607" s="99">
        <f>IFERROR(GETPIVOTDATA("Value",TD_WEAP_RAW!$A$3,"Variable",I$2,"Escenario",I$1,"Branch","Demand Sites and Catchments\"&amp;$D607),0)</f>
        <v>0</v>
      </c>
      <c r="J607" s="99"/>
      <c r="K607" s="99">
        <f>IFERROR(GETPIVOTDATA("Value",TD_WEAP_RAW!$A$3,"Variable",K$2,"Escenario",K$1,"Branch","Demand Sites and Catchments\"&amp;$D607),0)</f>
        <v>0</v>
      </c>
      <c r="L607" s="99">
        <f>IFERROR(GETPIVOTDATA("Value",TD_WEAP_RAW!$A$3,"Variable",L$2,"Escenario",L$1,"Branch","Demand Sites and Catchments\"&amp;$D607),0)</f>
        <v>0</v>
      </c>
    </row>
    <row r="608" spans="4:12">
      <c r="D608" s="53"/>
      <c r="G608" s="51"/>
      <c r="H608" s="99">
        <f>IFERROR(GETPIVOTDATA("Value",TD_WEAP_RAW!$A$3,"Variable",H$2,"Escenario",H$1,"Branch","Demand Sites and Catchments\"&amp;$D608),0)</f>
        <v>0</v>
      </c>
      <c r="I608" s="99">
        <f>IFERROR(GETPIVOTDATA("Value",TD_WEAP_RAW!$A$3,"Variable",I$2,"Escenario",I$1,"Branch","Demand Sites and Catchments\"&amp;$D608),0)</f>
        <v>0</v>
      </c>
      <c r="J608" s="99"/>
      <c r="K608" s="99">
        <f>IFERROR(GETPIVOTDATA("Value",TD_WEAP_RAW!$A$3,"Variable",K$2,"Escenario",K$1,"Branch","Demand Sites and Catchments\"&amp;$D608),0)</f>
        <v>0</v>
      </c>
      <c r="L608" s="99">
        <f>IFERROR(GETPIVOTDATA("Value",TD_WEAP_RAW!$A$3,"Variable",L$2,"Escenario",L$1,"Branch","Demand Sites and Catchments\"&amp;$D608),0)</f>
        <v>0</v>
      </c>
    </row>
    <row r="609" spans="1:12">
      <c r="A609" s="54"/>
      <c r="B609" s="54"/>
      <c r="C609" s="54"/>
      <c r="D609" s="53"/>
      <c r="G609" s="51"/>
      <c r="H609" s="99">
        <f>IFERROR(GETPIVOTDATA("Value",TD_WEAP_RAW!$A$3,"Variable",H$2,"Escenario",H$1,"Branch","Demand Sites and Catchments\"&amp;$D609),0)</f>
        <v>0</v>
      </c>
      <c r="I609" s="99">
        <f>IFERROR(GETPIVOTDATA("Value",TD_WEAP_RAW!$A$3,"Variable",I$2,"Escenario",I$1,"Branch","Demand Sites and Catchments\"&amp;$D609),0)</f>
        <v>0</v>
      </c>
      <c r="J609" s="99"/>
      <c r="K609" s="99">
        <f>IFERROR(GETPIVOTDATA("Value",TD_WEAP_RAW!$A$3,"Variable",K$2,"Escenario",K$1,"Branch","Demand Sites and Catchments\"&amp;$D609),0)</f>
        <v>0</v>
      </c>
      <c r="L609" s="99">
        <f>IFERROR(GETPIVOTDATA("Value",TD_WEAP_RAW!$A$3,"Variable",L$2,"Escenario",L$1,"Branch","Demand Sites and Catchments\"&amp;$D609),0)</f>
        <v>0</v>
      </c>
    </row>
    <row r="610" spans="1:12">
      <c r="D610" s="53"/>
      <c r="G610" s="51"/>
      <c r="H610" s="99">
        <f>IFERROR(GETPIVOTDATA("Value",TD_WEAP_RAW!$A$3,"Variable",H$2,"Escenario",H$1,"Branch","Demand Sites and Catchments\"&amp;$D610),0)</f>
        <v>0</v>
      </c>
      <c r="I610" s="99">
        <f>IFERROR(GETPIVOTDATA("Value",TD_WEAP_RAW!$A$3,"Variable",I$2,"Escenario",I$1,"Branch","Demand Sites and Catchments\"&amp;$D610),0)</f>
        <v>0</v>
      </c>
      <c r="J610" s="99"/>
      <c r="K610" s="99">
        <f>IFERROR(GETPIVOTDATA("Value",TD_WEAP_RAW!$A$3,"Variable",K$2,"Escenario",K$1,"Branch","Demand Sites and Catchments\"&amp;$D610),0)</f>
        <v>0</v>
      </c>
      <c r="L610" s="99">
        <f>IFERROR(GETPIVOTDATA("Value",TD_WEAP_RAW!$A$3,"Variable",L$2,"Escenario",L$1,"Branch","Demand Sites and Catchments\"&amp;$D610),0)</f>
        <v>0</v>
      </c>
    </row>
    <row r="611" spans="1:12">
      <c r="D611" s="53"/>
      <c r="G611" s="51"/>
      <c r="H611" s="99">
        <f>IFERROR(GETPIVOTDATA("Value",TD_WEAP_RAW!$A$3,"Variable",H$2,"Escenario",H$1,"Branch","Demand Sites and Catchments\"&amp;$D611),0)</f>
        <v>0</v>
      </c>
      <c r="I611" s="99">
        <f>IFERROR(GETPIVOTDATA("Value",TD_WEAP_RAW!$A$3,"Variable",I$2,"Escenario",I$1,"Branch","Demand Sites and Catchments\"&amp;$D611),0)</f>
        <v>0</v>
      </c>
      <c r="J611" s="99"/>
      <c r="K611" s="99">
        <f>IFERROR(GETPIVOTDATA("Value",TD_WEAP_RAW!$A$3,"Variable",K$2,"Escenario",K$1,"Branch","Demand Sites and Catchments\"&amp;$D611),0)</f>
        <v>0</v>
      </c>
      <c r="L611" s="99">
        <f>IFERROR(GETPIVOTDATA("Value",TD_WEAP_RAW!$A$3,"Variable",L$2,"Escenario",L$1,"Branch","Demand Sites and Catchments\"&amp;$D611),0)</f>
        <v>0</v>
      </c>
    </row>
    <row r="612" spans="1:12">
      <c r="D612" s="53"/>
      <c r="G612" s="51"/>
      <c r="H612" s="99">
        <f>IFERROR(GETPIVOTDATA("Value",TD_WEAP_RAW!$A$3,"Variable",H$2,"Escenario",H$1,"Branch","Demand Sites and Catchments\"&amp;$D612),0)</f>
        <v>0</v>
      </c>
      <c r="I612" s="99">
        <f>IFERROR(GETPIVOTDATA("Value",TD_WEAP_RAW!$A$3,"Variable",I$2,"Escenario",I$1,"Branch","Demand Sites and Catchments\"&amp;$D612),0)</f>
        <v>0</v>
      </c>
      <c r="J612" s="99"/>
      <c r="K612" s="99">
        <f>IFERROR(GETPIVOTDATA("Value",TD_WEAP_RAW!$A$3,"Variable",K$2,"Escenario",K$1,"Branch","Demand Sites and Catchments\"&amp;$D612),0)</f>
        <v>0</v>
      </c>
      <c r="L612" s="99">
        <f>IFERROR(GETPIVOTDATA("Value",TD_WEAP_RAW!$A$3,"Variable",L$2,"Escenario",L$1,"Branch","Demand Sites and Catchments\"&amp;$D612),0)</f>
        <v>0</v>
      </c>
    </row>
    <row r="613" spans="1:12">
      <c r="D613" s="53"/>
      <c r="G613" s="51"/>
      <c r="H613" s="99">
        <f>IFERROR(GETPIVOTDATA("Value",TD_WEAP_RAW!$A$3,"Variable",H$2,"Escenario",H$1,"Branch","Demand Sites and Catchments\"&amp;$D613),0)</f>
        <v>0</v>
      </c>
      <c r="I613" s="99">
        <f>IFERROR(GETPIVOTDATA("Value",TD_WEAP_RAW!$A$3,"Variable",I$2,"Escenario",I$1,"Branch","Demand Sites and Catchments\"&amp;$D613),0)</f>
        <v>0</v>
      </c>
      <c r="J613" s="99"/>
      <c r="K613" s="99">
        <f>IFERROR(GETPIVOTDATA("Value",TD_WEAP_RAW!$A$3,"Variable",K$2,"Escenario",K$1,"Branch","Demand Sites and Catchments\"&amp;$D613),0)</f>
        <v>0</v>
      </c>
      <c r="L613" s="99">
        <f>IFERROR(GETPIVOTDATA("Value",TD_WEAP_RAW!$A$3,"Variable",L$2,"Escenario",L$1,"Branch","Demand Sites and Catchments\"&amp;$D613),0)</f>
        <v>0</v>
      </c>
    </row>
    <row r="614" spans="1:12">
      <c r="D614" s="53"/>
      <c r="G614" s="51"/>
      <c r="H614" s="99">
        <f>IFERROR(GETPIVOTDATA("Value",TD_WEAP_RAW!$A$3,"Variable",H$2,"Escenario",H$1,"Branch","Demand Sites and Catchments\"&amp;$D614),0)</f>
        <v>0</v>
      </c>
      <c r="I614" s="99">
        <f>IFERROR(GETPIVOTDATA("Value",TD_WEAP_RAW!$A$3,"Variable",I$2,"Escenario",I$1,"Branch","Demand Sites and Catchments\"&amp;$D614),0)</f>
        <v>0</v>
      </c>
      <c r="J614" s="99"/>
      <c r="K614" s="99">
        <f>IFERROR(GETPIVOTDATA("Value",TD_WEAP_RAW!$A$3,"Variable",K$2,"Escenario",K$1,"Branch","Demand Sites and Catchments\"&amp;$D614),0)</f>
        <v>0</v>
      </c>
      <c r="L614" s="99">
        <f>IFERROR(GETPIVOTDATA("Value",TD_WEAP_RAW!$A$3,"Variable",L$2,"Escenario",L$1,"Branch","Demand Sites and Catchments\"&amp;$D614),0)</f>
        <v>0</v>
      </c>
    </row>
    <row r="615" spans="1:12">
      <c r="D615" s="53"/>
      <c r="G615" s="51"/>
      <c r="H615" s="99">
        <f>IFERROR(GETPIVOTDATA("Value",TD_WEAP_RAW!$A$3,"Variable",H$2,"Escenario",H$1,"Branch","Demand Sites and Catchments\"&amp;$D615),0)</f>
        <v>0</v>
      </c>
      <c r="I615" s="99">
        <f>IFERROR(GETPIVOTDATA("Value",TD_WEAP_RAW!$A$3,"Variable",I$2,"Escenario",I$1,"Branch","Demand Sites and Catchments\"&amp;$D615),0)</f>
        <v>0</v>
      </c>
      <c r="J615" s="99"/>
      <c r="K615" s="99">
        <f>IFERROR(GETPIVOTDATA("Value",TD_WEAP_RAW!$A$3,"Variable",K$2,"Escenario",K$1,"Branch","Demand Sites and Catchments\"&amp;$D615),0)</f>
        <v>0</v>
      </c>
      <c r="L615" s="99">
        <f>IFERROR(GETPIVOTDATA("Value",TD_WEAP_RAW!$A$3,"Variable",L$2,"Escenario",L$1,"Branch","Demand Sites and Catchments\"&amp;$D615),0)</f>
        <v>0</v>
      </c>
    </row>
    <row r="616" spans="1:12">
      <c r="D616" s="53"/>
      <c r="G616" s="51"/>
      <c r="H616" s="99">
        <f>IFERROR(GETPIVOTDATA("Value",TD_WEAP_RAW!$A$3,"Variable",H$2,"Escenario",H$1,"Branch","Demand Sites and Catchments\"&amp;$D616),0)</f>
        <v>0</v>
      </c>
      <c r="I616" s="99">
        <f>IFERROR(GETPIVOTDATA("Value",TD_WEAP_RAW!$A$3,"Variable",I$2,"Escenario",I$1,"Branch","Demand Sites and Catchments\"&amp;$D616),0)</f>
        <v>0</v>
      </c>
      <c r="J616" s="99"/>
      <c r="K616" s="99">
        <f>IFERROR(GETPIVOTDATA("Value",TD_WEAP_RAW!$A$3,"Variable",K$2,"Escenario",K$1,"Branch","Demand Sites and Catchments\"&amp;$D616),0)</f>
        <v>0</v>
      </c>
      <c r="L616" s="99">
        <f>IFERROR(GETPIVOTDATA("Value",TD_WEAP_RAW!$A$3,"Variable",L$2,"Escenario",L$1,"Branch","Demand Sites and Catchments\"&amp;$D616),0)</f>
        <v>0</v>
      </c>
    </row>
    <row r="617" spans="1:12">
      <c r="D617" s="53"/>
      <c r="G617" s="51"/>
      <c r="H617" s="99">
        <f>IFERROR(GETPIVOTDATA("Value",TD_WEAP_RAW!$A$3,"Variable",H$2,"Escenario",H$1,"Branch","Demand Sites and Catchments\"&amp;$D617),0)</f>
        <v>0</v>
      </c>
      <c r="I617" s="99">
        <f>IFERROR(GETPIVOTDATA("Value",TD_WEAP_RAW!$A$3,"Variable",I$2,"Escenario",I$1,"Branch","Demand Sites and Catchments\"&amp;$D617),0)</f>
        <v>0</v>
      </c>
      <c r="J617" s="99"/>
      <c r="K617" s="99">
        <f>IFERROR(GETPIVOTDATA("Value",TD_WEAP_RAW!$A$3,"Variable",K$2,"Escenario",K$1,"Branch","Demand Sites and Catchments\"&amp;$D617),0)</f>
        <v>0</v>
      </c>
      <c r="L617" s="99">
        <f>IFERROR(GETPIVOTDATA("Value",TD_WEAP_RAW!$A$3,"Variable",L$2,"Escenario",L$1,"Branch","Demand Sites and Catchments\"&amp;$D617),0)</f>
        <v>0</v>
      </c>
    </row>
    <row r="618" spans="1:12">
      <c r="D618" s="53"/>
      <c r="G618" s="51"/>
      <c r="H618" s="99">
        <f>IFERROR(GETPIVOTDATA("Value",TD_WEAP_RAW!$A$3,"Variable",H$2,"Escenario",H$1,"Branch","Demand Sites and Catchments\"&amp;$D618),0)</f>
        <v>0</v>
      </c>
      <c r="I618" s="99">
        <f>IFERROR(GETPIVOTDATA("Value",TD_WEAP_RAW!$A$3,"Variable",I$2,"Escenario",I$1,"Branch","Demand Sites and Catchments\"&amp;$D618),0)</f>
        <v>0</v>
      </c>
      <c r="J618" s="99"/>
      <c r="K618" s="99">
        <f>IFERROR(GETPIVOTDATA("Value",TD_WEAP_RAW!$A$3,"Variable",K$2,"Escenario",K$1,"Branch","Demand Sites and Catchments\"&amp;$D618),0)</f>
        <v>0</v>
      </c>
      <c r="L618" s="99">
        <f>IFERROR(GETPIVOTDATA("Value",TD_WEAP_RAW!$A$3,"Variable",L$2,"Escenario",L$1,"Branch","Demand Sites and Catchments\"&amp;$D618),0)</f>
        <v>0</v>
      </c>
    </row>
    <row r="619" spans="1:12">
      <c r="D619" s="53"/>
      <c r="G619" s="51"/>
      <c r="H619" s="99">
        <f>IFERROR(GETPIVOTDATA("Value",TD_WEAP_RAW!$A$3,"Variable",H$2,"Escenario",H$1,"Branch","Demand Sites and Catchments\"&amp;$D619),0)</f>
        <v>0</v>
      </c>
      <c r="I619" s="99">
        <f>IFERROR(GETPIVOTDATA("Value",TD_WEAP_RAW!$A$3,"Variable",I$2,"Escenario",I$1,"Branch","Demand Sites and Catchments\"&amp;$D619),0)</f>
        <v>0</v>
      </c>
      <c r="J619" s="99"/>
      <c r="K619" s="99">
        <f>IFERROR(GETPIVOTDATA("Value",TD_WEAP_RAW!$A$3,"Variable",K$2,"Escenario",K$1,"Branch","Demand Sites and Catchments\"&amp;$D619),0)</f>
        <v>0</v>
      </c>
      <c r="L619" s="99">
        <f>IFERROR(GETPIVOTDATA("Value",TD_WEAP_RAW!$A$3,"Variable",L$2,"Escenario",L$1,"Branch","Demand Sites and Catchments\"&amp;$D619),0)</f>
        <v>0</v>
      </c>
    </row>
    <row r="620" spans="1:12">
      <c r="D620" s="53"/>
      <c r="G620" s="51"/>
      <c r="H620" s="99">
        <f>IFERROR(GETPIVOTDATA("Value",TD_WEAP_RAW!$A$3,"Variable",H$2,"Escenario",H$1,"Branch","Demand Sites and Catchments\"&amp;$D620),0)</f>
        <v>0</v>
      </c>
      <c r="I620" s="99">
        <f>IFERROR(GETPIVOTDATA("Value",TD_WEAP_RAW!$A$3,"Variable",I$2,"Escenario",I$1,"Branch","Demand Sites and Catchments\"&amp;$D620),0)</f>
        <v>0</v>
      </c>
      <c r="J620" s="99"/>
      <c r="K620" s="99">
        <f>IFERROR(GETPIVOTDATA("Value",TD_WEAP_RAW!$A$3,"Variable",K$2,"Escenario",K$1,"Branch","Demand Sites and Catchments\"&amp;$D620),0)</f>
        <v>0</v>
      </c>
      <c r="L620" s="99">
        <f>IFERROR(GETPIVOTDATA("Value",TD_WEAP_RAW!$A$3,"Variable",L$2,"Escenario",L$1,"Branch","Demand Sites and Catchments\"&amp;$D620),0)</f>
        <v>0</v>
      </c>
    </row>
    <row r="621" spans="1:12">
      <c r="D621" s="53"/>
      <c r="G621" s="51"/>
      <c r="H621" s="99">
        <f>IFERROR(GETPIVOTDATA("Value",TD_WEAP_RAW!$A$3,"Variable",H$2,"Escenario",H$1,"Branch","Demand Sites and Catchments\"&amp;$D621),0)</f>
        <v>0</v>
      </c>
      <c r="I621" s="99">
        <f>IFERROR(GETPIVOTDATA("Value",TD_WEAP_RAW!$A$3,"Variable",I$2,"Escenario",I$1,"Branch","Demand Sites and Catchments\"&amp;$D621),0)</f>
        <v>0</v>
      </c>
      <c r="J621" s="99"/>
      <c r="K621" s="99">
        <f>IFERROR(GETPIVOTDATA("Value",TD_WEAP_RAW!$A$3,"Variable",K$2,"Escenario",K$1,"Branch","Demand Sites and Catchments\"&amp;$D621),0)</f>
        <v>0</v>
      </c>
      <c r="L621" s="99">
        <f>IFERROR(GETPIVOTDATA("Value",TD_WEAP_RAW!$A$3,"Variable",L$2,"Escenario",L$1,"Branch","Demand Sites and Catchments\"&amp;$D621),0)</f>
        <v>0</v>
      </c>
    </row>
    <row r="622" spans="1:12">
      <c r="D622" s="53"/>
      <c r="G622" s="51"/>
      <c r="H622" s="99">
        <f>IFERROR(GETPIVOTDATA("Value",TD_WEAP_RAW!$A$3,"Variable",H$2,"Escenario",H$1,"Branch","Demand Sites and Catchments\"&amp;$D622),0)</f>
        <v>0</v>
      </c>
      <c r="I622" s="99">
        <f>IFERROR(GETPIVOTDATA("Value",TD_WEAP_RAW!$A$3,"Variable",I$2,"Escenario",I$1,"Branch","Demand Sites and Catchments\"&amp;$D622),0)</f>
        <v>0</v>
      </c>
      <c r="J622" s="99"/>
      <c r="K622" s="99">
        <f>IFERROR(GETPIVOTDATA("Value",TD_WEAP_RAW!$A$3,"Variable",K$2,"Escenario",K$1,"Branch","Demand Sites and Catchments\"&amp;$D622),0)</f>
        <v>0</v>
      </c>
      <c r="L622" s="99">
        <f>IFERROR(GETPIVOTDATA("Value",TD_WEAP_RAW!$A$3,"Variable",L$2,"Escenario",L$1,"Branch","Demand Sites and Catchments\"&amp;$D622),0)</f>
        <v>0</v>
      </c>
    </row>
    <row r="623" spans="1:12">
      <c r="D623" s="53"/>
      <c r="G623" s="51"/>
      <c r="H623" s="99">
        <f>IFERROR(GETPIVOTDATA("Value",TD_WEAP_RAW!$A$3,"Variable",H$2,"Escenario",H$1,"Branch","Demand Sites and Catchments\"&amp;$D623),0)</f>
        <v>0</v>
      </c>
      <c r="I623" s="99">
        <f>IFERROR(GETPIVOTDATA("Value",TD_WEAP_RAW!$A$3,"Variable",I$2,"Escenario",I$1,"Branch","Demand Sites and Catchments\"&amp;$D623),0)</f>
        <v>0</v>
      </c>
      <c r="J623" s="99"/>
      <c r="K623" s="99">
        <f>IFERROR(GETPIVOTDATA("Value",TD_WEAP_RAW!$A$3,"Variable",K$2,"Escenario",K$1,"Branch","Demand Sites and Catchments\"&amp;$D623),0)</f>
        <v>0</v>
      </c>
      <c r="L623" s="99">
        <f>IFERROR(GETPIVOTDATA("Value",TD_WEAP_RAW!$A$3,"Variable",L$2,"Escenario",L$1,"Branch","Demand Sites and Catchments\"&amp;$D623),0)</f>
        <v>0</v>
      </c>
    </row>
    <row r="624" spans="1:12">
      <c r="D624" s="53"/>
      <c r="G624" s="51"/>
      <c r="H624" s="99">
        <f>IFERROR(GETPIVOTDATA("Value",TD_WEAP_RAW!$A$3,"Variable",H$2,"Escenario",H$1,"Branch","Demand Sites and Catchments\"&amp;$D624),0)</f>
        <v>0</v>
      </c>
      <c r="I624" s="99">
        <f>IFERROR(GETPIVOTDATA("Value",TD_WEAP_RAW!$A$3,"Variable",I$2,"Escenario",I$1,"Branch","Demand Sites and Catchments\"&amp;$D624),0)</f>
        <v>0</v>
      </c>
      <c r="J624" s="99"/>
      <c r="K624" s="99">
        <f>IFERROR(GETPIVOTDATA("Value",TD_WEAP_RAW!$A$3,"Variable",K$2,"Escenario",K$1,"Branch","Demand Sites and Catchments\"&amp;$D624),0)</f>
        <v>0</v>
      </c>
      <c r="L624" s="99">
        <f>IFERROR(GETPIVOTDATA("Value",TD_WEAP_RAW!$A$3,"Variable",L$2,"Escenario",L$1,"Branch","Demand Sites and Catchments\"&amp;$D624),0)</f>
        <v>0</v>
      </c>
    </row>
    <row r="625" spans="4:12">
      <c r="D625" s="53"/>
      <c r="G625" s="51"/>
      <c r="H625" s="99">
        <f>IFERROR(GETPIVOTDATA("Value",TD_WEAP_RAW!$A$3,"Variable",H$2,"Escenario",H$1,"Branch","Demand Sites and Catchments\"&amp;$D625),0)</f>
        <v>0</v>
      </c>
      <c r="I625" s="99">
        <f>IFERROR(GETPIVOTDATA("Value",TD_WEAP_RAW!$A$3,"Variable",I$2,"Escenario",I$1,"Branch","Demand Sites and Catchments\"&amp;$D625),0)</f>
        <v>0</v>
      </c>
      <c r="J625" s="99"/>
      <c r="K625" s="99">
        <f>IFERROR(GETPIVOTDATA("Value",TD_WEAP_RAW!$A$3,"Variable",K$2,"Escenario",K$1,"Branch","Demand Sites and Catchments\"&amp;$D625),0)</f>
        <v>0</v>
      </c>
      <c r="L625" s="99">
        <f>IFERROR(GETPIVOTDATA("Value",TD_WEAP_RAW!$A$3,"Variable",L$2,"Escenario",L$1,"Branch","Demand Sites and Catchments\"&amp;$D625),0)</f>
        <v>0</v>
      </c>
    </row>
    <row r="626" spans="4:12">
      <c r="D626" s="53"/>
      <c r="G626" s="51"/>
      <c r="H626" s="99">
        <f>IFERROR(GETPIVOTDATA("Value",TD_WEAP_RAW!$A$3,"Variable",H$2,"Escenario",H$1,"Branch","Demand Sites and Catchments\"&amp;$D626),0)</f>
        <v>0</v>
      </c>
      <c r="I626" s="99">
        <f>IFERROR(GETPIVOTDATA("Value",TD_WEAP_RAW!$A$3,"Variable",I$2,"Escenario",I$1,"Branch","Demand Sites and Catchments\"&amp;$D626),0)</f>
        <v>0</v>
      </c>
      <c r="J626" s="99"/>
      <c r="K626" s="99">
        <f>IFERROR(GETPIVOTDATA("Value",TD_WEAP_RAW!$A$3,"Variable",K$2,"Escenario",K$1,"Branch","Demand Sites and Catchments\"&amp;$D626),0)</f>
        <v>0</v>
      </c>
      <c r="L626" s="99">
        <f>IFERROR(GETPIVOTDATA("Value",TD_WEAP_RAW!$A$3,"Variable",L$2,"Escenario",L$1,"Branch","Demand Sites and Catchments\"&amp;$D626),0)</f>
        <v>0</v>
      </c>
    </row>
    <row r="627" spans="4:12">
      <c r="D627" s="53"/>
      <c r="G627" s="51"/>
      <c r="H627" s="99">
        <f>IFERROR(GETPIVOTDATA("Value",TD_WEAP_RAW!$A$3,"Variable",H$2,"Escenario",H$1,"Branch","Demand Sites and Catchments\"&amp;$D627),0)</f>
        <v>0</v>
      </c>
      <c r="I627" s="99">
        <f>IFERROR(GETPIVOTDATA("Value",TD_WEAP_RAW!$A$3,"Variable",I$2,"Escenario",I$1,"Branch","Demand Sites and Catchments\"&amp;$D627),0)</f>
        <v>0</v>
      </c>
      <c r="J627" s="99"/>
      <c r="K627" s="99">
        <f>IFERROR(GETPIVOTDATA("Value",TD_WEAP_RAW!$A$3,"Variable",K$2,"Escenario",K$1,"Branch","Demand Sites and Catchments\"&amp;$D627),0)</f>
        <v>0</v>
      </c>
      <c r="L627" s="99">
        <f>IFERROR(GETPIVOTDATA("Value",TD_WEAP_RAW!$A$3,"Variable",L$2,"Escenario",L$1,"Branch","Demand Sites and Catchments\"&amp;$D627),0)</f>
        <v>0</v>
      </c>
    </row>
    <row r="628" spans="4:12">
      <c r="D628" s="53"/>
      <c r="G628" s="51"/>
      <c r="H628" s="99">
        <f>IFERROR(GETPIVOTDATA("Value",TD_WEAP_RAW!$A$3,"Variable",H$2,"Escenario",H$1,"Branch","Demand Sites and Catchments\"&amp;$D628),0)</f>
        <v>0</v>
      </c>
      <c r="I628" s="99">
        <f>IFERROR(GETPIVOTDATA("Value",TD_WEAP_RAW!$A$3,"Variable",I$2,"Escenario",I$1,"Branch","Demand Sites and Catchments\"&amp;$D628),0)</f>
        <v>0</v>
      </c>
      <c r="J628" s="99"/>
      <c r="K628" s="99">
        <f>IFERROR(GETPIVOTDATA("Value",TD_WEAP_RAW!$A$3,"Variable",K$2,"Escenario",K$1,"Branch","Demand Sites and Catchments\"&amp;$D628),0)</f>
        <v>0</v>
      </c>
      <c r="L628" s="99">
        <f>IFERROR(GETPIVOTDATA("Value",TD_WEAP_RAW!$A$3,"Variable",L$2,"Escenario",L$1,"Branch","Demand Sites and Catchments\"&amp;$D628),0)</f>
        <v>0</v>
      </c>
    </row>
    <row r="629" spans="4:12">
      <c r="D629" s="53"/>
      <c r="G629" s="51"/>
      <c r="H629" s="99">
        <f>IFERROR(GETPIVOTDATA("Value",TD_WEAP_RAW!$A$3,"Variable",H$2,"Escenario",H$1,"Branch","Demand Sites and Catchments\"&amp;$D629),0)</f>
        <v>0</v>
      </c>
      <c r="I629" s="99">
        <f>IFERROR(GETPIVOTDATA("Value",TD_WEAP_RAW!$A$3,"Variable",I$2,"Escenario",I$1,"Branch","Demand Sites and Catchments\"&amp;$D629),0)</f>
        <v>0</v>
      </c>
      <c r="J629" s="99"/>
      <c r="K629" s="99">
        <f>IFERROR(GETPIVOTDATA("Value",TD_WEAP_RAW!$A$3,"Variable",K$2,"Escenario",K$1,"Branch","Demand Sites and Catchments\"&amp;$D629),0)</f>
        <v>0</v>
      </c>
      <c r="L629" s="99">
        <f>IFERROR(GETPIVOTDATA("Value",TD_WEAP_RAW!$A$3,"Variable",L$2,"Escenario",L$1,"Branch","Demand Sites and Catchments\"&amp;$D629),0)</f>
        <v>0</v>
      </c>
    </row>
    <row r="630" spans="4:12">
      <c r="D630" s="53"/>
      <c r="G630" s="51"/>
      <c r="H630" s="99">
        <f>IFERROR(GETPIVOTDATA("Value",TD_WEAP_RAW!$A$3,"Variable",H$2,"Escenario",H$1,"Branch","Demand Sites and Catchments\"&amp;$D630),0)</f>
        <v>0</v>
      </c>
      <c r="I630" s="99">
        <f>IFERROR(GETPIVOTDATA("Value",TD_WEAP_RAW!$A$3,"Variable",I$2,"Escenario",I$1,"Branch","Demand Sites and Catchments\"&amp;$D630),0)</f>
        <v>0</v>
      </c>
      <c r="J630" s="99"/>
      <c r="K630" s="99">
        <f>IFERROR(GETPIVOTDATA("Value",TD_WEAP_RAW!$A$3,"Variable",K$2,"Escenario",K$1,"Branch","Demand Sites and Catchments\"&amp;$D630),0)</f>
        <v>0</v>
      </c>
      <c r="L630" s="99">
        <f>IFERROR(GETPIVOTDATA("Value",TD_WEAP_RAW!$A$3,"Variable",L$2,"Escenario",L$1,"Branch","Demand Sites and Catchments\"&amp;$D630),0)</f>
        <v>0</v>
      </c>
    </row>
    <row r="631" spans="4:12">
      <c r="D631" s="53"/>
      <c r="G631" s="51"/>
      <c r="H631" s="99">
        <f>IFERROR(GETPIVOTDATA("Value",TD_WEAP_RAW!$A$3,"Variable",H$2,"Escenario",H$1,"Branch","Demand Sites and Catchments\"&amp;$D631),0)</f>
        <v>0</v>
      </c>
      <c r="I631" s="99">
        <f>IFERROR(GETPIVOTDATA("Value",TD_WEAP_RAW!$A$3,"Variable",I$2,"Escenario",I$1,"Branch","Demand Sites and Catchments\"&amp;$D631),0)</f>
        <v>0</v>
      </c>
      <c r="J631" s="99"/>
      <c r="K631" s="99">
        <f>IFERROR(GETPIVOTDATA("Value",TD_WEAP_RAW!$A$3,"Variable",K$2,"Escenario",K$1,"Branch","Demand Sites and Catchments\"&amp;$D631),0)</f>
        <v>0</v>
      </c>
      <c r="L631" s="99">
        <f>IFERROR(GETPIVOTDATA("Value",TD_WEAP_RAW!$A$3,"Variable",L$2,"Escenario",L$1,"Branch","Demand Sites and Catchments\"&amp;$D631),0)</f>
        <v>0</v>
      </c>
    </row>
    <row r="632" spans="4:12">
      <c r="D632" s="53"/>
      <c r="G632" s="51"/>
      <c r="H632" s="99">
        <f>IFERROR(GETPIVOTDATA("Value",TD_WEAP_RAW!$A$3,"Variable",H$2,"Escenario",H$1,"Branch","Demand Sites and Catchments\"&amp;$D632),0)</f>
        <v>0</v>
      </c>
      <c r="I632" s="99">
        <f>IFERROR(GETPIVOTDATA("Value",TD_WEAP_RAW!$A$3,"Variable",I$2,"Escenario",I$1,"Branch","Demand Sites and Catchments\"&amp;$D632),0)</f>
        <v>0</v>
      </c>
      <c r="J632" s="99"/>
      <c r="K632" s="99">
        <f>IFERROR(GETPIVOTDATA("Value",TD_WEAP_RAW!$A$3,"Variable",K$2,"Escenario",K$1,"Branch","Demand Sites and Catchments\"&amp;$D632),0)</f>
        <v>0</v>
      </c>
      <c r="L632" s="99">
        <f>IFERROR(GETPIVOTDATA("Value",TD_WEAP_RAW!$A$3,"Variable",L$2,"Escenario",L$1,"Branch","Demand Sites and Catchments\"&amp;$D632),0)</f>
        <v>0</v>
      </c>
    </row>
    <row r="633" spans="4:12">
      <c r="D633" s="53"/>
      <c r="G633" s="51"/>
      <c r="H633" s="99">
        <f>IFERROR(GETPIVOTDATA("Value",TD_WEAP_RAW!$A$3,"Variable",H$2,"Escenario",H$1,"Branch","Demand Sites and Catchments\"&amp;$D633),0)</f>
        <v>0</v>
      </c>
      <c r="I633" s="99">
        <f>IFERROR(GETPIVOTDATA("Value",TD_WEAP_RAW!$A$3,"Variable",I$2,"Escenario",I$1,"Branch","Demand Sites and Catchments\"&amp;$D633),0)</f>
        <v>0</v>
      </c>
      <c r="J633" s="99"/>
      <c r="K633" s="99">
        <f>IFERROR(GETPIVOTDATA("Value",TD_WEAP_RAW!$A$3,"Variable",K$2,"Escenario",K$1,"Branch","Demand Sites and Catchments\"&amp;$D633),0)</f>
        <v>0</v>
      </c>
      <c r="L633" s="99">
        <f>IFERROR(GETPIVOTDATA("Value",TD_WEAP_RAW!$A$3,"Variable",L$2,"Escenario",L$1,"Branch","Demand Sites and Catchments\"&amp;$D633),0)</f>
        <v>0</v>
      </c>
    </row>
    <row r="634" spans="4:12">
      <c r="D634" s="53"/>
      <c r="G634" s="51"/>
      <c r="H634" s="99">
        <f>IFERROR(GETPIVOTDATA("Value",TD_WEAP_RAW!$A$3,"Variable",H$2,"Escenario",H$1,"Branch","Demand Sites and Catchments\"&amp;$D634),0)</f>
        <v>0</v>
      </c>
      <c r="I634" s="99">
        <f>IFERROR(GETPIVOTDATA("Value",TD_WEAP_RAW!$A$3,"Variable",I$2,"Escenario",I$1,"Branch","Demand Sites and Catchments\"&amp;$D634),0)</f>
        <v>0</v>
      </c>
      <c r="J634" s="99"/>
      <c r="K634" s="99">
        <f>IFERROR(GETPIVOTDATA("Value",TD_WEAP_RAW!$A$3,"Variable",K$2,"Escenario",K$1,"Branch","Demand Sites and Catchments\"&amp;$D634),0)</f>
        <v>0</v>
      </c>
      <c r="L634" s="99">
        <f>IFERROR(GETPIVOTDATA("Value",TD_WEAP_RAW!$A$3,"Variable",L$2,"Escenario",L$1,"Branch","Demand Sites and Catchments\"&amp;$D634),0)</f>
        <v>0</v>
      </c>
    </row>
    <row r="635" spans="4:12">
      <c r="D635" s="53"/>
      <c r="G635" s="51"/>
      <c r="H635" s="99">
        <f>IFERROR(GETPIVOTDATA("Value",TD_WEAP_RAW!$A$3,"Variable",H$2,"Escenario",H$1,"Branch","Demand Sites and Catchments\"&amp;$D635),0)</f>
        <v>0</v>
      </c>
      <c r="I635" s="99">
        <f>IFERROR(GETPIVOTDATA("Value",TD_WEAP_RAW!$A$3,"Variable",I$2,"Escenario",I$1,"Branch","Demand Sites and Catchments\"&amp;$D635),0)</f>
        <v>0</v>
      </c>
      <c r="J635" s="99"/>
      <c r="K635" s="99">
        <f>IFERROR(GETPIVOTDATA("Value",TD_WEAP_RAW!$A$3,"Variable",K$2,"Escenario",K$1,"Branch","Demand Sites and Catchments\"&amp;$D635),0)</f>
        <v>0</v>
      </c>
      <c r="L635" s="99">
        <f>IFERROR(GETPIVOTDATA("Value",TD_WEAP_RAW!$A$3,"Variable",L$2,"Escenario",L$1,"Branch","Demand Sites and Catchments\"&amp;$D635),0)</f>
        <v>0</v>
      </c>
    </row>
    <row r="636" spans="4:12">
      <c r="D636" s="53"/>
      <c r="G636" s="51"/>
      <c r="H636" s="99">
        <f>IFERROR(GETPIVOTDATA("Value",TD_WEAP_RAW!$A$3,"Variable",H$2,"Escenario",H$1,"Branch","Demand Sites and Catchments\"&amp;$D636),0)</f>
        <v>0</v>
      </c>
      <c r="I636" s="99">
        <f>IFERROR(GETPIVOTDATA("Value",TD_WEAP_RAW!$A$3,"Variable",I$2,"Escenario",I$1,"Branch","Demand Sites and Catchments\"&amp;$D636),0)</f>
        <v>0</v>
      </c>
      <c r="J636" s="99"/>
      <c r="K636" s="99">
        <f>IFERROR(GETPIVOTDATA("Value",TD_WEAP_RAW!$A$3,"Variable",K$2,"Escenario",K$1,"Branch","Demand Sites and Catchments\"&amp;$D636),0)</f>
        <v>0</v>
      </c>
      <c r="L636" s="99">
        <f>IFERROR(GETPIVOTDATA("Value",TD_WEAP_RAW!$A$3,"Variable",L$2,"Escenario",L$1,"Branch","Demand Sites and Catchments\"&amp;$D636),0)</f>
        <v>0</v>
      </c>
    </row>
    <row r="637" spans="4:12">
      <c r="D637" s="53"/>
      <c r="G637" s="51"/>
      <c r="H637" s="99">
        <f>IFERROR(GETPIVOTDATA("Value",TD_WEAP_RAW!$A$3,"Variable",H$2,"Escenario",H$1,"Branch","Demand Sites and Catchments\"&amp;$D637),0)</f>
        <v>0</v>
      </c>
      <c r="I637" s="99">
        <f>IFERROR(GETPIVOTDATA("Value",TD_WEAP_RAW!$A$3,"Variable",I$2,"Escenario",I$1,"Branch","Demand Sites and Catchments\"&amp;$D637),0)</f>
        <v>0</v>
      </c>
      <c r="J637" s="99"/>
      <c r="K637" s="99">
        <f>IFERROR(GETPIVOTDATA("Value",TD_WEAP_RAW!$A$3,"Variable",K$2,"Escenario",K$1,"Branch","Demand Sites and Catchments\"&amp;$D637),0)</f>
        <v>0</v>
      </c>
      <c r="L637" s="99">
        <f>IFERROR(GETPIVOTDATA("Value",TD_WEAP_RAW!$A$3,"Variable",L$2,"Escenario",L$1,"Branch","Demand Sites and Catchments\"&amp;$D637),0)</f>
        <v>0</v>
      </c>
    </row>
    <row r="638" spans="4:12">
      <c r="D638" s="53"/>
      <c r="G638" s="51"/>
      <c r="H638" s="99">
        <f>IFERROR(GETPIVOTDATA("Value",TD_WEAP_RAW!$A$3,"Variable",H$2,"Escenario",H$1,"Branch","Demand Sites and Catchments\"&amp;$D638),0)</f>
        <v>0</v>
      </c>
      <c r="I638" s="99">
        <f>IFERROR(GETPIVOTDATA("Value",TD_WEAP_RAW!$A$3,"Variable",I$2,"Escenario",I$1,"Branch","Demand Sites and Catchments\"&amp;$D638),0)</f>
        <v>0</v>
      </c>
      <c r="J638" s="99"/>
      <c r="K638" s="99">
        <f>IFERROR(GETPIVOTDATA("Value",TD_WEAP_RAW!$A$3,"Variable",K$2,"Escenario",K$1,"Branch","Demand Sites and Catchments\"&amp;$D638),0)</f>
        <v>0</v>
      </c>
      <c r="L638" s="99">
        <f>IFERROR(GETPIVOTDATA("Value",TD_WEAP_RAW!$A$3,"Variable",L$2,"Escenario",L$1,"Branch","Demand Sites and Catchments\"&amp;$D638),0)</f>
        <v>0</v>
      </c>
    </row>
    <row r="639" spans="4:12">
      <c r="D639" s="53"/>
      <c r="G639" s="51"/>
      <c r="H639" s="99">
        <f>IFERROR(GETPIVOTDATA("Value",TD_WEAP_RAW!$A$3,"Variable",H$2,"Escenario",H$1,"Branch","Demand Sites and Catchments\"&amp;$D639),0)</f>
        <v>0</v>
      </c>
      <c r="I639" s="99">
        <f>IFERROR(GETPIVOTDATA("Value",TD_WEAP_RAW!$A$3,"Variable",I$2,"Escenario",I$1,"Branch","Demand Sites and Catchments\"&amp;$D639),0)</f>
        <v>0</v>
      </c>
      <c r="J639" s="99"/>
      <c r="K639" s="99">
        <f>IFERROR(GETPIVOTDATA("Value",TD_WEAP_RAW!$A$3,"Variable",K$2,"Escenario",K$1,"Branch","Demand Sites and Catchments\"&amp;$D639),0)</f>
        <v>0</v>
      </c>
      <c r="L639" s="99">
        <f>IFERROR(GETPIVOTDATA("Value",TD_WEAP_RAW!$A$3,"Variable",L$2,"Escenario",L$1,"Branch","Demand Sites and Catchments\"&amp;$D639),0)</f>
        <v>0</v>
      </c>
    </row>
    <row r="640" spans="4:12">
      <c r="D640" s="53"/>
      <c r="G640" s="51"/>
      <c r="H640" s="99">
        <f>IFERROR(GETPIVOTDATA("Value",TD_WEAP_RAW!$A$3,"Variable",H$2,"Escenario",H$1,"Branch","Demand Sites and Catchments\"&amp;$D640),0)</f>
        <v>0</v>
      </c>
      <c r="I640" s="99">
        <f>IFERROR(GETPIVOTDATA("Value",TD_WEAP_RAW!$A$3,"Variable",I$2,"Escenario",I$1,"Branch","Demand Sites and Catchments\"&amp;$D640),0)</f>
        <v>0</v>
      </c>
      <c r="J640" s="99"/>
      <c r="K640" s="99">
        <f>IFERROR(GETPIVOTDATA("Value",TD_WEAP_RAW!$A$3,"Variable",K$2,"Escenario",K$1,"Branch","Demand Sites and Catchments\"&amp;$D640),0)</f>
        <v>0</v>
      </c>
      <c r="L640" s="99">
        <f>IFERROR(GETPIVOTDATA("Value",TD_WEAP_RAW!$A$3,"Variable",L$2,"Escenario",L$1,"Branch","Demand Sites and Catchments\"&amp;$D640),0)</f>
        <v>0</v>
      </c>
    </row>
    <row r="641" spans="4:12">
      <c r="D641" s="53"/>
      <c r="G641" s="51"/>
      <c r="H641" s="99">
        <f>IFERROR(GETPIVOTDATA("Value",TD_WEAP_RAW!$A$3,"Variable",H$2,"Escenario",H$1,"Branch","Demand Sites and Catchments\"&amp;$D641),0)</f>
        <v>0</v>
      </c>
      <c r="I641" s="99">
        <f>IFERROR(GETPIVOTDATA("Value",TD_WEAP_RAW!$A$3,"Variable",I$2,"Escenario",I$1,"Branch","Demand Sites and Catchments\"&amp;$D641),0)</f>
        <v>0</v>
      </c>
      <c r="J641" s="99"/>
      <c r="K641" s="99">
        <f>IFERROR(GETPIVOTDATA("Value",TD_WEAP_RAW!$A$3,"Variable",K$2,"Escenario",K$1,"Branch","Demand Sites and Catchments\"&amp;$D641),0)</f>
        <v>0</v>
      </c>
      <c r="L641" s="99">
        <f>IFERROR(GETPIVOTDATA("Value",TD_WEAP_RAW!$A$3,"Variable",L$2,"Escenario",L$1,"Branch","Demand Sites and Catchments\"&amp;$D641),0)</f>
        <v>0</v>
      </c>
    </row>
    <row r="642" spans="4:12">
      <c r="D642" s="53"/>
      <c r="G642" s="51"/>
      <c r="H642" s="99">
        <f>IFERROR(GETPIVOTDATA("Value",TD_WEAP_RAW!$A$3,"Variable",H$2,"Escenario",H$1,"Branch","Demand Sites and Catchments\"&amp;$D642),0)</f>
        <v>0</v>
      </c>
      <c r="I642" s="99">
        <f>IFERROR(GETPIVOTDATA("Value",TD_WEAP_RAW!$A$3,"Variable",I$2,"Escenario",I$1,"Branch","Demand Sites and Catchments\"&amp;$D642),0)</f>
        <v>0</v>
      </c>
      <c r="J642" s="99"/>
      <c r="K642" s="99">
        <f>IFERROR(GETPIVOTDATA("Value",TD_WEAP_RAW!$A$3,"Variable",K$2,"Escenario",K$1,"Branch","Demand Sites and Catchments\"&amp;$D642),0)</f>
        <v>0</v>
      </c>
      <c r="L642" s="99">
        <f>IFERROR(GETPIVOTDATA("Value",TD_WEAP_RAW!$A$3,"Variable",L$2,"Escenario",L$1,"Branch","Demand Sites and Catchments\"&amp;$D642),0)</f>
        <v>0</v>
      </c>
    </row>
    <row r="643" spans="4:12">
      <c r="D643" s="53"/>
      <c r="G643" s="51"/>
      <c r="H643" s="99">
        <f>IFERROR(GETPIVOTDATA("Value",TD_WEAP_RAW!$A$3,"Variable",H$2,"Escenario",H$1,"Branch","Demand Sites and Catchments\"&amp;$D643),0)</f>
        <v>0</v>
      </c>
      <c r="I643" s="99">
        <f>IFERROR(GETPIVOTDATA("Value",TD_WEAP_RAW!$A$3,"Variable",I$2,"Escenario",I$1,"Branch","Demand Sites and Catchments\"&amp;$D643),0)</f>
        <v>0</v>
      </c>
      <c r="J643" s="99"/>
      <c r="K643" s="99">
        <f>IFERROR(GETPIVOTDATA("Value",TD_WEAP_RAW!$A$3,"Variable",K$2,"Escenario",K$1,"Branch","Demand Sites and Catchments\"&amp;$D643),0)</f>
        <v>0</v>
      </c>
      <c r="L643" s="99">
        <f>IFERROR(GETPIVOTDATA("Value",TD_WEAP_RAW!$A$3,"Variable",L$2,"Escenario",L$1,"Branch","Demand Sites and Catchments\"&amp;$D643),0)</f>
        <v>0</v>
      </c>
    </row>
    <row r="644" spans="4:12">
      <c r="D644" s="53"/>
      <c r="G644" s="51"/>
      <c r="H644" s="99">
        <f>IFERROR(GETPIVOTDATA("Value",TD_WEAP_RAW!$A$3,"Variable",H$2,"Escenario",H$1,"Branch","Demand Sites and Catchments\"&amp;$D644),0)</f>
        <v>0</v>
      </c>
      <c r="I644" s="99">
        <f>IFERROR(GETPIVOTDATA("Value",TD_WEAP_RAW!$A$3,"Variable",I$2,"Escenario",I$1,"Branch","Demand Sites and Catchments\"&amp;$D644),0)</f>
        <v>0</v>
      </c>
      <c r="J644" s="99"/>
      <c r="K644" s="99">
        <f>IFERROR(GETPIVOTDATA("Value",TD_WEAP_RAW!$A$3,"Variable",K$2,"Escenario",K$1,"Branch","Demand Sites and Catchments\"&amp;$D644),0)</f>
        <v>0</v>
      </c>
      <c r="L644" s="99">
        <f>IFERROR(GETPIVOTDATA("Value",TD_WEAP_RAW!$A$3,"Variable",L$2,"Escenario",L$1,"Branch","Demand Sites and Catchments\"&amp;$D644),0)</f>
        <v>0</v>
      </c>
    </row>
    <row r="645" spans="4:12">
      <c r="D645" s="53"/>
      <c r="G645" s="51"/>
      <c r="H645" s="99">
        <f>IFERROR(GETPIVOTDATA("Value",TD_WEAP_RAW!$A$3,"Variable",H$2,"Escenario",H$1,"Branch","Demand Sites and Catchments\"&amp;$D645),0)</f>
        <v>0</v>
      </c>
      <c r="I645" s="99">
        <f>IFERROR(GETPIVOTDATA("Value",TD_WEAP_RAW!$A$3,"Variable",I$2,"Escenario",I$1,"Branch","Demand Sites and Catchments\"&amp;$D645),0)</f>
        <v>0</v>
      </c>
      <c r="J645" s="99"/>
      <c r="K645" s="99">
        <f>IFERROR(GETPIVOTDATA("Value",TD_WEAP_RAW!$A$3,"Variable",K$2,"Escenario",K$1,"Branch","Demand Sites and Catchments\"&amp;$D645),0)</f>
        <v>0</v>
      </c>
      <c r="L645" s="99">
        <f>IFERROR(GETPIVOTDATA("Value",TD_WEAP_RAW!$A$3,"Variable",L$2,"Escenario",L$1,"Branch","Demand Sites and Catchments\"&amp;$D645),0)</f>
        <v>0</v>
      </c>
    </row>
    <row r="646" spans="4:12">
      <c r="D646" s="53"/>
      <c r="G646" s="51"/>
      <c r="H646" s="99">
        <f>IFERROR(GETPIVOTDATA("Value",TD_WEAP_RAW!$A$3,"Variable",H$2,"Escenario",H$1,"Branch","Demand Sites and Catchments\"&amp;$D646),0)</f>
        <v>0</v>
      </c>
      <c r="I646" s="99">
        <f>IFERROR(GETPIVOTDATA("Value",TD_WEAP_RAW!$A$3,"Variable",I$2,"Escenario",I$1,"Branch","Demand Sites and Catchments\"&amp;$D646),0)</f>
        <v>0</v>
      </c>
      <c r="J646" s="99"/>
      <c r="K646" s="99">
        <f>IFERROR(GETPIVOTDATA("Value",TD_WEAP_RAW!$A$3,"Variable",K$2,"Escenario",K$1,"Branch","Demand Sites and Catchments\"&amp;$D646),0)</f>
        <v>0</v>
      </c>
      <c r="L646" s="99">
        <f>IFERROR(GETPIVOTDATA("Value",TD_WEAP_RAW!$A$3,"Variable",L$2,"Escenario",L$1,"Branch","Demand Sites and Catchments\"&amp;$D646),0)</f>
        <v>0</v>
      </c>
    </row>
    <row r="647" spans="4:12">
      <c r="D647" s="53"/>
      <c r="G647" s="51"/>
      <c r="H647" s="99">
        <f>IFERROR(GETPIVOTDATA("Value",TD_WEAP_RAW!$A$3,"Variable",H$2,"Escenario",H$1,"Branch","Demand Sites and Catchments\"&amp;$D647),0)</f>
        <v>0</v>
      </c>
      <c r="I647" s="99">
        <f>IFERROR(GETPIVOTDATA("Value",TD_WEAP_RAW!$A$3,"Variable",I$2,"Escenario",I$1,"Branch","Demand Sites and Catchments\"&amp;$D647),0)</f>
        <v>0</v>
      </c>
      <c r="J647" s="99"/>
      <c r="K647" s="99">
        <f>IFERROR(GETPIVOTDATA("Value",TD_WEAP_RAW!$A$3,"Variable",K$2,"Escenario",K$1,"Branch","Demand Sites and Catchments\"&amp;$D647),0)</f>
        <v>0</v>
      </c>
      <c r="L647" s="99">
        <f>IFERROR(GETPIVOTDATA("Value",TD_WEAP_RAW!$A$3,"Variable",L$2,"Escenario",L$1,"Branch","Demand Sites and Catchments\"&amp;$D647),0)</f>
        <v>0</v>
      </c>
    </row>
    <row r="648" spans="4:12">
      <c r="D648" s="53"/>
      <c r="G648" s="51"/>
      <c r="H648" s="99">
        <f>IFERROR(GETPIVOTDATA("Value",TD_WEAP_RAW!$A$3,"Variable",H$2,"Escenario",H$1,"Branch","Demand Sites and Catchments\"&amp;$D648),0)</f>
        <v>0</v>
      </c>
      <c r="I648" s="99">
        <f>IFERROR(GETPIVOTDATA("Value",TD_WEAP_RAW!$A$3,"Variable",I$2,"Escenario",I$1,"Branch","Demand Sites and Catchments\"&amp;$D648),0)</f>
        <v>0</v>
      </c>
      <c r="J648" s="99"/>
      <c r="K648" s="99">
        <f>IFERROR(GETPIVOTDATA("Value",TD_WEAP_RAW!$A$3,"Variable",K$2,"Escenario",K$1,"Branch","Demand Sites and Catchments\"&amp;$D648),0)</f>
        <v>0</v>
      </c>
      <c r="L648" s="99">
        <f>IFERROR(GETPIVOTDATA("Value",TD_WEAP_RAW!$A$3,"Variable",L$2,"Escenario",L$1,"Branch","Demand Sites and Catchments\"&amp;$D648),0)</f>
        <v>0</v>
      </c>
    </row>
    <row r="649" spans="4:12">
      <c r="D649" s="53"/>
      <c r="G649" s="51"/>
      <c r="H649" s="99">
        <f>IFERROR(GETPIVOTDATA("Value",TD_WEAP_RAW!$A$3,"Variable",H$2,"Escenario",H$1,"Branch","Demand Sites and Catchments\"&amp;$D649),0)</f>
        <v>0</v>
      </c>
      <c r="I649" s="99">
        <f>IFERROR(GETPIVOTDATA("Value",TD_WEAP_RAW!$A$3,"Variable",I$2,"Escenario",I$1,"Branch","Demand Sites and Catchments\"&amp;$D649),0)</f>
        <v>0</v>
      </c>
      <c r="J649" s="99"/>
      <c r="K649" s="99">
        <f>IFERROR(GETPIVOTDATA("Value",TD_WEAP_RAW!$A$3,"Variable",K$2,"Escenario",K$1,"Branch","Demand Sites and Catchments\"&amp;$D649),0)</f>
        <v>0</v>
      </c>
      <c r="L649" s="99">
        <f>IFERROR(GETPIVOTDATA("Value",TD_WEAP_RAW!$A$3,"Variable",L$2,"Escenario",L$1,"Branch","Demand Sites and Catchments\"&amp;$D649),0)</f>
        <v>0</v>
      </c>
    </row>
    <row r="650" spans="4:12">
      <c r="D650" s="53"/>
      <c r="G650" s="51"/>
      <c r="H650" s="99">
        <f>IFERROR(GETPIVOTDATA("Value",TD_WEAP_RAW!$A$3,"Variable",H$2,"Escenario",H$1,"Branch","Demand Sites and Catchments\"&amp;$D650),0)</f>
        <v>0</v>
      </c>
      <c r="I650" s="99">
        <f>IFERROR(GETPIVOTDATA("Value",TD_WEAP_RAW!$A$3,"Variable",I$2,"Escenario",I$1,"Branch","Demand Sites and Catchments\"&amp;$D650),0)</f>
        <v>0</v>
      </c>
      <c r="J650" s="99"/>
      <c r="K650" s="99">
        <f>IFERROR(GETPIVOTDATA("Value",TD_WEAP_RAW!$A$3,"Variable",K$2,"Escenario",K$1,"Branch","Demand Sites and Catchments\"&amp;$D650),0)</f>
        <v>0</v>
      </c>
      <c r="L650" s="99">
        <f>IFERROR(GETPIVOTDATA("Value",TD_WEAP_RAW!$A$3,"Variable",L$2,"Escenario",L$1,"Branch","Demand Sites and Catchments\"&amp;$D650),0)</f>
        <v>0</v>
      </c>
    </row>
    <row r="651" spans="4:12">
      <c r="D651" s="53"/>
      <c r="G651" s="51"/>
      <c r="H651" s="99">
        <f>IFERROR(GETPIVOTDATA("Value",TD_WEAP_RAW!$A$3,"Variable",H$2,"Escenario",H$1,"Branch","Demand Sites and Catchments\"&amp;$D651),0)</f>
        <v>0</v>
      </c>
      <c r="I651" s="99">
        <f>IFERROR(GETPIVOTDATA("Value",TD_WEAP_RAW!$A$3,"Variable",I$2,"Escenario",I$1,"Branch","Demand Sites and Catchments\"&amp;$D651),0)</f>
        <v>0</v>
      </c>
      <c r="J651" s="99"/>
      <c r="K651" s="99">
        <f>IFERROR(GETPIVOTDATA("Value",TD_WEAP_RAW!$A$3,"Variable",K$2,"Escenario",K$1,"Branch","Demand Sites and Catchments\"&amp;$D651),0)</f>
        <v>0</v>
      </c>
      <c r="L651" s="99">
        <f>IFERROR(GETPIVOTDATA("Value",TD_WEAP_RAW!$A$3,"Variable",L$2,"Escenario",L$1,"Branch","Demand Sites and Catchments\"&amp;$D651),0)</f>
        <v>0</v>
      </c>
    </row>
    <row r="652" spans="4:12">
      <c r="D652" s="53"/>
      <c r="G652" s="51"/>
      <c r="H652" s="99">
        <f>IFERROR(GETPIVOTDATA("Value",TD_WEAP_RAW!$A$3,"Variable",H$2,"Escenario",H$1,"Branch","Demand Sites and Catchments\"&amp;$D652),0)</f>
        <v>0</v>
      </c>
      <c r="I652" s="99">
        <f>IFERROR(GETPIVOTDATA("Value",TD_WEAP_RAW!$A$3,"Variable",I$2,"Escenario",I$1,"Branch","Demand Sites and Catchments\"&amp;$D652),0)</f>
        <v>0</v>
      </c>
      <c r="J652" s="99"/>
      <c r="K652" s="99">
        <f>IFERROR(GETPIVOTDATA("Value",TD_WEAP_RAW!$A$3,"Variable",K$2,"Escenario",K$1,"Branch","Demand Sites and Catchments\"&amp;$D652),0)</f>
        <v>0</v>
      </c>
      <c r="L652" s="99">
        <f>IFERROR(GETPIVOTDATA("Value",TD_WEAP_RAW!$A$3,"Variable",L$2,"Escenario",L$1,"Branch","Demand Sites and Catchments\"&amp;$D652),0)</f>
        <v>0</v>
      </c>
    </row>
    <row r="653" spans="4:12">
      <c r="D653" s="53"/>
      <c r="G653" s="51"/>
      <c r="H653" s="99">
        <f>IFERROR(GETPIVOTDATA("Value",TD_WEAP_RAW!$A$3,"Variable",H$2,"Escenario",H$1,"Branch","Demand Sites and Catchments\"&amp;$D653),0)</f>
        <v>0</v>
      </c>
      <c r="I653" s="99">
        <f>IFERROR(GETPIVOTDATA("Value",TD_WEAP_RAW!$A$3,"Variable",I$2,"Escenario",I$1,"Branch","Demand Sites and Catchments\"&amp;$D653),0)</f>
        <v>0</v>
      </c>
      <c r="J653" s="99"/>
      <c r="K653" s="99">
        <f>IFERROR(GETPIVOTDATA("Value",TD_WEAP_RAW!$A$3,"Variable",K$2,"Escenario",K$1,"Branch","Demand Sites and Catchments\"&amp;$D653),0)</f>
        <v>0</v>
      </c>
      <c r="L653" s="99">
        <f>IFERROR(GETPIVOTDATA("Value",TD_WEAP_RAW!$A$3,"Variable",L$2,"Escenario",L$1,"Branch","Demand Sites and Catchments\"&amp;$D653),0)</f>
        <v>0</v>
      </c>
    </row>
    <row r="654" spans="4:12">
      <c r="D654" s="53"/>
      <c r="G654" s="51"/>
      <c r="H654" s="99">
        <f>IFERROR(GETPIVOTDATA("Value",TD_WEAP_RAW!$A$3,"Variable",H$2,"Escenario",H$1,"Branch","Demand Sites and Catchments\"&amp;$D654),0)</f>
        <v>0</v>
      </c>
      <c r="I654" s="99">
        <f>IFERROR(GETPIVOTDATA("Value",TD_WEAP_RAW!$A$3,"Variable",I$2,"Escenario",I$1,"Branch","Demand Sites and Catchments\"&amp;$D654),0)</f>
        <v>0</v>
      </c>
      <c r="J654" s="99"/>
      <c r="K654" s="99">
        <f>IFERROR(GETPIVOTDATA("Value",TD_WEAP_RAW!$A$3,"Variable",K$2,"Escenario",K$1,"Branch","Demand Sites and Catchments\"&amp;$D654),0)</f>
        <v>0</v>
      </c>
      <c r="L654" s="99">
        <f>IFERROR(GETPIVOTDATA("Value",TD_WEAP_RAW!$A$3,"Variable",L$2,"Escenario",L$1,"Branch","Demand Sites and Catchments\"&amp;$D654),0)</f>
        <v>0</v>
      </c>
    </row>
    <row r="655" spans="4:12">
      <c r="D655" s="53"/>
      <c r="G655" s="51"/>
      <c r="H655" s="99">
        <f>IFERROR(GETPIVOTDATA("Value",TD_WEAP_RAW!$A$3,"Variable",H$2,"Escenario",H$1,"Branch","Demand Sites and Catchments\"&amp;$D655),0)</f>
        <v>0</v>
      </c>
      <c r="I655" s="99">
        <f>IFERROR(GETPIVOTDATA("Value",TD_WEAP_RAW!$A$3,"Variable",I$2,"Escenario",I$1,"Branch","Demand Sites and Catchments\"&amp;$D655),0)</f>
        <v>0</v>
      </c>
      <c r="J655" s="99"/>
      <c r="K655" s="99">
        <f>IFERROR(GETPIVOTDATA("Value",TD_WEAP_RAW!$A$3,"Variable",K$2,"Escenario",K$1,"Branch","Demand Sites and Catchments\"&amp;$D655),0)</f>
        <v>0</v>
      </c>
      <c r="L655" s="99">
        <f>IFERROR(GETPIVOTDATA("Value",TD_WEAP_RAW!$A$3,"Variable",L$2,"Escenario",L$1,"Branch","Demand Sites and Catchments\"&amp;$D655),0)</f>
        <v>0</v>
      </c>
    </row>
    <row r="656" spans="4:12">
      <c r="D656" s="53"/>
      <c r="G656" s="51"/>
      <c r="H656" s="99">
        <f>IFERROR(GETPIVOTDATA("Value",TD_WEAP_RAW!$A$3,"Variable",H$2,"Escenario",H$1,"Branch","Demand Sites and Catchments\"&amp;$D656),0)</f>
        <v>0</v>
      </c>
      <c r="I656" s="99">
        <f>IFERROR(GETPIVOTDATA("Value",TD_WEAP_RAW!$A$3,"Variable",I$2,"Escenario",I$1,"Branch","Demand Sites and Catchments\"&amp;$D656),0)</f>
        <v>0</v>
      </c>
      <c r="J656" s="99"/>
      <c r="K656" s="99">
        <f>IFERROR(GETPIVOTDATA("Value",TD_WEAP_RAW!$A$3,"Variable",K$2,"Escenario",K$1,"Branch","Demand Sites and Catchments\"&amp;$D656),0)</f>
        <v>0</v>
      </c>
      <c r="L656" s="99">
        <f>IFERROR(GETPIVOTDATA("Value",TD_WEAP_RAW!$A$3,"Variable",L$2,"Escenario",L$1,"Branch","Demand Sites and Catchments\"&amp;$D656),0)</f>
        <v>0</v>
      </c>
    </row>
    <row r="657" spans="4:12">
      <c r="D657" s="53"/>
      <c r="G657" s="51"/>
      <c r="H657" s="99">
        <f>IFERROR(GETPIVOTDATA("Value",TD_WEAP_RAW!$A$3,"Variable",H$2,"Escenario",H$1,"Branch","Demand Sites and Catchments\"&amp;$D657),0)</f>
        <v>0</v>
      </c>
      <c r="I657" s="99">
        <f>IFERROR(GETPIVOTDATA("Value",TD_WEAP_RAW!$A$3,"Variable",I$2,"Escenario",I$1,"Branch","Demand Sites and Catchments\"&amp;$D657),0)</f>
        <v>0</v>
      </c>
      <c r="J657" s="99"/>
      <c r="K657" s="99">
        <f>IFERROR(GETPIVOTDATA("Value",TD_WEAP_RAW!$A$3,"Variable",K$2,"Escenario",K$1,"Branch","Demand Sites and Catchments\"&amp;$D657),0)</f>
        <v>0</v>
      </c>
      <c r="L657" s="99">
        <f>IFERROR(GETPIVOTDATA("Value",TD_WEAP_RAW!$A$3,"Variable",L$2,"Escenario",L$1,"Branch","Demand Sites and Catchments\"&amp;$D657),0)</f>
        <v>0</v>
      </c>
    </row>
    <row r="658" spans="4:12">
      <c r="D658" s="53"/>
      <c r="G658" s="51"/>
      <c r="H658" s="99">
        <f>IFERROR(GETPIVOTDATA("Value",TD_WEAP_RAW!$A$3,"Variable",H$2,"Escenario",H$1,"Branch","Demand Sites and Catchments\"&amp;$D658),0)</f>
        <v>0</v>
      </c>
      <c r="I658" s="99">
        <f>IFERROR(GETPIVOTDATA("Value",TD_WEAP_RAW!$A$3,"Variable",I$2,"Escenario",I$1,"Branch","Demand Sites and Catchments\"&amp;$D658),0)</f>
        <v>0</v>
      </c>
      <c r="J658" s="99"/>
      <c r="K658" s="99">
        <f>IFERROR(GETPIVOTDATA("Value",TD_WEAP_RAW!$A$3,"Variable",K$2,"Escenario",K$1,"Branch","Demand Sites and Catchments\"&amp;$D658),0)</f>
        <v>0</v>
      </c>
      <c r="L658" s="99">
        <f>IFERROR(GETPIVOTDATA("Value",TD_WEAP_RAW!$A$3,"Variable",L$2,"Escenario",L$1,"Branch","Demand Sites and Catchments\"&amp;$D658),0)</f>
        <v>0</v>
      </c>
    </row>
    <row r="659" spans="4:12">
      <c r="D659" s="53"/>
      <c r="G659" s="51"/>
      <c r="H659" s="99">
        <f>IFERROR(GETPIVOTDATA("Value",TD_WEAP_RAW!$A$3,"Variable",H$2,"Escenario",H$1,"Branch","Demand Sites and Catchments\"&amp;$D659),0)</f>
        <v>0</v>
      </c>
      <c r="I659" s="99">
        <f>IFERROR(GETPIVOTDATA("Value",TD_WEAP_RAW!$A$3,"Variable",I$2,"Escenario",I$1,"Branch","Demand Sites and Catchments\"&amp;$D659),0)</f>
        <v>0</v>
      </c>
      <c r="J659" s="99"/>
      <c r="K659" s="99">
        <f>IFERROR(GETPIVOTDATA("Value",TD_WEAP_RAW!$A$3,"Variable",K$2,"Escenario",K$1,"Branch","Demand Sites and Catchments\"&amp;$D659),0)</f>
        <v>0</v>
      </c>
      <c r="L659" s="99">
        <f>IFERROR(GETPIVOTDATA("Value",TD_WEAP_RAW!$A$3,"Variable",L$2,"Escenario",L$1,"Branch","Demand Sites and Catchments\"&amp;$D659),0)</f>
        <v>0</v>
      </c>
    </row>
    <row r="660" spans="4:12">
      <c r="D660" s="53"/>
      <c r="G660" s="51"/>
      <c r="H660" s="99">
        <f>IFERROR(GETPIVOTDATA("Value",TD_WEAP_RAW!$A$3,"Variable",H$2,"Escenario",H$1,"Branch","Demand Sites and Catchments\"&amp;$D660),0)</f>
        <v>0</v>
      </c>
      <c r="I660" s="99">
        <f>IFERROR(GETPIVOTDATA("Value",TD_WEAP_RAW!$A$3,"Variable",I$2,"Escenario",I$1,"Branch","Demand Sites and Catchments\"&amp;$D660),0)</f>
        <v>0</v>
      </c>
      <c r="J660" s="99"/>
      <c r="K660" s="99">
        <f>IFERROR(GETPIVOTDATA("Value",TD_WEAP_RAW!$A$3,"Variable",K$2,"Escenario",K$1,"Branch","Demand Sites and Catchments\"&amp;$D660),0)</f>
        <v>0</v>
      </c>
      <c r="L660" s="99">
        <f>IFERROR(GETPIVOTDATA("Value",TD_WEAP_RAW!$A$3,"Variable",L$2,"Escenario",L$1,"Branch","Demand Sites and Catchments\"&amp;$D660),0)</f>
        <v>0</v>
      </c>
    </row>
    <row r="661" spans="4:12">
      <c r="D661" s="53"/>
      <c r="G661" s="51"/>
      <c r="H661" s="99">
        <f>IFERROR(GETPIVOTDATA("Value",TD_WEAP_RAW!$A$3,"Variable",H$2,"Escenario",H$1,"Branch","Demand Sites and Catchments\"&amp;$D661),0)</f>
        <v>0</v>
      </c>
      <c r="I661" s="99">
        <f>IFERROR(GETPIVOTDATA("Value",TD_WEAP_RAW!$A$3,"Variable",I$2,"Escenario",I$1,"Branch","Demand Sites and Catchments\"&amp;$D661),0)</f>
        <v>0</v>
      </c>
      <c r="J661" s="99"/>
      <c r="K661" s="99">
        <f>IFERROR(GETPIVOTDATA("Value",TD_WEAP_RAW!$A$3,"Variable",K$2,"Escenario",K$1,"Branch","Demand Sites and Catchments\"&amp;$D661),0)</f>
        <v>0</v>
      </c>
      <c r="L661" s="99">
        <f>IFERROR(GETPIVOTDATA("Value",TD_WEAP_RAW!$A$3,"Variable",L$2,"Escenario",L$1,"Branch","Demand Sites and Catchments\"&amp;$D661),0)</f>
        <v>0</v>
      </c>
    </row>
    <row r="662" spans="4:12">
      <c r="D662" s="53"/>
      <c r="G662" s="51"/>
      <c r="H662" s="99">
        <f>IFERROR(GETPIVOTDATA("Value",TD_WEAP_RAW!$A$3,"Variable",H$2,"Escenario",H$1,"Branch","Demand Sites and Catchments\"&amp;$D662),0)</f>
        <v>0</v>
      </c>
      <c r="I662" s="99">
        <f>IFERROR(GETPIVOTDATA("Value",TD_WEAP_RAW!$A$3,"Variable",I$2,"Escenario",I$1,"Branch","Demand Sites and Catchments\"&amp;$D662),0)</f>
        <v>0</v>
      </c>
      <c r="J662" s="99"/>
      <c r="K662" s="99">
        <f>IFERROR(GETPIVOTDATA("Value",TD_WEAP_RAW!$A$3,"Variable",K$2,"Escenario",K$1,"Branch","Demand Sites and Catchments\"&amp;$D662),0)</f>
        <v>0</v>
      </c>
      <c r="L662" s="99">
        <f>IFERROR(GETPIVOTDATA("Value",TD_WEAP_RAW!$A$3,"Variable",L$2,"Escenario",L$1,"Branch","Demand Sites and Catchments\"&amp;$D662),0)</f>
        <v>0</v>
      </c>
    </row>
    <row r="663" spans="4:12">
      <c r="D663" s="53"/>
      <c r="G663" s="51"/>
      <c r="H663" s="99">
        <f>IFERROR(GETPIVOTDATA("Value",TD_WEAP_RAW!$A$3,"Variable",H$2,"Escenario",H$1,"Branch","Demand Sites and Catchments\"&amp;$D663),0)</f>
        <v>0</v>
      </c>
      <c r="I663" s="99">
        <f>IFERROR(GETPIVOTDATA("Value",TD_WEAP_RAW!$A$3,"Variable",I$2,"Escenario",I$1,"Branch","Demand Sites and Catchments\"&amp;$D663),0)</f>
        <v>0</v>
      </c>
      <c r="J663" s="99"/>
      <c r="K663" s="99">
        <f>IFERROR(GETPIVOTDATA("Value",TD_WEAP_RAW!$A$3,"Variable",K$2,"Escenario",K$1,"Branch","Demand Sites and Catchments\"&amp;$D663),0)</f>
        <v>0</v>
      </c>
      <c r="L663" s="99">
        <f>IFERROR(GETPIVOTDATA("Value",TD_WEAP_RAW!$A$3,"Variable",L$2,"Escenario",L$1,"Branch","Demand Sites and Catchments\"&amp;$D663),0)</f>
        <v>0</v>
      </c>
    </row>
    <row r="664" spans="4:12">
      <c r="D664" s="53"/>
      <c r="G664" s="51"/>
      <c r="H664" s="99">
        <f>IFERROR(GETPIVOTDATA("Value",TD_WEAP_RAW!$A$3,"Variable",H$2,"Escenario",H$1,"Branch","Demand Sites and Catchments\"&amp;$D664),0)</f>
        <v>0</v>
      </c>
      <c r="I664" s="99">
        <f>IFERROR(GETPIVOTDATA("Value",TD_WEAP_RAW!$A$3,"Variable",I$2,"Escenario",I$1,"Branch","Demand Sites and Catchments\"&amp;$D664),0)</f>
        <v>0</v>
      </c>
      <c r="J664" s="99"/>
      <c r="K664" s="99">
        <f>IFERROR(GETPIVOTDATA("Value",TD_WEAP_RAW!$A$3,"Variable",K$2,"Escenario",K$1,"Branch","Demand Sites and Catchments\"&amp;$D664),0)</f>
        <v>0</v>
      </c>
      <c r="L664" s="99">
        <f>IFERROR(GETPIVOTDATA("Value",TD_WEAP_RAW!$A$3,"Variable",L$2,"Escenario",L$1,"Branch","Demand Sites and Catchments\"&amp;$D664),0)</f>
        <v>0</v>
      </c>
    </row>
    <row r="665" spans="4:12">
      <c r="D665" s="53"/>
      <c r="G665" s="51"/>
      <c r="H665" s="99">
        <f>IFERROR(GETPIVOTDATA("Value",TD_WEAP_RAW!$A$3,"Variable",H$2,"Escenario",H$1,"Branch","Demand Sites and Catchments\"&amp;$D665),0)</f>
        <v>0</v>
      </c>
      <c r="I665" s="99">
        <f>IFERROR(GETPIVOTDATA("Value",TD_WEAP_RAW!$A$3,"Variable",I$2,"Escenario",I$1,"Branch","Demand Sites and Catchments\"&amp;$D665),0)</f>
        <v>0</v>
      </c>
      <c r="J665" s="99"/>
      <c r="K665" s="99">
        <f>IFERROR(GETPIVOTDATA("Value",TD_WEAP_RAW!$A$3,"Variable",K$2,"Escenario",K$1,"Branch","Demand Sites and Catchments\"&amp;$D665),0)</f>
        <v>0</v>
      </c>
      <c r="L665" s="99">
        <f>IFERROR(GETPIVOTDATA("Value",TD_WEAP_RAW!$A$3,"Variable",L$2,"Escenario",L$1,"Branch","Demand Sites and Catchments\"&amp;$D665),0)</f>
        <v>0</v>
      </c>
    </row>
    <row r="666" spans="4:12">
      <c r="D666" s="53"/>
      <c r="G666" s="51"/>
      <c r="H666" s="99">
        <f>IFERROR(GETPIVOTDATA("Value",TD_WEAP_RAW!$A$3,"Variable",H$2,"Escenario",H$1,"Branch","Demand Sites and Catchments\"&amp;$D666),0)</f>
        <v>0</v>
      </c>
      <c r="I666" s="99">
        <f>IFERROR(GETPIVOTDATA("Value",TD_WEAP_RAW!$A$3,"Variable",I$2,"Escenario",I$1,"Branch","Demand Sites and Catchments\"&amp;$D666),0)</f>
        <v>0</v>
      </c>
      <c r="J666" s="99"/>
      <c r="K666" s="99">
        <f>IFERROR(GETPIVOTDATA("Value",TD_WEAP_RAW!$A$3,"Variable",K$2,"Escenario",K$1,"Branch","Demand Sites and Catchments\"&amp;$D666),0)</f>
        <v>0</v>
      </c>
      <c r="L666" s="99">
        <f>IFERROR(GETPIVOTDATA("Value",TD_WEAP_RAW!$A$3,"Variable",L$2,"Escenario",L$1,"Branch","Demand Sites and Catchments\"&amp;$D666),0)</f>
        <v>0</v>
      </c>
    </row>
    <row r="667" spans="4:12">
      <c r="D667" s="53"/>
      <c r="G667" s="51"/>
      <c r="H667" s="99">
        <f>IFERROR(GETPIVOTDATA("Value",TD_WEAP_RAW!$A$3,"Variable",H$2,"Escenario",H$1,"Branch","Demand Sites and Catchments\"&amp;$D667),0)</f>
        <v>0</v>
      </c>
      <c r="I667" s="99">
        <f>IFERROR(GETPIVOTDATA("Value",TD_WEAP_RAW!$A$3,"Variable",I$2,"Escenario",I$1,"Branch","Demand Sites and Catchments\"&amp;$D667),0)</f>
        <v>0</v>
      </c>
      <c r="J667" s="99"/>
      <c r="K667" s="99">
        <f>IFERROR(GETPIVOTDATA("Value",TD_WEAP_RAW!$A$3,"Variable",K$2,"Escenario",K$1,"Branch","Demand Sites and Catchments\"&amp;$D667),0)</f>
        <v>0</v>
      </c>
      <c r="L667" s="99">
        <f>IFERROR(GETPIVOTDATA("Value",TD_WEAP_RAW!$A$3,"Variable",L$2,"Escenario",L$1,"Branch","Demand Sites and Catchments\"&amp;$D667),0)</f>
        <v>0</v>
      </c>
    </row>
    <row r="668" spans="4:12">
      <c r="D668" s="53"/>
      <c r="G668" s="51"/>
      <c r="H668" s="99">
        <f>IFERROR(GETPIVOTDATA("Value",TD_WEAP_RAW!$A$3,"Variable",H$2,"Escenario",H$1,"Branch","Demand Sites and Catchments\"&amp;$D668),0)</f>
        <v>0</v>
      </c>
      <c r="I668" s="99">
        <f>IFERROR(GETPIVOTDATA("Value",TD_WEAP_RAW!$A$3,"Variable",I$2,"Escenario",I$1,"Branch","Demand Sites and Catchments\"&amp;$D668),0)</f>
        <v>0</v>
      </c>
      <c r="J668" s="99"/>
      <c r="K668" s="99">
        <f>IFERROR(GETPIVOTDATA("Value",TD_WEAP_RAW!$A$3,"Variable",K$2,"Escenario",K$1,"Branch","Demand Sites and Catchments\"&amp;$D668),0)</f>
        <v>0</v>
      </c>
      <c r="L668" s="99">
        <f>IFERROR(GETPIVOTDATA("Value",TD_WEAP_RAW!$A$3,"Variable",L$2,"Escenario",L$1,"Branch","Demand Sites and Catchments\"&amp;$D668),0)</f>
        <v>0</v>
      </c>
    </row>
    <row r="669" spans="4:12">
      <c r="D669" s="53"/>
      <c r="G669" s="51"/>
      <c r="H669" s="99">
        <f>IFERROR(GETPIVOTDATA("Value",TD_WEAP_RAW!$A$3,"Variable",H$2,"Escenario",H$1,"Branch","Demand Sites and Catchments\"&amp;$D669),0)</f>
        <v>0</v>
      </c>
      <c r="I669" s="99">
        <f>IFERROR(GETPIVOTDATA("Value",TD_WEAP_RAW!$A$3,"Variable",I$2,"Escenario",I$1,"Branch","Demand Sites and Catchments\"&amp;$D669),0)</f>
        <v>0</v>
      </c>
      <c r="J669" s="99"/>
      <c r="K669" s="99">
        <f>IFERROR(GETPIVOTDATA("Value",TD_WEAP_RAW!$A$3,"Variable",K$2,"Escenario",K$1,"Branch","Demand Sites and Catchments\"&amp;$D669),0)</f>
        <v>0</v>
      </c>
      <c r="L669" s="99">
        <f>IFERROR(GETPIVOTDATA("Value",TD_WEAP_RAW!$A$3,"Variable",L$2,"Escenario",L$1,"Branch","Demand Sites and Catchments\"&amp;$D669),0)</f>
        <v>0</v>
      </c>
    </row>
    <row r="670" spans="4:12">
      <c r="D670" s="53"/>
      <c r="G670" s="51"/>
      <c r="H670" s="99">
        <f>IFERROR(GETPIVOTDATA("Value",TD_WEAP_RAW!$A$3,"Variable",H$2,"Escenario",H$1,"Branch","Demand Sites and Catchments\"&amp;$D670),0)</f>
        <v>0</v>
      </c>
      <c r="I670" s="99">
        <f>IFERROR(GETPIVOTDATA("Value",TD_WEAP_RAW!$A$3,"Variable",I$2,"Escenario",I$1,"Branch","Demand Sites and Catchments\"&amp;$D670),0)</f>
        <v>0</v>
      </c>
      <c r="J670" s="99"/>
      <c r="K670" s="99">
        <f>IFERROR(GETPIVOTDATA("Value",TD_WEAP_RAW!$A$3,"Variable",K$2,"Escenario",K$1,"Branch","Demand Sites and Catchments\"&amp;$D670),0)</f>
        <v>0</v>
      </c>
      <c r="L670" s="99">
        <f>IFERROR(GETPIVOTDATA("Value",TD_WEAP_RAW!$A$3,"Variable",L$2,"Escenario",L$1,"Branch","Demand Sites and Catchments\"&amp;$D670),0)</f>
        <v>0</v>
      </c>
    </row>
    <row r="671" spans="4:12">
      <c r="D671" s="53"/>
      <c r="G671" s="51"/>
      <c r="H671" s="99">
        <f>IFERROR(GETPIVOTDATA("Value",TD_WEAP_RAW!$A$3,"Variable",H$2,"Escenario",H$1,"Branch","Demand Sites and Catchments\"&amp;$D671),0)</f>
        <v>0</v>
      </c>
      <c r="I671" s="99">
        <f>IFERROR(GETPIVOTDATA("Value",TD_WEAP_RAW!$A$3,"Variable",I$2,"Escenario",I$1,"Branch","Demand Sites and Catchments\"&amp;$D671),0)</f>
        <v>0</v>
      </c>
      <c r="J671" s="99"/>
      <c r="K671" s="99">
        <f>IFERROR(GETPIVOTDATA("Value",TD_WEAP_RAW!$A$3,"Variable",K$2,"Escenario",K$1,"Branch","Demand Sites and Catchments\"&amp;$D671),0)</f>
        <v>0</v>
      </c>
      <c r="L671" s="99">
        <f>IFERROR(GETPIVOTDATA("Value",TD_WEAP_RAW!$A$3,"Variable",L$2,"Escenario",L$1,"Branch","Demand Sites and Catchments\"&amp;$D671),0)</f>
        <v>0</v>
      </c>
    </row>
    <row r="672" spans="4:12">
      <c r="D672" s="53"/>
      <c r="G672" s="51"/>
      <c r="H672" s="99">
        <f>IFERROR(GETPIVOTDATA("Value",TD_WEAP_RAW!$A$3,"Variable",H$2,"Escenario",H$1,"Branch","Demand Sites and Catchments\"&amp;$D672),0)</f>
        <v>0</v>
      </c>
      <c r="I672" s="99">
        <f>IFERROR(GETPIVOTDATA("Value",TD_WEAP_RAW!$A$3,"Variable",I$2,"Escenario",I$1,"Branch","Demand Sites and Catchments\"&amp;$D672),0)</f>
        <v>0</v>
      </c>
      <c r="J672" s="99"/>
      <c r="K672" s="99">
        <f>IFERROR(GETPIVOTDATA("Value",TD_WEAP_RAW!$A$3,"Variable",K$2,"Escenario",K$1,"Branch","Demand Sites and Catchments\"&amp;$D672),0)</f>
        <v>0</v>
      </c>
      <c r="L672" s="99">
        <f>IFERROR(GETPIVOTDATA("Value",TD_WEAP_RAW!$A$3,"Variable",L$2,"Escenario",L$1,"Branch","Demand Sites and Catchments\"&amp;$D672),0)</f>
        <v>0</v>
      </c>
    </row>
    <row r="673" spans="4:12">
      <c r="D673" s="53"/>
      <c r="G673" s="51"/>
      <c r="H673" s="99">
        <f>IFERROR(GETPIVOTDATA("Value",TD_WEAP_RAW!$A$3,"Variable",H$2,"Escenario",H$1,"Branch","Demand Sites and Catchments\"&amp;$D673),0)</f>
        <v>0</v>
      </c>
      <c r="I673" s="99">
        <f>IFERROR(GETPIVOTDATA("Value",TD_WEAP_RAW!$A$3,"Variable",I$2,"Escenario",I$1,"Branch","Demand Sites and Catchments\"&amp;$D673),0)</f>
        <v>0</v>
      </c>
      <c r="J673" s="99"/>
      <c r="K673" s="99">
        <f>IFERROR(GETPIVOTDATA("Value",TD_WEAP_RAW!$A$3,"Variable",K$2,"Escenario",K$1,"Branch","Demand Sites and Catchments\"&amp;$D673),0)</f>
        <v>0</v>
      </c>
      <c r="L673" s="99">
        <f>IFERROR(GETPIVOTDATA("Value",TD_WEAP_RAW!$A$3,"Variable",L$2,"Escenario",L$1,"Branch","Demand Sites and Catchments\"&amp;$D673),0)</f>
        <v>0</v>
      </c>
    </row>
    <row r="674" spans="4:12">
      <c r="D674" s="53"/>
      <c r="G674" s="51"/>
      <c r="H674" s="99">
        <f>IFERROR(GETPIVOTDATA("Value",TD_WEAP_RAW!$A$3,"Variable",H$2,"Escenario",H$1,"Branch","Demand Sites and Catchments\"&amp;$D674),0)</f>
        <v>0</v>
      </c>
      <c r="I674" s="99">
        <f>IFERROR(GETPIVOTDATA("Value",TD_WEAP_RAW!$A$3,"Variable",I$2,"Escenario",I$1,"Branch","Demand Sites and Catchments\"&amp;$D674),0)</f>
        <v>0</v>
      </c>
      <c r="J674" s="99"/>
      <c r="K674" s="99">
        <f>IFERROR(GETPIVOTDATA("Value",TD_WEAP_RAW!$A$3,"Variable",K$2,"Escenario",K$1,"Branch","Demand Sites and Catchments\"&amp;$D674),0)</f>
        <v>0</v>
      </c>
      <c r="L674" s="99">
        <f>IFERROR(GETPIVOTDATA("Value",TD_WEAP_RAW!$A$3,"Variable",L$2,"Escenario",L$1,"Branch","Demand Sites and Catchments\"&amp;$D674),0)</f>
        <v>0</v>
      </c>
    </row>
    <row r="675" spans="4:12">
      <c r="D675" s="53"/>
      <c r="G675" s="51"/>
      <c r="H675" s="99">
        <f>IFERROR(GETPIVOTDATA("Value",TD_WEAP_RAW!$A$3,"Variable",H$2,"Escenario",H$1,"Branch","Demand Sites and Catchments\"&amp;$D675),0)</f>
        <v>0</v>
      </c>
      <c r="I675" s="99">
        <f>IFERROR(GETPIVOTDATA("Value",TD_WEAP_RAW!$A$3,"Variable",I$2,"Escenario",I$1,"Branch","Demand Sites and Catchments\"&amp;$D675),0)</f>
        <v>0</v>
      </c>
      <c r="J675" s="99"/>
      <c r="K675" s="99">
        <f>IFERROR(GETPIVOTDATA("Value",TD_WEAP_RAW!$A$3,"Variable",K$2,"Escenario",K$1,"Branch","Demand Sites and Catchments\"&amp;$D675),0)</f>
        <v>0</v>
      </c>
      <c r="L675" s="99">
        <f>IFERROR(GETPIVOTDATA("Value",TD_WEAP_RAW!$A$3,"Variable",L$2,"Escenario",L$1,"Branch","Demand Sites and Catchments\"&amp;$D675),0)</f>
        <v>0</v>
      </c>
    </row>
    <row r="676" spans="4:12">
      <c r="D676" s="53"/>
      <c r="G676" s="51"/>
      <c r="H676" s="99">
        <f>IFERROR(GETPIVOTDATA("Value",TD_WEAP_RAW!$A$3,"Variable",H$2,"Escenario",H$1,"Branch","Demand Sites and Catchments\"&amp;$D676),0)</f>
        <v>0</v>
      </c>
      <c r="I676" s="99">
        <f>IFERROR(GETPIVOTDATA("Value",TD_WEAP_RAW!$A$3,"Variable",I$2,"Escenario",I$1,"Branch","Demand Sites and Catchments\"&amp;$D676),0)</f>
        <v>0</v>
      </c>
      <c r="J676" s="99"/>
      <c r="K676" s="99">
        <f>IFERROR(GETPIVOTDATA("Value",TD_WEAP_RAW!$A$3,"Variable",K$2,"Escenario",K$1,"Branch","Demand Sites and Catchments\"&amp;$D676),0)</f>
        <v>0</v>
      </c>
      <c r="L676" s="99">
        <f>IFERROR(GETPIVOTDATA("Value",TD_WEAP_RAW!$A$3,"Variable",L$2,"Escenario",L$1,"Branch","Demand Sites and Catchments\"&amp;$D676),0)</f>
        <v>0</v>
      </c>
    </row>
    <row r="677" spans="4:12">
      <c r="D677" s="53"/>
      <c r="G677" s="51"/>
      <c r="H677" s="99">
        <f>IFERROR(GETPIVOTDATA("Value",TD_WEAP_RAW!$A$3,"Variable",H$2,"Escenario",H$1,"Branch","Demand Sites and Catchments\"&amp;$D677),0)</f>
        <v>0</v>
      </c>
      <c r="I677" s="99">
        <f>IFERROR(GETPIVOTDATA("Value",TD_WEAP_RAW!$A$3,"Variable",I$2,"Escenario",I$1,"Branch","Demand Sites and Catchments\"&amp;$D677),0)</f>
        <v>0</v>
      </c>
      <c r="J677" s="99"/>
      <c r="K677" s="99">
        <f>IFERROR(GETPIVOTDATA("Value",TD_WEAP_RAW!$A$3,"Variable",K$2,"Escenario",K$1,"Branch","Demand Sites and Catchments\"&amp;$D677),0)</f>
        <v>0</v>
      </c>
      <c r="L677" s="99">
        <f>IFERROR(GETPIVOTDATA("Value",TD_WEAP_RAW!$A$3,"Variable",L$2,"Escenario",L$1,"Branch","Demand Sites and Catchments\"&amp;$D677),0)</f>
        <v>0</v>
      </c>
    </row>
    <row r="678" spans="4:12">
      <c r="D678" s="53"/>
      <c r="G678" s="51"/>
      <c r="H678" s="99">
        <f>IFERROR(GETPIVOTDATA("Value",TD_WEAP_RAW!$A$3,"Variable",H$2,"Escenario",H$1,"Branch","Demand Sites and Catchments\"&amp;$D678),0)</f>
        <v>0</v>
      </c>
      <c r="I678" s="99">
        <f>IFERROR(GETPIVOTDATA("Value",TD_WEAP_RAW!$A$3,"Variable",I$2,"Escenario",I$1,"Branch","Demand Sites and Catchments\"&amp;$D678),0)</f>
        <v>0</v>
      </c>
      <c r="J678" s="99"/>
      <c r="K678" s="99">
        <f>IFERROR(GETPIVOTDATA("Value",TD_WEAP_RAW!$A$3,"Variable",K$2,"Escenario",K$1,"Branch","Demand Sites and Catchments\"&amp;$D678),0)</f>
        <v>0</v>
      </c>
      <c r="L678" s="99">
        <f>IFERROR(GETPIVOTDATA("Value",TD_WEAP_RAW!$A$3,"Variable",L$2,"Escenario",L$1,"Branch","Demand Sites and Catchments\"&amp;$D678),0)</f>
        <v>0</v>
      </c>
    </row>
    <row r="679" spans="4:12">
      <c r="D679" s="53"/>
      <c r="G679" s="51"/>
      <c r="H679" s="99">
        <f>IFERROR(GETPIVOTDATA("Value",TD_WEAP_RAW!$A$3,"Variable",H$2,"Escenario",H$1,"Branch","Demand Sites and Catchments\"&amp;$D679),0)</f>
        <v>0</v>
      </c>
      <c r="I679" s="99">
        <f>IFERROR(GETPIVOTDATA("Value",TD_WEAP_RAW!$A$3,"Variable",I$2,"Escenario",I$1,"Branch","Demand Sites and Catchments\"&amp;$D679),0)</f>
        <v>0</v>
      </c>
      <c r="J679" s="99"/>
      <c r="K679" s="99">
        <f>IFERROR(GETPIVOTDATA("Value",TD_WEAP_RAW!$A$3,"Variable",K$2,"Escenario",K$1,"Branch","Demand Sites and Catchments\"&amp;$D679),0)</f>
        <v>0</v>
      </c>
      <c r="L679" s="99">
        <f>IFERROR(GETPIVOTDATA("Value",TD_WEAP_RAW!$A$3,"Variable",L$2,"Escenario",L$1,"Branch","Demand Sites and Catchments\"&amp;$D679),0)</f>
        <v>0</v>
      </c>
    </row>
    <row r="680" spans="4:12">
      <c r="D680" s="53"/>
      <c r="G680" s="51"/>
      <c r="H680" s="99">
        <f>IFERROR(GETPIVOTDATA("Value",TD_WEAP_RAW!$A$3,"Variable",H$2,"Escenario",H$1,"Branch","Demand Sites and Catchments\"&amp;$D680),0)</f>
        <v>0</v>
      </c>
      <c r="I680" s="99">
        <f>IFERROR(GETPIVOTDATA("Value",TD_WEAP_RAW!$A$3,"Variable",I$2,"Escenario",I$1,"Branch","Demand Sites and Catchments\"&amp;$D680),0)</f>
        <v>0</v>
      </c>
      <c r="J680" s="99"/>
      <c r="K680" s="99">
        <f>IFERROR(GETPIVOTDATA("Value",TD_WEAP_RAW!$A$3,"Variable",K$2,"Escenario",K$1,"Branch","Demand Sites and Catchments\"&amp;$D680),0)</f>
        <v>0</v>
      </c>
      <c r="L680" s="99">
        <f>IFERROR(GETPIVOTDATA("Value",TD_WEAP_RAW!$A$3,"Variable",L$2,"Escenario",L$1,"Branch","Demand Sites and Catchments\"&amp;$D680),0)</f>
        <v>0</v>
      </c>
    </row>
    <row r="681" spans="4:12">
      <c r="D681" s="53"/>
      <c r="G681" s="51"/>
      <c r="H681" s="99">
        <f>IFERROR(GETPIVOTDATA("Value",TD_WEAP_RAW!$A$3,"Variable",H$2,"Escenario",H$1,"Branch","Demand Sites and Catchments\"&amp;$D681),0)</f>
        <v>0</v>
      </c>
      <c r="I681" s="99">
        <f>IFERROR(GETPIVOTDATA("Value",TD_WEAP_RAW!$A$3,"Variable",I$2,"Escenario",I$1,"Branch","Demand Sites and Catchments\"&amp;$D681),0)</f>
        <v>0</v>
      </c>
      <c r="J681" s="99"/>
      <c r="K681" s="99">
        <f>IFERROR(GETPIVOTDATA("Value",TD_WEAP_RAW!$A$3,"Variable",K$2,"Escenario",K$1,"Branch","Demand Sites and Catchments\"&amp;$D681),0)</f>
        <v>0</v>
      </c>
      <c r="L681" s="99">
        <f>IFERROR(GETPIVOTDATA("Value",TD_WEAP_RAW!$A$3,"Variable",L$2,"Escenario",L$1,"Branch","Demand Sites and Catchments\"&amp;$D681),0)</f>
        <v>0</v>
      </c>
    </row>
    <row r="682" spans="4:12">
      <c r="D682" s="53"/>
      <c r="G682" s="51"/>
      <c r="H682" s="99">
        <f>IFERROR(GETPIVOTDATA("Value",TD_WEAP_RAW!$A$3,"Variable",H$2,"Escenario",H$1,"Branch","Demand Sites and Catchments\"&amp;$D682),0)</f>
        <v>0</v>
      </c>
      <c r="I682" s="99">
        <f>IFERROR(GETPIVOTDATA("Value",TD_WEAP_RAW!$A$3,"Variable",I$2,"Escenario",I$1,"Branch","Demand Sites and Catchments\"&amp;$D682),0)</f>
        <v>0</v>
      </c>
      <c r="J682" s="99"/>
      <c r="K682" s="99">
        <f>IFERROR(GETPIVOTDATA("Value",TD_WEAP_RAW!$A$3,"Variable",K$2,"Escenario",K$1,"Branch","Demand Sites and Catchments\"&amp;$D682),0)</f>
        <v>0</v>
      </c>
      <c r="L682" s="99">
        <f>IFERROR(GETPIVOTDATA("Value",TD_WEAP_RAW!$A$3,"Variable",L$2,"Escenario",L$1,"Branch","Demand Sites and Catchments\"&amp;$D682),0)</f>
        <v>0</v>
      </c>
    </row>
    <row r="683" spans="4:12">
      <c r="D683" s="53"/>
      <c r="G683" s="51"/>
      <c r="H683" s="99">
        <f>IFERROR(GETPIVOTDATA("Value",TD_WEAP_RAW!$A$3,"Variable",H$2,"Escenario",H$1,"Branch","Demand Sites and Catchments\"&amp;$D683),0)</f>
        <v>0</v>
      </c>
      <c r="I683" s="99">
        <f>IFERROR(GETPIVOTDATA("Value",TD_WEAP_RAW!$A$3,"Variable",I$2,"Escenario",I$1,"Branch","Demand Sites and Catchments\"&amp;$D683),0)</f>
        <v>0</v>
      </c>
      <c r="J683" s="99"/>
      <c r="K683" s="99">
        <f>IFERROR(GETPIVOTDATA("Value",TD_WEAP_RAW!$A$3,"Variable",K$2,"Escenario",K$1,"Branch","Demand Sites and Catchments\"&amp;$D683),0)</f>
        <v>0</v>
      </c>
      <c r="L683" s="99">
        <f>IFERROR(GETPIVOTDATA("Value",TD_WEAP_RAW!$A$3,"Variable",L$2,"Escenario",L$1,"Branch","Demand Sites and Catchments\"&amp;$D683),0)</f>
        <v>0</v>
      </c>
    </row>
    <row r="684" spans="4:12">
      <c r="D684" s="53"/>
      <c r="G684" s="51"/>
      <c r="H684" s="99">
        <f>IFERROR(GETPIVOTDATA("Value",TD_WEAP_RAW!$A$3,"Variable",H$2,"Escenario",H$1,"Branch","Demand Sites and Catchments\"&amp;$D684),0)</f>
        <v>0</v>
      </c>
      <c r="I684" s="99">
        <f>IFERROR(GETPIVOTDATA("Value",TD_WEAP_RAW!$A$3,"Variable",I$2,"Escenario",I$1,"Branch","Demand Sites and Catchments\"&amp;$D684),0)</f>
        <v>0</v>
      </c>
      <c r="J684" s="99"/>
      <c r="K684" s="99">
        <f>IFERROR(GETPIVOTDATA("Value",TD_WEAP_RAW!$A$3,"Variable",K$2,"Escenario",K$1,"Branch","Demand Sites and Catchments\"&amp;$D684),0)</f>
        <v>0</v>
      </c>
      <c r="L684" s="99">
        <f>IFERROR(GETPIVOTDATA("Value",TD_WEAP_RAW!$A$3,"Variable",L$2,"Escenario",L$1,"Branch","Demand Sites and Catchments\"&amp;$D684),0)</f>
        <v>0</v>
      </c>
    </row>
    <row r="685" spans="4:12">
      <c r="D685" s="53"/>
      <c r="G685" s="51"/>
      <c r="H685" s="99">
        <f>IFERROR(GETPIVOTDATA("Value",TD_WEAP_RAW!$A$3,"Variable",H$2,"Escenario",H$1,"Branch","Demand Sites and Catchments\"&amp;$D685),0)</f>
        <v>0</v>
      </c>
      <c r="I685" s="99">
        <f>IFERROR(GETPIVOTDATA("Value",TD_WEAP_RAW!$A$3,"Variable",I$2,"Escenario",I$1,"Branch","Demand Sites and Catchments\"&amp;$D685),0)</f>
        <v>0</v>
      </c>
      <c r="J685" s="99"/>
      <c r="K685" s="99">
        <f>IFERROR(GETPIVOTDATA("Value",TD_WEAP_RAW!$A$3,"Variable",K$2,"Escenario",K$1,"Branch","Demand Sites and Catchments\"&amp;$D685),0)</f>
        <v>0</v>
      </c>
      <c r="L685" s="99">
        <f>IFERROR(GETPIVOTDATA("Value",TD_WEAP_RAW!$A$3,"Variable",L$2,"Escenario",L$1,"Branch","Demand Sites and Catchments\"&amp;$D685),0)</f>
        <v>0</v>
      </c>
    </row>
    <row r="686" spans="4:12">
      <c r="D686" s="53"/>
      <c r="G686" s="51"/>
      <c r="H686" s="99">
        <f>IFERROR(GETPIVOTDATA("Value",TD_WEAP_RAW!$A$3,"Variable",H$2,"Escenario",H$1,"Branch","Demand Sites and Catchments\"&amp;$D686),0)</f>
        <v>0</v>
      </c>
      <c r="I686" s="99">
        <f>IFERROR(GETPIVOTDATA("Value",TD_WEAP_RAW!$A$3,"Variable",I$2,"Escenario",I$1,"Branch","Demand Sites and Catchments\"&amp;$D686),0)</f>
        <v>0</v>
      </c>
      <c r="J686" s="99"/>
      <c r="K686" s="99">
        <f>IFERROR(GETPIVOTDATA("Value",TD_WEAP_RAW!$A$3,"Variable",K$2,"Escenario",K$1,"Branch","Demand Sites and Catchments\"&amp;$D686),0)</f>
        <v>0</v>
      </c>
      <c r="L686" s="99">
        <f>IFERROR(GETPIVOTDATA("Value",TD_WEAP_RAW!$A$3,"Variable",L$2,"Escenario",L$1,"Branch","Demand Sites and Catchments\"&amp;$D686),0)</f>
        <v>0</v>
      </c>
    </row>
    <row r="687" spans="4:12">
      <c r="D687" s="53"/>
      <c r="G687" s="51"/>
      <c r="H687" s="99">
        <f>IFERROR(GETPIVOTDATA("Value",TD_WEAP_RAW!$A$3,"Variable",H$2,"Escenario",H$1,"Branch","Demand Sites and Catchments\"&amp;$D687),0)</f>
        <v>0</v>
      </c>
      <c r="I687" s="99">
        <f>IFERROR(GETPIVOTDATA("Value",TD_WEAP_RAW!$A$3,"Variable",I$2,"Escenario",I$1,"Branch","Demand Sites and Catchments\"&amp;$D687),0)</f>
        <v>0</v>
      </c>
      <c r="J687" s="99"/>
      <c r="K687" s="99">
        <f>IFERROR(GETPIVOTDATA("Value",TD_WEAP_RAW!$A$3,"Variable",K$2,"Escenario",K$1,"Branch","Demand Sites and Catchments\"&amp;$D687),0)</f>
        <v>0</v>
      </c>
      <c r="L687" s="99">
        <f>IFERROR(GETPIVOTDATA("Value",TD_WEAP_RAW!$A$3,"Variable",L$2,"Escenario",L$1,"Branch","Demand Sites and Catchments\"&amp;$D687),0)</f>
        <v>0</v>
      </c>
    </row>
    <row r="688" spans="4:12">
      <c r="D688" s="53"/>
      <c r="G688" s="51"/>
      <c r="H688" s="99">
        <f>IFERROR(GETPIVOTDATA("Value",TD_WEAP_RAW!$A$3,"Variable",H$2,"Escenario",H$1,"Branch","Demand Sites and Catchments\"&amp;$D688),0)</f>
        <v>0</v>
      </c>
      <c r="I688" s="99">
        <f>IFERROR(GETPIVOTDATA("Value",TD_WEAP_RAW!$A$3,"Variable",I$2,"Escenario",I$1,"Branch","Demand Sites and Catchments\"&amp;$D688),0)</f>
        <v>0</v>
      </c>
      <c r="J688" s="99"/>
      <c r="K688" s="99">
        <f>IFERROR(GETPIVOTDATA("Value",TD_WEAP_RAW!$A$3,"Variable",K$2,"Escenario",K$1,"Branch","Demand Sites and Catchments\"&amp;$D688),0)</f>
        <v>0</v>
      </c>
      <c r="L688" s="99">
        <f>IFERROR(GETPIVOTDATA("Value",TD_WEAP_RAW!$A$3,"Variable",L$2,"Escenario",L$1,"Branch","Demand Sites and Catchments\"&amp;$D688),0)</f>
        <v>0</v>
      </c>
    </row>
    <row r="689" spans="4:12">
      <c r="D689" s="53"/>
      <c r="G689" s="51"/>
      <c r="H689" s="99">
        <f>IFERROR(GETPIVOTDATA("Value",TD_WEAP_RAW!$A$3,"Variable",H$2,"Escenario",H$1,"Branch","Demand Sites and Catchments\"&amp;$D689),0)</f>
        <v>0</v>
      </c>
      <c r="I689" s="99">
        <f>IFERROR(GETPIVOTDATA("Value",TD_WEAP_RAW!$A$3,"Variable",I$2,"Escenario",I$1,"Branch","Demand Sites and Catchments\"&amp;$D689),0)</f>
        <v>0</v>
      </c>
      <c r="J689" s="99"/>
      <c r="K689" s="99">
        <f>IFERROR(GETPIVOTDATA("Value",TD_WEAP_RAW!$A$3,"Variable",K$2,"Escenario",K$1,"Branch","Demand Sites and Catchments\"&amp;$D689),0)</f>
        <v>0</v>
      </c>
      <c r="L689" s="99">
        <f>IFERROR(GETPIVOTDATA("Value",TD_WEAP_RAW!$A$3,"Variable",L$2,"Escenario",L$1,"Branch","Demand Sites and Catchments\"&amp;$D689),0)</f>
        <v>0</v>
      </c>
    </row>
    <row r="690" spans="4:12">
      <c r="D690" s="53"/>
      <c r="G690" s="51"/>
      <c r="H690" s="99">
        <f>IFERROR(GETPIVOTDATA("Value",TD_WEAP_RAW!$A$3,"Variable",H$2,"Escenario",H$1,"Branch","Demand Sites and Catchments\"&amp;$D690),0)</f>
        <v>0</v>
      </c>
      <c r="I690" s="99">
        <f>IFERROR(GETPIVOTDATA("Value",TD_WEAP_RAW!$A$3,"Variable",I$2,"Escenario",I$1,"Branch","Demand Sites and Catchments\"&amp;$D690),0)</f>
        <v>0</v>
      </c>
      <c r="J690" s="99"/>
      <c r="K690" s="99">
        <f>IFERROR(GETPIVOTDATA("Value",TD_WEAP_RAW!$A$3,"Variable",K$2,"Escenario",K$1,"Branch","Demand Sites and Catchments\"&amp;$D690),0)</f>
        <v>0</v>
      </c>
      <c r="L690" s="99">
        <f>IFERROR(GETPIVOTDATA("Value",TD_WEAP_RAW!$A$3,"Variable",L$2,"Escenario",L$1,"Branch","Demand Sites and Catchments\"&amp;$D690),0)</f>
        <v>0</v>
      </c>
    </row>
    <row r="691" spans="4:12">
      <c r="D691" s="53"/>
      <c r="G691" s="51"/>
      <c r="H691" s="99">
        <f>IFERROR(GETPIVOTDATA("Value",TD_WEAP_RAW!$A$3,"Variable",H$2,"Escenario",H$1,"Branch","Demand Sites and Catchments\"&amp;$D691),0)</f>
        <v>0</v>
      </c>
      <c r="I691" s="99">
        <f>IFERROR(GETPIVOTDATA("Value",TD_WEAP_RAW!$A$3,"Variable",I$2,"Escenario",I$1,"Branch","Demand Sites and Catchments\"&amp;$D691),0)</f>
        <v>0</v>
      </c>
      <c r="J691" s="99"/>
      <c r="K691" s="99">
        <f>IFERROR(GETPIVOTDATA("Value",TD_WEAP_RAW!$A$3,"Variable",K$2,"Escenario",K$1,"Branch","Demand Sites and Catchments\"&amp;$D691),0)</f>
        <v>0</v>
      </c>
      <c r="L691" s="99">
        <f>IFERROR(GETPIVOTDATA("Value",TD_WEAP_RAW!$A$3,"Variable",L$2,"Escenario",L$1,"Branch","Demand Sites and Catchments\"&amp;$D691),0)</f>
        <v>0</v>
      </c>
    </row>
    <row r="692" spans="4:12">
      <c r="D692" s="53"/>
      <c r="G692" s="51"/>
      <c r="H692" s="99">
        <f>IFERROR(GETPIVOTDATA("Value",TD_WEAP_RAW!$A$3,"Variable",H$2,"Escenario",H$1,"Branch","Demand Sites and Catchments\"&amp;$D692),0)</f>
        <v>0</v>
      </c>
      <c r="I692" s="99">
        <f>IFERROR(GETPIVOTDATA("Value",TD_WEAP_RAW!$A$3,"Variable",I$2,"Escenario",I$1,"Branch","Demand Sites and Catchments\"&amp;$D692),0)</f>
        <v>0</v>
      </c>
      <c r="J692" s="99"/>
      <c r="K692" s="99">
        <f>IFERROR(GETPIVOTDATA("Value",TD_WEAP_RAW!$A$3,"Variable",K$2,"Escenario",K$1,"Branch","Demand Sites and Catchments\"&amp;$D692),0)</f>
        <v>0</v>
      </c>
      <c r="L692" s="99">
        <f>IFERROR(GETPIVOTDATA("Value",TD_WEAP_RAW!$A$3,"Variable",L$2,"Escenario",L$1,"Branch","Demand Sites and Catchments\"&amp;$D692),0)</f>
        <v>0</v>
      </c>
    </row>
    <row r="693" spans="4:12">
      <c r="D693" s="53"/>
      <c r="G693" s="51"/>
      <c r="H693" s="99">
        <f>IFERROR(GETPIVOTDATA("Value",TD_WEAP_RAW!$A$3,"Variable",H$2,"Escenario",H$1,"Branch","Demand Sites and Catchments\"&amp;$D693),0)</f>
        <v>0</v>
      </c>
      <c r="I693" s="99">
        <f>IFERROR(GETPIVOTDATA("Value",TD_WEAP_RAW!$A$3,"Variable",I$2,"Escenario",I$1,"Branch","Demand Sites and Catchments\"&amp;$D693),0)</f>
        <v>0</v>
      </c>
      <c r="J693" s="99"/>
      <c r="K693" s="99">
        <f>IFERROR(GETPIVOTDATA("Value",TD_WEAP_RAW!$A$3,"Variable",K$2,"Escenario",K$1,"Branch","Demand Sites and Catchments\"&amp;$D693),0)</f>
        <v>0</v>
      </c>
      <c r="L693" s="99">
        <f>IFERROR(GETPIVOTDATA("Value",TD_WEAP_RAW!$A$3,"Variable",L$2,"Escenario",L$1,"Branch","Demand Sites and Catchments\"&amp;$D693),0)</f>
        <v>0</v>
      </c>
    </row>
    <row r="694" spans="4:12">
      <c r="D694" s="53"/>
      <c r="G694" s="51"/>
      <c r="H694" s="99">
        <f>IFERROR(GETPIVOTDATA("Value",TD_WEAP_RAW!$A$3,"Variable",H$2,"Escenario",H$1,"Branch","Demand Sites and Catchments\"&amp;$D694),0)</f>
        <v>0</v>
      </c>
      <c r="I694" s="99">
        <f>IFERROR(GETPIVOTDATA("Value",TD_WEAP_RAW!$A$3,"Variable",I$2,"Escenario",I$1,"Branch","Demand Sites and Catchments\"&amp;$D694),0)</f>
        <v>0</v>
      </c>
      <c r="J694" s="99"/>
      <c r="K694" s="99">
        <f>IFERROR(GETPIVOTDATA("Value",TD_WEAP_RAW!$A$3,"Variable",K$2,"Escenario",K$1,"Branch","Demand Sites and Catchments\"&amp;$D694),0)</f>
        <v>0</v>
      </c>
      <c r="L694" s="99">
        <f>IFERROR(GETPIVOTDATA("Value",TD_WEAP_RAW!$A$3,"Variable",L$2,"Escenario",L$1,"Branch","Demand Sites and Catchments\"&amp;$D694),0)</f>
        <v>0</v>
      </c>
    </row>
    <row r="695" spans="4:12">
      <c r="D695" s="53"/>
      <c r="G695" s="51"/>
      <c r="H695" s="99">
        <f>IFERROR(GETPIVOTDATA("Value",TD_WEAP_RAW!$A$3,"Variable",H$2,"Escenario",H$1,"Branch","Demand Sites and Catchments\"&amp;$D695),0)</f>
        <v>0</v>
      </c>
      <c r="I695" s="99">
        <f>IFERROR(GETPIVOTDATA("Value",TD_WEAP_RAW!$A$3,"Variable",I$2,"Escenario",I$1,"Branch","Demand Sites and Catchments\"&amp;$D695),0)</f>
        <v>0</v>
      </c>
      <c r="J695" s="99"/>
      <c r="K695" s="99">
        <f>IFERROR(GETPIVOTDATA("Value",TD_WEAP_RAW!$A$3,"Variable",K$2,"Escenario",K$1,"Branch","Demand Sites and Catchments\"&amp;$D695),0)</f>
        <v>0</v>
      </c>
      <c r="L695" s="99">
        <f>IFERROR(GETPIVOTDATA("Value",TD_WEAP_RAW!$A$3,"Variable",L$2,"Escenario",L$1,"Branch","Demand Sites and Catchments\"&amp;$D695),0)</f>
        <v>0</v>
      </c>
    </row>
    <row r="696" spans="4:12">
      <c r="D696" s="53"/>
      <c r="G696" s="51"/>
      <c r="H696" s="99">
        <f>IFERROR(GETPIVOTDATA("Value",TD_WEAP_RAW!$A$3,"Variable",H$2,"Escenario",H$1,"Branch","Demand Sites and Catchments\"&amp;$D696),0)</f>
        <v>0</v>
      </c>
      <c r="I696" s="99">
        <f>IFERROR(GETPIVOTDATA("Value",TD_WEAP_RAW!$A$3,"Variable",I$2,"Escenario",I$1,"Branch","Demand Sites and Catchments\"&amp;$D696),0)</f>
        <v>0</v>
      </c>
      <c r="J696" s="99"/>
      <c r="K696" s="99">
        <f>IFERROR(GETPIVOTDATA("Value",TD_WEAP_RAW!$A$3,"Variable",K$2,"Escenario",K$1,"Branch","Demand Sites and Catchments\"&amp;$D696),0)</f>
        <v>0</v>
      </c>
      <c r="L696" s="99">
        <f>IFERROR(GETPIVOTDATA("Value",TD_WEAP_RAW!$A$3,"Variable",L$2,"Escenario",L$1,"Branch","Demand Sites and Catchments\"&amp;$D696),0)</f>
        <v>0</v>
      </c>
    </row>
    <row r="697" spans="4:12">
      <c r="D697" s="53"/>
      <c r="G697" s="51"/>
      <c r="H697" s="99">
        <f>IFERROR(GETPIVOTDATA("Value",TD_WEAP_RAW!$A$3,"Variable",H$2,"Escenario",H$1,"Branch","Demand Sites and Catchments\"&amp;$D697),0)</f>
        <v>0</v>
      </c>
      <c r="I697" s="99">
        <f>IFERROR(GETPIVOTDATA("Value",TD_WEAP_RAW!$A$3,"Variable",I$2,"Escenario",I$1,"Branch","Demand Sites and Catchments\"&amp;$D697),0)</f>
        <v>0</v>
      </c>
      <c r="J697" s="99"/>
      <c r="K697" s="99">
        <f>IFERROR(GETPIVOTDATA("Value",TD_WEAP_RAW!$A$3,"Variable",K$2,"Escenario",K$1,"Branch","Demand Sites and Catchments\"&amp;$D697),0)</f>
        <v>0</v>
      </c>
      <c r="L697" s="99">
        <f>IFERROR(GETPIVOTDATA("Value",TD_WEAP_RAW!$A$3,"Variable",L$2,"Escenario",L$1,"Branch","Demand Sites and Catchments\"&amp;$D697),0)</f>
        <v>0</v>
      </c>
    </row>
    <row r="698" spans="4:12">
      <c r="D698" s="53"/>
      <c r="G698" s="51"/>
      <c r="H698" s="99">
        <f>IFERROR(GETPIVOTDATA("Value",TD_WEAP_RAW!$A$3,"Variable",H$2,"Escenario",H$1,"Branch","Demand Sites and Catchments\"&amp;$D698),0)</f>
        <v>0</v>
      </c>
      <c r="I698" s="99">
        <f>IFERROR(GETPIVOTDATA("Value",TD_WEAP_RAW!$A$3,"Variable",I$2,"Escenario",I$1,"Branch","Demand Sites and Catchments\"&amp;$D698),0)</f>
        <v>0</v>
      </c>
      <c r="J698" s="99"/>
      <c r="K698" s="99">
        <f>IFERROR(GETPIVOTDATA("Value",TD_WEAP_RAW!$A$3,"Variable",K$2,"Escenario",K$1,"Branch","Demand Sites and Catchments\"&amp;$D698),0)</f>
        <v>0</v>
      </c>
      <c r="L698" s="99">
        <f>IFERROR(GETPIVOTDATA("Value",TD_WEAP_RAW!$A$3,"Variable",L$2,"Escenario",L$1,"Branch","Demand Sites and Catchments\"&amp;$D698),0)</f>
        <v>0</v>
      </c>
    </row>
    <row r="699" spans="4:12">
      <c r="D699" s="53"/>
      <c r="G699" s="51"/>
      <c r="H699" s="99">
        <f>IFERROR(GETPIVOTDATA("Value",TD_WEAP_RAW!$A$3,"Variable",H$2,"Escenario",H$1,"Branch","Demand Sites and Catchments\"&amp;$D699),0)</f>
        <v>0</v>
      </c>
      <c r="I699" s="99">
        <f>IFERROR(GETPIVOTDATA("Value",TD_WEAP_RAW!$A$3,"Variable",I$2,"Escenario",I$1,"Branch","Demand Sites and Catchments\"&amp;$D699),0)</f>
        <v>0</v>
      </c>
      <c r="J699" s="99"/>
      <c r="K699" s="99">
        <f>IFERROR(GETPIVOTDATA("Value",TD_WEAP_RAW!$A$3,"Variable",K$2,"Escenario",K$1,"Branch","Demand Sites and Catchments\"&amp;$D699),0)</f>
        <v>0</v>
      </c>
      <c r="L699" s="99">
        <f>IFERROR(GETPIVOTDATA("Value",TD_WEAP_RAW!$A$3,"Variable",L$2,"Escenario",L$1,"Branch","Demand Sites and Catchments\"&amp;$D699),0)</f>
        <v>0</v>
      </c>
    </row>
    <row r="700" spans="4:12">
      <c r="D700" s="53"/>
      <c r="G700" s="51"/>
      <c r="H700" s="99">
        <f>IFERROR(GETPIVOTDATA("Value",TD_WEAP_RAW!$A$3,"Variable",H$2,"Escenario",H$1,"Branch","Demand Sites and Catchments\"&amp;$D700),0)</f>
        <v>0</v>
      </c>
      <c r="I700" s="99">
        <f>IFERROR(GETPIVOTDATA("Value",TD_WEAP_RAW!$A$3,"Variable",I$2,"Escenario",I$1,"Branch","Demand Sites and Catchments\"&amp;$D700),0)</f>
        <v>0</v>
      </c>
      <c r="J700" s="99"/>
      <c r="K700" s="99">
        <f>IFERROR(GETPIVOTDATA("Value",TD_WEAP_RAW!$A$3,"Variable",K$2,"Escenario",K$1,"Branch","Demand Sites and Catchments\"&amp;$D700),0)</f>
        <v>0</v>
      </c>
      <c r="L700" s="99">
        <f>IFERROR(GETPIVOTDATA("Value",TD_WEAP_RAW!$A$3,"Variable",L$2,"Escenario",L$1,"Branch","Demand Sites and Catchments\"&amp;$D700),0)</f>
        <v>0</v>
      </c>
    </row>
    <row r="701" spans="4:12">
      <c r="D701" s="53"/>
      <c r="G701" s="51"/>
      <c r="H701" s="99">
        <f>IFERROR(GETPIVOTDATA("Value",TD_WEAP_RAW!$A$3,"Variable",H$2,"Escenario",H$1,"Branch","Demand Sites and Catchments\"&amp;$D701),0)</f>
        <v>0</v>
      </c>
      <c r="I701" s="99">
        <f>IFERROR(GETPIVOTDATA("Value",TD_WEAP_RAW!$A$3,"Variable",I$2,"Escenario",I$1,"Branch","Demand Sites and Catchments\"&amp;$D701),0)</f>
        <v>0</v>
      </c>
      <c r="J701" s="99"/>
      <c r="K701" s="99">
        <f>IFERROR(GETPIVOTDATA("Value",TD_WEAP_RAW!$A$3,"Variable",K$2,"Escenario",K$1,"Branch","Demand Sites and Catchments\"&amp;$D701),0)</f>
        <v>0</v>
      </c>
      <c r="L701" s="99">
        <f>IFERROR(GETPIVOTDATA("Value",TD_WEAP_RAW!$A$3,"Variable",L$2,"Escenario",L$1,"Branch","Demand Sites and Catchments\"&amp;$D701),0)</f>
        <v>0</v>
      </c>
    </row>
    <row r="702" spans="4:12">
      <c r="D702" s="53"/>
      <c r="G702" s="51"/>
      <c r="H702" s="99">
        <f>IFERROR(GETPIVOTDATA("Value",TD_WEAP_RAW!$A$3,"Variable",H$2,"Escenario",H$1,"Branch","Demand Sites and Catchments\"&amp;$D702),0)</f>
        <v>0</v>
      </c>
      <c r="I702" s="99">
        <f>IFERROR(GETPIVOTDATA("Value",TD_WEAP_RAW!$A$3,"Variable",I$2,"Escenario",I$1,"Branch","Demand Sites and Catchments\"&amp;$D702),0)</f>
        <v>0</v>
      </c>
      <c r="J702" s="99"/>
      <c r="K702" s="99">
        <f>IFERROR(GETPIVOTDATA("Value",TD_WEAP_RAW!$A$3,"Variable",K$2,"Escenario",K$1,"Branch","Demand Sites and Catchments\"&amp;$D702),0)</f>
        <v>0</v>
      </c>
      <c r="L702" s="99">
        <f>IFERROR(GETPIVOTDATA("Value",TD_WEAP_RAW!$A$3,"Variable",L$2,"Escenario",L$1,"Branch","Demand Sites and Catchments\"&amp;$D702),0)</f>
        <v>0</v>
      </c>
    </row>
    <row r="703" spans="4:12">
      <c r="D703" s="53"/>
      <c r="G703" s="51"/>
      <c r="H703" s="99">
        <f>IFERROR(GETPIVOTDATA("Value",TD_WEAP_RAW!$A$3,"Variable",H$2,"Escenario",H$1,"Branch","Demand Sites and Catchments\"&amp;$D703),0)</f>
        <v>0</v>
      </c>
      <c r="I703" s="99">
        <f>IFERROR(GETPIVOTDATA("Value",TD_WEAP_RAW!$A$3,"Variable",I$2,"Escenario",I$1,"Branch","Demand Sites and Catchments\"&amp;$D703),0)</f>
        <v>0</v>
      </c>
      <c r="J703" s="99"/>
      <c r="K703" s="99">
        <f>IFERROR(GETPIVOTDATA("Value",TD_WEAP_RAW!$A$3,"Variable",K$2,"Escenario",K$1,"Branch","Demand Sites and Catchments\"&amp;$D703),0)</f>
        <v>0</v>
      </c>
      <c r="L703" s="99">
        <f>IFERROR(GETPIVOTDATA("Value",TD_WEAP_RAW!$A$3,"Variable",L$2,"Escenario",L$1,"Branch","Demand Sites and Catchments\"&amp;$D703),0)</f>
        <v>0</v>
      </c>
    </row>
    <row r="704" spans="4:12">
      <c r="D704" s="53"/>
      <c r="G704" s="51"/>
      <c r="H704" s="99">
        <f>IFERROR(GETPIVOTDATA("Value",TD_WEAP_RAW!$A$3,"Variable",H$2,"Escenario",H$1,"Branch","Demand Sites and Catchments\"&amp;$D704),0)</f>
        <v>0</v>
      </c>
      <c r="I704" s="99">
        <f>IFERROR(GETPIVOTDATA("Value",TD_WEAP_RAW!$A$3,"Variable",I$2,"Escenario",I$1,"Branch","Demand Sites and Catchments\"&amp;$D704),0)</f>
        <v>0</v>
      </c>
      <c r="J704" s="99"/>
      <c r="K704" s="99">
        <f>IFERROR(GETPIVOTDATA("Value",TD_WEAP_RAW!$A$3,"Variable",K$2,"Escenario",K$1,"Branch","Demand Sites and Catchments\"&amp;$D704),0)</f>
        <v>0</v>
      </c>
      <c r="L704" s="99">
        <f>IFERROR(GETPIVOTDATA("Value",TD_WEAP_RAW!$A$3,"Variable",L$2,"Escenario",L$1,"Branch","Demand Sites and Catchments\"&amp;$D704),0)</f>
        <v>0</v>
      </c>
    </row>
    <row r="705" spans="4:12">
      <c r="D705" s="53"/>
      <c r="G705" s="51"/>
      <c r="H705" s="99">
        <f>IFERROR(GETPIVOTDATA("Value",TD_WEAP_RAW!$A$3,"Variable",H$2,"Escenario",H$1,"Branch","Demand Sites and Catchments\"&amp;$D705),0)</f>
        <v>0</v>
      </c>
      <c r="I705" s="99">
        <f>IFERROR(GETPIVOTDATA("Value",TD_WEAP_RAW!$A$3,"Variable",I$2,"Escenario",I$1,"Branch","Demand Sites and Catchments\"&amp;$D705),0)</f>
        <v>0</v>
      </c>
      <c r="J705" s="99"/>
      <c r="K705" s="99">
        <f>IFERROR(GETPIVOTDATA("Value",TD_WEAP_RAW!$A$3,"Variable",K$2,"Escenario",K$1,"Branch","Demand Sites and Catchments\"&amp;$D705),0)</f>
        <v>0</v>
      </c>
      <c r="L705" s="99">
        <f>IFERROR(GETPIVOTDATA("Value",TD_WEAP_RAW!$A$3,"Variable",L$2,"Escenario",L$1,"Branch","Demand Sites and Catchments\"&amp;$D705),0)</f>
        <v>0</v>
      </c>
    </row>
    <row r="706" spans="4:12">
      <c r="D706" s="53"/>
      <c r="G706" s="51"/>
      <c r="H706" s="99">
        <f>IFERROR(GETPIVOTDATA("Value",TD_WEAP_RAW!$A$3,"Variable",H$2,"Escenario",H$1,"Branch","Demand Sites and Catchments\"&amp;$D706),0)</f>
        <v>0</v>
      </c>
      <c r="I706" s="99">
        <f>IFERROR(GETPIVOTDATA("Value",TD_WEAP_RAW!$A$3,"Variable",I$2,"Escenario",I$1,"Branch","Demand Sites and Catchments\"&amp;$D706),0)</f>
        <v>0</v>
      </c>
      <c r="J706" s="99"/>
      <c r="K706" s="99">
        <f>IFERROR(GETPIVOTDATA("Value",TD_WEAP_RAW!$A$3,"Variable",K$2,"Escenario",K$1,"Branch","Demand Sites and Catchments\"&amp;$D706),0)</f>
        <v>0</v>
      </c>
      <c r="L706" s="99">
        <f>IFERROR(GETPIVOTDATA("Value",TD_WEAP_RAW!$A$3,"Variable",L$2,"Escenario",L$1,"Branch","Demand Sites and Catchments\"&amp;$D706),0)</f>
        <v>0</v>
      </c>
    </row>
    <row r="707" spans="4:12">
      <c r="D707" s="53"/>
      <c r="G707" s="51"/>
      <c r="H707" s="99">
        <f>IFERROR(GETPIVOTDATA("Value",TD_WEAP_RAW!$A$3,"Variable",H$2,"Escenario",H$1,"Branch","Demand Sites and Catchments\"&amp;$D707),0)</f>
        <v>0</v>
      </c>
      <c r="I707" s="99">
        <f>IFERROR(GETPIVOTDATA("Value",TD_WEAP_RAW!$A$3,"Variable",I$2,"Escenario",I$1,"Branch","Demand Sites and Catchments\"&amp;$D707),0)</f>
        <v>0</v>
      </c>
      <c r="J707" s="99"/>
      <c r="K707" s="99">
        <f>IFERROR(GETPIVOTDATA("Value",TD_WEAP_RAW!$A$3,"Variable",K$2,"Escenario",K$1,"Branch","Demand Sites and Catchments\"&amp;$D707),0)</f>
        <v>0</v>
      </c>
      <c r="L707" s="99">
        <f>IFERROR(GETPIVOTDATA("Value",TD_WEAP_RAW!$A$3,"Variable",L$2,"Escenario",L$1,"Branch","Demand Sites and Catchments\"&amp;$D707),0)</f>
        <v>0</v>
      </c>
    </row>
    <row r="708" spans="4:12">
      <c r="D708" s="53"/>
      <c r="G708" s="51"/>
      <c r="H708" s="99">
        <f>IFERROR(GETPIVOTDATA("Value",TD_WEAP_RAW!$A$3,"Variable",H$2,"Escenario",H$1,"Branch","Demand Sites and Catchments\"&amp;$D708),0)</f>
        <v>0</v>
      </c>
      <c r="I708" s="99">
        <f>IFERROR(GETPIVOTDATA("Value",TD_WEAP_RAW!$A$3,"Variable",I$2,"Escenario",I$1,"Branch","Demand Sites and Catchments\"&amp;$D708),0)</f>
        <v>0</v>
      </c>
      <c r="J708" s="99"/>
      <c r="K708" s="99">
        <f>IFERROR(GETPIVOTDATA("Value",TD_WEAP_RAW!$A$3,"Variable",K$2,"Escenario",K$1,"Branch","Demand Sites and Catchments\"&amp;$D708),0)</f>
        <v>0</v>
      </c>
      <c r="L708" s="99">
        <f>IFERROR(GETPIVOTDATA("Value",TD_WEAP_RAW!$A$3,"Variable",L$2,"Escenario",L$1,"Branch","Demand Sites and Catchments\"&amp;$D708),0)</f>
        <v>0</v>
      </c>
    </row>
    <row r="709" spans="4:12">
      <c r="D709" s="53"/>
      <c r="G709" s="51"/>
      <c r="H709" s="99">
        <f>IFERROR(GETPIVOTDATA("Value",TD_WEAP_RAW!$A$3,"Variable",H$2,"Escenario",H$1,"Branch","Demand Sites and Catchments\"&amp;$D709),0)</f>
        <v>0</v>
      </c>
      <c r="I709" s="99">
        <f>IFERROR(GETPIVOTDATA("Value",TD_WEAP_RAW!$A$3,"Variable",I$2,"Escenario",I$1,"Branch","Demand Sites and Catchments\"&amp;$D709),0)</f>
        <v>0</v>
      </c>
      <c r="J709" s="99"/>
      <c r="K709" s="99">
        <f>IFERROR(GETPIVOTDATA("Value",TD_WEAP_RAW!$A$3,"Variable",K$2,"Escenario",K$1,"Branch","Demand Sites and Catchments\"&amp;$D709),0)</f>
        <v>0</v>
      </c>
      <c r="L709" s="99">
        <f>IFERROR(GETPIVOTDATA("Value",TD_WEAP_RAW!$A$3,"Variable",L$2,"Escenario",L$1,"Branch","Demand Sites and Catchments\"&amp;$D709),0)</f>
        <v>0</v>
      </c>
    </row>
    <row r="710" spans="4:12">
      <c r="D710" s="53"/>
      <c r="G710" s="51"/>
      <c r="H710" s="99">
        <f>IFERROR(GETPIVOTDATA("Value",TD_WEAP_RAW!$A$3,"Variable",H$2,"Escenario",H$1,"Branch","Demand Sites and Catchments\"&amp;$D710),0)</f>
        <v>0</v>
      </c>
      <c r="I710" s="99">
        <f>IFERROR(GETPIVOTDATA("Value",TD_WEAP_RAW!$A$3,"Variable",I$2,"Escenario",I$1,"Branch","Demand Sites and Catchments\"&amp;$D710),0)</f>
        <v>0</v>
      </c>
      <c r="J710" s="99"/>
      <c r="K710" s="99">
        <f>IFERROR(GETPIVOTDATA("Value",TD_WEAP_RAW!$A$3,"Variable",K$2,"Escenario",K$1,"Branch","Demand Sites and Catchments\"&amp;$D710),0)</f>
        <v>0</v>
      </c>
      <c r="L710" s="99">
        <f>IFERROR(GETPIVOTDATA("Value",TD_WEAP_RAW!$A$3,"Variable",L$2,"Escenario",L$1,"Branch","Demand Sites and Catchments\"&amp;$D710),0)</f>
        <v>0</v>
      </c>
    </row>
    <row r="711" spans="4:12">
      <c r="D711" s="53"/>
      <c r="G711" s="51"/>
      <c r="H711" s="99">
        <f>IFERROR(GETPIVOTDATA("Value",TD_WEAP_RAW!$A$3,"Variable",H$2,"Escenario",H$1,"Branch","Demand Sites and Catchments\"&amp;$D711),0)</f>
        <v>0</v>
      </c>
      <c r="I711" s="99">
        <f>IFERROR(GETPIVOTDATA("Value",TD_WEAP_RAW!$A$3,"Variable",I$2,"Escenario",I$1,"Branch","Demand Sites and Catchments\"&amp;$D711),0)</f>
        <v>0</v>
      </c>
      <c r="J711" s="99"/>
      <c r="K711" s="99">
        <f>IFERROR(GETPIVOTDATA("Value",TD_WEAP_RAW!$A$3,"Variable",K$2,"Escenario",K$1,"Branch","Demand Sites and Catchments\"&amp;$D711),0)</f>
        <v>0</v>
      </c>
      <c r="L711" s="99">
        <f>IFERROR(GETPIVOTDATA("Value",TD_WEAP_RAW!$A$3,"Variable",L$2,"Escenario",L$1,"Branch","Demand Sites and Catchments\"&amp;$D711),0)</f>
        <v>0</v>
      </c>
    </row>
    <row r="712" spans="4:12">
      <c r="D712" s="53"/>
      <c r="G712" s="51"/>
      <c r="H712" s="99">
        <f>IFERROR(GETPIVOTDATA("Value",TD_WEAP_RAW!$A$3,"Variable",H$2,"Escenario",H$1,"Branch","Demand Sites and Catchments\"&amp;$D712),0)</f>
        <v>0</v>
      </c>
      <c r="I712" s="99">
        <f>IFERROR(GETPIVOTDATA("Value",TD_WEAP_RAW!$A$3,"Variable",I$2,"Escenario",I$1,"Branch","Demand Sites and Catchments\"&amp;$D712),0)</f>
        <v>0</v>
      </c>
      <c r="J712" s="99"/>
      <c r="K712" s="99">
        <f>IFERROR(GETPIVOTDATA("Value",TD_WEAP_RAW!$A$3,"Variable",K$2,"Escenario",K$1,"Branch","Demand Sites and Catchments\"&amp;$D712),0)</f>
        <v>0</v>
      </c>
      <c r="L712" s="99">
        <f>IFERROR(GETPIVOTDATA("Value",TD_WEAP_RAW!$A$3,"Variable",L$2,"Escenario",L$1,"Branch","Demand Sites and Catchments\"&amp;$D712),0)</f>
        <v>0</v>
      </c>
    </row>
    <row r="713" spans="4:12">
      <c r="D713" s="53"/>
      <c r="G713" s="51"/>
      <c r="H713" s="99">
        <f>IFERROR(GETPIVOTDATA("Value",TD_WEAP_RAW!$A$3,"Variable",H$2,"Escenario",H$1,"Branch","Demand Sites and Catchments\"&amp;$D713),0)</f>
        <v>0</v>
      </c>
      <c r="I713" s="99">
        <f>IFERROR(GETPIVOTDATA("Value",TD_WEAP_RAW!$A$3,"Variable",I$2,"Escenario",I$1,"Branch","Demand Sites and Catchments\"&amp;$D713),0)</f>
        <v>0</v>
      </c>
      <c r="J713" s="99"/>
      <c r="K713" s="99">
        <f>IFERROR(GETPIVOTDATA("Value",TD_WEAP_RAW!$A$3,"Variable",K$2,"Escenario",K$1,"Branch","Demand Sites and Catchments\"&amp;$D713),0)</f>
        <v>0</v>
      </c>
      <c r="L713" s="99">
        <f>IFERROR(GETPIVOTDATA("Value",TD_WEAP_RAW!$A$3,"Variable",L$2,"Escenario",L$1,"Branch","Demand Sites and Catchments\"&amp;$D713),0)</f>
        <v>0</v>
      </c>
    </row>
    <row r="714" spans="4:12">
      <c r="D714" s="53"/>
      <c r="G714" s="51"/>
      <c r="H714" s="99">
        <f>IFERROR(GETPIVOTDATA("Value",TD_WEAP_RAW!$A$3,"Variable",H$2,"Escenario",H$1,"Branch","Demand Sites and Catchments\"&amp;$D714),0)</f>
        <v>0</v>
      </c>
      <c r="I714" s="99">
        <f>IFERROR(GETPIVOTDATA("Value",TD_WEAP_RAW!$A$3,"Variable",I$2,"Escenario",I$1,"Branch","Demand Sites and Catchments\"&amp;$D714),0)</f>
        <v>0</v>
      </c>
      <c r="J714" s="99"/>
      <c r="K714" s="99">
        <f>IFERROR(GETPIVOTDATA("Value",TD_WEAP_RAW!$A$3,"Variable",K$2,"Escenario",K$1,"Branch","Demand Sites and Catchments\"&amp;$D714),0)</f>
        <v>0</v>
      </c>
      <c r="L714" s="99">
        <f>IFERROR(GETPIVOTDATA("Value",TD_WEAP_RAW!$A$3,"Variable",L$2,"Escenario",L$1,"Branch","Demand Sites and Catchments\"&amp;$D714),0)</f>
        <v>0</v>
      </c>
    </row>
    <row r="715" spans="4:12">
      <c r="D715" s="53"/>
      <c r="G715" s="51"/>
      <c r="H715" s="99">
        <f>IFERROR(GETPIVOTDATA("Value",TD_WEAP_RAW!$A$3,"Variable",H$2,"Escenario",H$1,"Branch","Demand Sites and Catchments\"&amp;$D715),0)</f>
        <v>0</v>
      </c>
      <c r="I715" s="99">
        <f>IFERROR(GETPIVOTDATA("Value",TD_WEAP_RAW!$A$3,"Variable",I$2,"Escenario",I$1,"Branch","Demand Sites and Catchments\"&amp;$D715),0)</f>
        <v>0</v>
      </c>
      <c r="J715" s="99"/>
      <c r="K715" s="99">
        <f>IFERROR(GETPIVOTDATA("Value",TD_WEAP_RAW!$A$3,"Variable",K$2,"Escenario",K$1,"Branch","Demand Sites and Catchments\"&amp;$D715),0)</f>
        <v>0</v>
      </c>
      <c r="L715" s="99">
        <f>IFERROR(GETPIVOTDATA("Value",TD_WEAP_RAW!$A$3,"Variable",L$2,"Escenario",L$1,"Branch","Demand Sites and Catchments\"&amp;$D715),0)</f>
        <v>0</v>
      </c>
    </row>
    <row r="716" spans="4:12">
      <c r="D716" s="53"/>
      <c r="G716" s="51"/>
      <c r="H716" s="99">
        <f>IFERROR(GETPIVOTDATA("Value",TD_WEAP_RAW!$A$3,"Variable",H$2,"Escenario",H$1,"Branch","Demand Sites and Catchments\"&amp;$D716),0)</f>
        <v>0</v>
      </c>
      <c r="I716" s="99">
        <f>IFERROR(GETPIVOTDATA("Value",TD_WEAP_RAW!$A$3,"Variable",I$2,"Escenario",I$1,"Branch","Demand Sites and Catchments\"&amp;$D716),0)</f>
        <v>0</v>
      </c>
      <c r="J716" s="99"/>
      <c r="K716" s="99">
        <f>IFERROR(GETPIVOTDATA("Value",TD_WEAP_RAW!$A$3,"Variable",K$2,"Escenario",K$1,"Branch","Demand Sites and Catchments\"&amp;$D716),0)</f>
        <v>0</v>
      </c>
      <c r="L716" s="99">
        <f>IFERROR(GETPIVOTDATA("Value",TD_WEAP_RAW!$A$3,"Variable",L$2,"Escenario",L$1,"Branch","Demand Sites and Catchments\"&amp;$D716),0)</f>
        <v>0</v>
      </c>
    </row>
    <row r="717" spans="4:12">
      <c r="D717" s="53"/>
      <c r="G717" s="51"/>
      <c r="H717" s="99">
        <f>IFERROR(GETPIVOTDATA("Value",TD_WEAP_RAW!$A$3,"Variable",H$2,"Escenario",H$1,"Branch","Demand Sites and Catchments\"&amp;$D717),0)</f>
        <v>0</v>
      </c>
      <c r="I717" s="99">
        <f>IFERROR(GETPIVOTDATA("Value",TD_WEAP_RAW!$A$3,"Variable",I$2,"Escenario",I$1,"Branch","Demand Sites and Catchments\"&amp;$D717),0)</f>
        <v>0</v>
      </c>
      <c r="J717" s="99"/>
      <c r="K717" s="99">
        <f>IFERROR(GETPIVOTDATA("Value",TD_WEAP_RAW!$A$3,"Variable",K$2,"Escenario",K$1,"Branch","Demand Sites and Catchments\"&amp;$D717),0)</f>
        <v>0</v>
      </c>
      <c r="L717" s="99">
        <f>IFERROR(GETPIVOTDATA("Value",TD_WEAP_RAW!$A$3,"Variable",L$2,"Escenario",L$1,"Branch","Demand Sites and Catchments\"&amp;$D717),0)</f>
        <v>0</v>
      </c>
    </row>
    <row r="718" spans="4:12">
      <c r="D718" s="53"/>
      <c r="G718" s="51"/>
      <c r="H718" s="99">
        <f>IFERROR(GETPIVOTDATA("Value",TD_WEAP_RAW!$A$3,"Variable",H$2,"Escenario",H$1,"Branch","Demand Sites and Catchments\"&amp;$D718),0)</f>
        <v>0</v>
      </c>
      <c r="I718" s="99">
        <f>IFERROR(GETPIVOTDATA("Value",TD_WEAP_RAW!$A$3,"Variable",I$2,"Escenario",I$1,"Branch","Demand Sites and Catchments\"&amp;$D718),0)</f>
        <v>0</v>
      </c>
      <c r="J718" s="99"/>
      <c r="K718" s="99">
        <f>IFERROR(GETPIVOTDATA("Value",TD_WEAP_RAW!$A$3,"Variable",K$2,"Escenario",K$1,"Branch","Demand Sites and Catchments\"&amp;$D718),0)</f>
        <v>0</v>
      </c>
      <c r="L718" s="99">
        <f>IFERROR(GETPIVOTDATA("Value",TD_WEAP_RAW!$A$3,"Variable",L$2,"Escenario",L$1,"Branch","Demand Sites and Catchments\"&amp;$D718),0)</f>
        <v>0</v>
      </c>
    </row>
    <row r="719" spans="4:12">
      <c r="D719" s="53"/>
      <c r="G719" s="51"/>
      <c r="H719" s="99">
        <f>IFERROR(GETPIVOTDATA("Value",TD_WEAP_RAW!$A$3,"Variable",H$2,"Escenario",H$1,"Branch","Demand Sites and Catchments\"&amp;$D719),0)</f>
        <v>0</v>
      </c>
      <c r="I719" s="99">
        <f>IFERROR(GETPIVOTDATA("Value",TD_WEAP_RAW!$A$3,"Variable",I$2,"Escenario",I$1,"Branch","Demand Sites and Catchments\"&amp;$D719),0)</f>
        <v>0</v>
      </c>
      <c r="J719" s="99"/>
      <c r="K719" s="99">
        <f>IFERROR(GETPIVOTDATA("Value",TD_WEAP_RAW!$A$3,"Variable",K$2,"Escenario",K$1,"Branch","Demand Sites and Catchments\"&amp;$D719),0)</f>
        <v>0</v>
      </c>
      <c r="L719" s="99">
        <f>IFERROR(GETPIVOTDATA("Value",TD_WEAP_RAW!$A$3,"Variable",L$2,"Escenario",L$1,"Branch","Demand Sites and Catchments\"&amp;$D719),0)</f>
        <v>0</v>
      </c>
    </row>
    <row r="720" spans="4:12">
      <c r="D720" s="53"/>
      <c r="G720" s="51"/>
      <c r="H720" s="99">
        <f>IFERROR(GETPIVOTDATA("Value",TD_WEAP_RAW!$A$3,"Variable",H$2,"Escenario",H$1,"Branch","Demand Sites and Catchments\"&amp;$D720),0)</f>
        <v>0</v>
      </c>
      <c r="I720" s="99">
        <f>IFERROR(GETPIVOTDATA("Value",TD_WEAP_RAW!$A$3,"Variable",I$2,"Escenario",I$1,"Branch","Demand Sites and Catchments\"&amp;$D720),0)</f>
        <v>0</v>
      </c>
      <c r="J720" s="99"/>
      <c r="K720" s="99">
        <f>IFERROR(GETPIVOTDATA("Value",TD_WEAP_RAW!$A$3,"Variable",K$2,"Escenario",K$1,"Branch","Demand Sites and Catchments\"&amp;$D720),0)</f>
        <v>0</v>
      </c>
      <c r="L720" s="99">
        <f>IFERROR(GETPIVOTDATA("Value",TD_WEAP_RAW!$A$3,"Variable",L$2,"Escenario",L$1,"Branch","Demand Sites and Catchments\"&amp;$D720),0)</f>
        <v>0</v>
      </c>
    </row>
    <row r="721" spans="4:12">
      <c r="D721" s="53"/>
      <c r="G721" s="51"/>
      <c r="H721" s="99">
        <f>IFERROR(GETPIVOTDATA("Value",TD_WEAP_RAW!$A$3,"Variable",H$2,"Escenario",H$1,"Branch","Demand Sites and Catchments\"&amp;$D721),0)</f>
        <v>0</v>
      </c>
      <c r="I721" s="99">
        <f>IFERROR(GETPIVOTDATA("Value",TD_WEAP_RAW!$A$3,"Variable",I$2,"Escenario",I$1,"Branch","Demand Sites and Catchments\"&amp;$D721),0)</f>
        <v>0</v>
      </c>
      <c r="J721" s="99"/>
      <c r="K721" s="99">
        <f>IFERROR(GETPIVOTDATA("Value",TD_WEAP_RAW!$A$3,"Variable",K$2,"Escenario",K$1,"Branch","Demand Sites and Catchments\"&amp;$D721),0)</f>
        <v>0</v>
      </c>
      <c r="L721" s="99">
        <f>IFERROR(GETPIVOTDATA("Value",TD_WEAP_RAW!$A$3,"Variable",L$2,"Escenario",L$1,"Branch","Demand Sites and Catchments\"&amp;$D721),0)</f>
        <v>0</v>
      </c>
    </row>
    <row r="722" spans="4:12">
      <c r="D722" s="53"/>
      <c r="G722" s="51"/>
      <c r="H722" s="99">
        <f>IFERROR(GETPIVOTDATA("Value",TD_WEAP_RAW!$A$3,"Variable",H$2,"Escenario",H$1,"Branch","Demand Sites and Catchments\"&amp;$D722),0)</f>
        <v>0</v>
      </c>
      <c r="I722" s="99">
        <f>IFERROR(GETPIVOTDATA("Value",TD_WEAP_RAW!$A$3,"Variable",I$2,"Escenario",I$1,"Branch","Demand Sites and Catchments\"&amp;$D722),0)</f>
        <v>0</v>
      </c>
      <c r="J722" s="99"/>
      <c r="K722" s="99">
        <f>IFERROR(GETPIVOTDATA("Value",TD_WEAP_RAW!$A$3,"Variable",K$2,"Escenario",K$1,"Branch","Demand Sites and Catchments\"&amp;$D722),0)</f>
        <v>0</v>
      </c>
      <c r="L722" s="99">
        <f>IFERROR(GETPIVOTDATA("Value",TD_WEAP_RAW!$A$3,"Variable",L$2,"Escenario",L$1,"Branch","Demand Sites and Catchments\"&amp;$D722),0)</f>
        <v>0</v>
      </c>
    </row>
    <row r="723" spans="4:12">
      <c r="D723" s="53"/>
      <c r="G723" s="51"/>
      <c r="H723" s="99">
        <f>IFERROR(GETPIVOTDATA("Value",TD_WEAP_RAW!$A$3,"Variable",H$2,"Escenario",H$1,"Branch","Demand Sites and Catchments\"&amp;$D723),0)</f>
        <v>0</v>
      </c>
      <c r="I723" s="99">
        <f>IFERROR(GETPIVOTDATA("Value",TD_WEAP_RAW!$A$3,"Variable",I$2,"Escenario",I$1,"Branch","Demand Sites and Catchments\"&amp;$D723),0)</f>
        <v>0</v>
      </c>
      <c r="J723" s="99"/>
      <c r="K723" s="99">
        <f>IFERROR(GETPIVOTDATA("Value",TD_WEAP_RAW!$A$3,"Variable",K$2,"Escenario",K$1,"Branch","Demand Sites and Catchments\"&amp;$D723),0)</f>
        <v>0</v>
      </c>
      <c r="L723" s="99">
        <f>IFERROR(GETPIVOTDATA("Value",TD_WEAP_RAW!$A$3,"Variable",L$2,"Escenario",L$1,"Branch","Demand Sites and Catchments\"&amp;$D723),0)</f>
        <v>0</v>
      </c>
    </row>
    <row r="724" spans="4:12">
      <c r="D724" s="53"/>
      <c r="G724" s="51"/>
      <c r="H724" s="99">
        <f>IFERROR(GETPIVOTDATA("Value",TD_WEAP_RAW!$A$3,"Variable",H$2,"Escenario",H$1,"Branch","Demand Sites and Catchments\"&amp;$D724),0)</f>
        <v>0</v>
      </c>
      <c r="I724" s="99">
        <f>IFERROR(GETPIVOTDATA("Value",TD_WEAP_RAW!$A$3,"Variable",I$2,"Escenario",I$1,"Branch","Demand Sites and Catchments\"&amp;$D724),0)</f>
        <v>0</v>
      </c>
      <c r="J724" s="99"/>
      <c r="K724" s="99">
        <f>IFERROR(GETPIVOTDATA("Value",TD_WEAP_RAW!$A$3,"Variable",K$2,"Escenario",K$1,"Branch","Demand Sites and Catchments\"&amp;$D724),0)</f>
        <v>0</v>
      </c>
      <c r="L724" s="99">
        <f>IFERROR(GETPIVOTDATA("Value",TD_WEAP_RAW!$A$3,"Variable",L$2,"Escenario",L$1,"Branch","Demand Sites and Catchments\"&amp;$D724),0)</f>
        <v>0</v>
      </c>
    </row>
    <row r="725" spans="4:12">
      <c r="D725" s="53"/>
      <c r="G725" s="51"/>
      <c r="H725" s="99">
        <f>IFERROR(GETPIVOTDATA("Value",TD_WEAP_RAW!$A$3,"Variable",H$2,"Escenario",H$1,"Branch","Demand Sites and Catchments\"&amp;$D725),0)</f>
        <v>0</v>
      </c>
      <c r="I725" s="99">
        <f>IFERROR(GETPIVOTDATA("Value",TD_WEAP_RAW!$A$3,"Variable",I$2,"Escenario",I$1,"Branch","Demand Sites and Catchments\"&amp;$D725),0)</f>
        <v>0</v>
      </c>
      <c r="J725" s="99"/>
      <c r="K725" s="99">
        <f>IFERROR(GETPIVOTDATA("Value",TD_WEAP_RAW!$A$3,"Variable",K$2,"Escenario",K$1,"Branch","Demand Sites and Catchments\"&amp;$D725),0)</f>
        <v>0</v>
      </c>
      <c r="L725" s="99">
        <f>IFERROR(GETPIVOTDATA("Value",TD_WEAP_RAW!$A$3,"Variable",L$2,"Escenario",L$1,"Branch","Demand Sites and Catchments\"&amp;$D725),0)</f>
        <v>0</v>
      </c>
    </row>
    <row r="726" spans="4:12">
      <c r="D726" s="53"/>
      <c r="G726" s="51"/>
      <c r="H726" s="99">
        <f>IFERROR(GETPIVOTDATA("Value",TD_WEAP_RAW!$A$3,"Variable",H$2,"Escenario",H$1,"Branch","Demand Sites and Catchments\"&amp;$D726),0)</f>
        <v>0</v>
      </c>
      <c r="I726" s="99">
        <f>IFERROR(GETPIVOTDATA("Value",TD_WEAP_RAW!$A$3,"Variable",I$2,"Escenario",I$1,"Branch","Demand Sites and Catchments\"&amp;$D726),0)</f>
        <v>0</v>
      </c>
      <c r="J726" s="99"/>
      <c r="K726" s="99">
        <f>IFERROR(GETPIVOTDATA("Value",TD_WEAP_RAW!$A$3,"Variable",K$2,"Escenario",K$1,"Branch","Demand Sites and Catchments\"&amp;$D726),0)</f>
        <v>0</v>
      </c>
      <c r="L726" s="99">
        <f>IFERROR(GETPIVOTDATA("Value",TD_WEAP_RAW!$A$3,"Variable",L$2,"Escenario",L$1,"Branch","Demand Sites and Catchments\"&amp;$D726),0)</f>
        <v>0</v>
      </c>
    </row>
    <row r="727" spans="4:12">
      <c r="D727" s="53"/>
      <c r="G727" s="51"/>
      <c r="H727" s="99">
        <f>IFERROR(GETPIVOTDATA("Value",TD_WEAP_RAW!$A$3,"Variable",H$2,"Escenario",H$1,"Branch","Demand Sites and Catchments\"&amp;$D727),0)</f>
        <v>0</v>
      </c>
      <c r="I727" s="99">
        <f>IFERROR(GETPIVOTDATA("Value",TD_WEAP_RAW!$A$3,"Variable",I$2,"Escenario",I$1,"Branch","Demand Sites and Catchments\"&amp;$D727),0)</f>
        <v>0</v>
      </c>
      <c r="J727" s="99"/>
      <c r="K727" s="99">
        <f>IFERROR(GETPIVOTDATA("Value",TD_WEAP_RAW!$A$3,"Variable",K$2,"Escenario",K$1,"Branch","Demand Sites and Catchments\"&amp;$D727),0)</f>
        <v>0</v>
      </c>
      <c r="L727" s="99">
        <f>IFERROR(GETPIVOTDATA("Value",TD_WEAP_RAW!$A$3,"Variable",L$2,"Escenario",L$1,"Branch","Demand Sites and Catchments\"&amp;$D727),0)</f>
        <v>0</v>
      </c>
    </row>
    <row r="728" spans="4:12">
      <c r="D728" s="53"/>
      <c r="G728" s="51"/>
      <c r="H728" s="99">
        <f>IFERROR(GETPIVOTDATA("Value",TD_WEAP_RAW!$A$3,"Variable",H$2,"Escenario",H$1,"Branch","Demand Sites and Catchments\"&amp;$D728),0)</f>
        <v>0</v>
      </c>
      <c r="I728" s="99">
        <f>IFERROR(GETPIVOTDATA("Value",TD_WEAP_RAW!$A$3,"Variable",I$2,"Escenario",I$1,"Branch","Demand Sites and Catchments\"&amp;$D728),0)</f>
        <v>0</v>
      </c>
      <c r="J728" s="99"/>
      <c r="K728" s="99">
        <f>IFERROR(GETPIVOTDATA("Value",TD_WEAP_RAW!$A$3,"Variable",K$2,"Escenario",K$1,"Branch","Demand Sites and Catchments\"&amp;$D728),0)</f>
        <v>0</v>
      </c>
      <c r="L728" s="99">
        <f>IFERROR(GETPIVOTDATA("Value",TD_WEAP_RAW!$A$3,"Variable",L$2,"Escenario",L$1,"Branch","Demand Sites and Catchments\"&amp;$D728),0)</f>
        <v>0</v>
      </c>
    </row>
    <row r="729" spans="4:12">
      <c r="D729" s="53"/>
      <c r="G729" s="51"/>
      <c r="H729" s="99">
        <f>IFERROR(GETPIVOTDATA("Value",TD_WEAP_RAW!$A$3,"Variable",H$2,"Escenario",H$1,"Branch","Demand Sites and Catchments\"&amp;$D729),0)</f>
        <v>0</v>
      </c>
      <c r="I729" s="99">
        <f>IFERROR(GETPIVOTDATA("Value",TD_WEAP_RAW!$A$3,"Variable",I$2,"Escenario",I$1,"Branch","Demand Sites and Catchments\"&amp;$D729),0)</f>
        <v>0</v>
      </c>
      <c r="J729" s="99"/>
      <c r="K729" s="99">
        <f>IFERROR(GETPIVOTDATA("Value",TD_WEAP_RAW!$A$3,"Variable",K$2,"Escenario",K$1,"Branch","Demand Sites and Catchments\"&amp;$D729),0)</f>
        <v>0</v>
      </c>
      <c r="L729" s="99">
        <f>IFERROR(GETPIVOTDATA("Value",TD_WEAP_RAW!$A$3,"Variable",L$2,"Escenario",L$1,"Branch","Demand Sites and Catchments\"&amp;$D729),0)</f>
        <v>0</v>
      </c>
    </row>
    <row r="730" spans="4:12">
      <c r="D730" s="53"/>
      <c r="G730" s="51"/>
      <c r="H730" s="99">
        <f>IFERROR(GETPIVOTDATA("Value",TD_WEAP_RAW!$A$3,"Variable",H$2,"Escenario",H$1,"Branch","Demand Sites and Catchments\"&amp;$D730),0)</f>
        <v>0</v>
      </c>
      <c r="I730" s="99">
        <f>IFERROR(GETPIVOTDATA("Value",TD_WEAP_RAW!$A$3,"Variable",I$2,"Escenario",I$1,"Branch","Demand Sites and Catchments\"&amp;$D730),0)</f>
        <v>0</v>
      </c>
      <c r="J730" s="99"/>
      <c r="K730" s="99">
        <f>IFERROR(GETPIVOTDATA("Value",TD_WEAP_RAW!$A$3,"Variable",K$2,"Escenario",K$1,"Branch","Demand Sites and Catchments\"&amp;$D730),0)</f>
        <v>0</v>
      </c>
      <c r="L730" s="99">
        <f>IFERROR(GETPIVOTDATA("Value",TD_WEAP_RAW!$A$3,"Variable",L$2,"Escenario",L$1,"Branch","Demand Sites and Catchments\"&amp;$D730),0)</f>
        <v>0</v>
      </c>
    </row>
    <row r="731" spans="4:12">
      <c r="D731" s="53"/>
      <c r="G731" s="51"/>
      <c r="H731" s="99">
        <f>IFERROR(GETPIVOTDATA("Value",TD_WEAP_RAW!$A$3,"Variable",H$2,"Escenario",H$1,"Branch","Demand Sites and Catchments\"&amp;$D731),0)</f>
        <v>0</v>
      </c>
      <c r="I731" s="99">
        <f>IFERROR(GETPIVOTDATA("Value",TD_WEAP_RAW!$A$3,"Variable",I$2,"Escenario",I$1,"Branch","Demand Sites and Catchments\"&amp;$D731),0)</f>
        <v>0</v>
      </c>
      <c r="J731" s="99"/>
      <c r="K731" s="99">
        <f>IFERROR(GETPIVOTDATA("Value",TD_WEAP_RAW!$A$3,"Variable",K$2,"Escenario",K$1,"Branch","Demand Sites and Catchments\"&amp;$D731),0)</f>
        <v>0</v>
      </c>
      <c r="L731" s="99">
        <f>IFERROR(GETPIVOTDATA("Value",TD_WEAP_RAW!$A$3,"Variable",L$2,"Escenario",L$1,"Branch","Demand Sites and Catchments\"&amp;$D731),0)</f>
        <v>0</v>
      </c>
    </row>
    <row r="732" spans="4:12">
      <c r="D732" s="53"/>
      <c r="G732" s="51"/>
      <c r="H732" s="99">
        <f>IFERROR(GETPIVOTDATA("Value",TD_WEAP_RAW!$A$3,"Variable",H$2,"Escenario",H$1,"Branch","Demand Sites and Catchments\"&amp;$D732),0)</f>
        <v>0</v>
      </c>
      <c r="I732" s="99">
        <f>IFERROR(GETPIVOTDATA("Value",TD_WEAP_RAW!$A$3,"Variable",I$2,"Escenario",I$1,"Branch","Demand Sites and Catchments\"&amp;$D732),0)</f>
        <v>0</v>
      </c>
      <c r="J732" s="99"/>
      <c r="K732" s="99">
        <f>IFERROR(GETPIVOTDATA("Value",TD_WEAP_RAW!$A$3,"Variable",K$2,"Escenario",K$1,"Branch","Demand Sites and Catchments\"&amp;$D732),0)</f>
        <v>0</v>
      </c>
      <c r="L732" s="99">
        <f>IFERROR(GETPIVOTDATA("Value",TD_WEAP_RAW!$A$3,"Variable",L$2,"Escenario",L$1,"Branch","Demand Sites and Catchments\"&amp;$D732),0)</f>
        <v>0</v>
      </c>
    </row>
    <row r="733" spans="4:12">
      <c r="D733" s="53"/>
      <c r="G733" s="51"/>
      <c r="H733" s="99">
        <f>IFERROR(GETPIVOTDATA("Value",TD_WEAP_RAW!$A$3,"Variable",H$2,"Escenario",H$1,"Branch","Demand Sites and Catchments\"&amp;$D733),0)</f>
        <v>0</v>
      </c>
      <c r="I733" s="99">
        <f>IFERROR(GETPIVOTDATA("Value",TD_WEAP_RAW!$A$3,"Variable",I$2,"Escenario",I$1,"Branch","Demand Sites and Catchments\"&amp;$D733),0)</f>
        <v>0</v>
      </c>
      <c r="J733" s="99"/>
      <c r="K733" s="99">
        <f>IFERROR(GETPIVOTDATA("Value",TD_WEAP_RAW!$A$3,"Variable",K$2,"Escenario",K$1,"Branch","Demand Sites and Catchments\"&amp;$D733),0)</f>
        <v>0</v>
      </c>
      <c r="L733" s="99">
        <f>IFERROR(GETPIVOTDATA("Value",TD_WEAP_RAW!$A$3,"Variable",L$2,"Escenario",L$1,"Branch","Demand Sites and Catchments\"&amp;$D733),0)</f>
        <v>0</v>
      </c>
    </row>
    <row r="734" spans="4:12">
      <c r="D734" s="53"/>
      <c r="G734" s="51"/>
      <c r="H734" s="99">
        <f>IFERROR(GETPIVOTDATA("Value",TD_WEAP_RAW!$A$3,"Variable",H$2,"Escenario",H$1,"Branch","Demand Sites and Catchments\"&amp;$D734),0)</f>
        <v>0</v>
      </c>
      <c r="I734" s="99">
        <f>IFERROR(GETPIVOTDATA("Value",TD_WEAP_RAW!$A$3,"Variable",I$2,"Escenario",I$1,"Branch","Demand Sites and Catchments\"&amp;$D734),0)</f>
        <v>0</v>
      </c>
      <c r="J734" s="99"/>
      <c r="K734" s="99">
        <f>IFERROR(GETPIVOTDATA("Value",TD_WEAP_RAW!$A$3,"Variable",K$2,"Escenario",K$1,"Branch","Demand Sites and Catchments\"&amp;$D734),0)</f>
        <v>0</v>
      </c>
      <c r="L734" s="99">
        <f>IFERROR(GETPIVOTDATA("Value",TD_WEAP_RAW!$A$3,"Variable",L$2,"Escenario",L$1,"Branch","Demand Sites and Catchments\"&amp;$D734),0)</f>
        <v>0</v>
      </c>
    </row>
    <row r="735" spans="4:12">
      <c r="D735" s="53"/>
      <c r="G735" s="51"/>
      <c r="H735" s="99">
        <f>IFERROR(GETPIVOTDATA("Value",TD_WEAP_RAW!$A$3,"Variable",H$2,"Escenario",H$1,"Branch","Demand Sites and Catchments\"&amp;$D735),0)</f>
        <v>0</v>
      </c>
      <c r="I735" s="99">
        <f>IFERROR(GETPIVOTDATA("Value",TD_WEAP_RAW!$A$3,"Variable",I$2,"Escenario",I$1,"Branch","Demand Sites and Catchments\"&amp;$D735),0)</f>
        <v>0</v>
      </c>
      <c r="J735" s="99"/>
      <c r="K735" s="99">
        <f>IFERROR(GETPIVOTDATA("Value",TD_WEAP_RAW!$A$3,"Variable",K$2,"Escenario",K$1,"Branch","Demand Sites and Catchments\"&amp;$D735),0)</f>
        <v>0</v>
      </c>
      <c r="L735" s="99">
        <f>IFERROR(GETPIVOTDATA("Value",TD_WEAP_RAW!$A$3,"Variable",L$2,"Escenario",L$1,"Branch","Demand Sites and Catchments\"&amp;$D735),0)</f>
        <v>0</v>
      </c>
    </row>
    <row r="736" spans="4:12">
      <c r="D736" s="53"/>
      <c r="G736" s="51"/>
      <c r="H736" s="99">
        <f>IFERROR(GETPIVOTDATA("Value",TD_WEAP_RAW!$A$3,"Variable",H$2,"Escenario",H$1,"Branch","Demand Sites and Catchments\"&amp;$D736),0)</f>
        <v>0</v>
      </c>
      <c r="I736" s="99">
        <f>IFERROR(GETPIVOTDATA("Value",TD_WEAP_RAW!$A$3,"Variable",I$2,"Escenario",I$1,"Branch","Demand Sites and Catchments\"&amp;$D736),0)</f>
        <v>0</v>
      </c>
      <c r="J736" s="99"/>
      <c r="K736" s="99">
        <f>IFERROR(GETPIVOTDATA("Value",TD_WEAP_RAW!$A$3,"Variable",K$2,"Escenario",K$1,"Branch","Demand Sites and Catchments\"&amp;$D736),0)</f>
        <v>0</v>
      </c>
      <c r="L736" s="99">
        <f>IFERROR(GETPIVOTDATA("Value",TD_WEAP_RAW!$A$3,"Variable",L$2,"Escenario",L$1,"Branch","Demand Sites and Catchments\"&amp;$D736),0)</f>
        <v>0</v>
      </c>
    </row>
    <row r="737" spans="4:12">
      <c r="D737" s="53"/>
      <c r="G737" s="51"/>
      <c r="H737" s="99">
        <f>IFERROR(GETPIVOTDATA("Value",TD_WEAP_RAW!$A$3,"Variable",H$2,"Escenario",H$1,"Branch","Demand Sites and Catchments\"&amp;$D737),0)</f>
        <v>0</v>
      </c>
      <c r="I737" s="99">
        <f>IFERROR(GETPIVOTDATA("Value",TD_WEAP_RAW!$A$3,"Variable",I$2,"Escenario",I$1,"Branch","Demand Sites and Catchments\"&amp;$D737),0)</f>
        <v>0</v>
      </c>
      <c r="J737" s="99"/>
      <c r="K737" s="99">
        <f>IFERROR(GETPIVOTDATA("Value",TD_WEAP_RAW!$A$3,"Variable",K$2,"Escenario",K$1,"Branch","Demand Sites and Catchments\"&amp;$D737),0)</f>
        <v>0</v>
      </c>
      <c r="L737" s="99">
        <f>IFERROR(GETPIVOTDATA("Value",TD_WEAP_RAW!$A$3,"Variable",L$2,"Escenario",L$1,"Branch","Demand Sites and Catchments\"&amp;$D737),0)</f>
        <v>0</v>
      </c>
    </row>
    <row r="738" spans="4:12">
      <c r="D738" s="53"/>
      <c r="G738" s="51"/>
      <c r="H738" s="99">
        <f>IFERROR(GETPIVOTDATA("Value",TD_WEAP_RAW!$A$3,"Variable",H$2,"Escenario",H$1,"Branch","Demand Sites and Catchments\"&amp;$D738),0)</f>
        <v>0</v>
      </c>
      <c r="I738" s="99">
        <f>IFERROR(GETPIVOTDATA("Value",TD_WEAP_RAW!$A$3,"Variable",I$2,"Escenario",I$1,"Branch","Demand Sites and Catchments\"&amp;$D738),0)</f>
        <v>0</v>
      </c>
      <c r="J738" s="99"/>
      <c r="K738" s="99">
        <f>IFERROR(GETPIVOTDATA("Value",TD_WEAP_RAW!$A$3,"Variable",K$2,"Escenario",K$1,"Branch","Demand Sites and Catchments\"&amp;$D738),0)</f>
        <v>0</v>
      </c>
      <c r="L738" s="99">
        <f>IFERROR(GETPIVOTDATA("Value",TD_WEAP_RAW!$A$3,"Variable",L$2,"Escenario",L$1,"Branch","Demand Sites and Catchments\"&amp;$D738),0)</f>
        <v>0</v>
      </c>
    </row>
    <row r="739" spans="4:12">
      <c r="D739" s="53"/>
      <c r="G739" s="51"/>
      <c r="H739" s="99">
        <f>IFERROR(GETPIVOTDATA("Value",TD_WEAP_RAW!$A$3,"Variable",H$2,"Escenario",H$1,"Branch","Demand Sites and Catchments\"&amp;$D739),0)</f>
        <v>0</v>
      </c>
      <c r="I739" s="99">
        <f>IFERROR(GETPIVOTDATA("Value",TD_WEAP_RAW!$A$3,"Variable",I$2,"Escenario",I$1,"Branch","Demand Sites and Catchments\"&amp;$D739),0)</f>
        <v>0</v>
      </c>
      <c r="J739" s="99"/>
      <c r="K739" s="99">
        <f>IFERROR(GETPIVOTDATA("Value",TD_WEAP_RAW!$A$3,"Variable",K$2,"Escenario",K$1,"Branch","Demand Sites and Catchments\"&amp;$D739),0)</f>
        <v>0</v>
      </c>
      <c r="L739" s="99">
        <f>IFERROR(GETPIVOTDATA("Value",TD_WEAP_RAW!$A$3,"Variable",L$2,"Escenario",L$1,"Branch","Demand Sites and Catchments\"&amp;$D739),0)</f>
        <v>0</v>
      </c>
    </row>
    <row r="740" spans="4:12">
      <c r="D740" s="53"/>
      <c r="G740" s="51"/>
      <c r="H740" s="99">
        <f>IFERROR(GETPIVOTDATA("Value",TD_WEAP_RAW!$A$3,"Variable",H$2,"Escenario",H$1,"Branch","Demand Sites and Catchments\"&amp;$D740),0)</f>
        <v>0</v>
      </c>
      <c r="I740" s="99">
        <f>IFERROR(GETPIVOTDATA("Value",TD_WEAP_RAW!$A$3,"Variable",I$2,"Escenario",I$1,"Branch","Demand Sites and Catchments\"&amp;$D740),0)</f>
        <v>0</v>
      </c>
      <c r="J740" s="99"/>
      <c r="K740" s="99">
        <f>IFERROR(GETPIVOTDATA("Value",TD_WEAP_RAW!$A$3,"Variable",K$2,"Escenario",K$1,"Branch","Demand Sites and Catchments\"&amp;$D740),0)</f>
        <v>0</v>
      </c>
      <c r="L740" s="99">
        <f>IFERROR(GETPIVOTDATA("Value",TD_WEAP_RAW!$A$3,"Variable",L$2,"Escenario",L$1,"Branch","Demand Sites and Catchments\"&amp;$D740),0)</f>
        <v>0</v>
      </c>
    </row>
    <row r="741" spans="4:12">
      <c r="D741" s="53"/>
      <c r="G741" s="51"/>
      <c r="H741" s="99">
        <f>IFERROR(GETPIVOTDATA("Value",TD_WEAP_RAW!$A$3,"Variable",H$2,"Escenario",H$1,"Branch","Demand Sites and Catchments\"&amp;$D741),0)</f>
        <v>0</v>
      </c>
      <c r="I741" s="99">
        <f>IFERROR(GETPIVOTDATA("Value",TD_WEAP_RAW!$A$3,"Variable",I$2,"Escenario",I$1,"Branch","Demand Sites and Catchments\"&amp;$D741),0)</f>
        <v>0</v>
      </c>
      <c r="J741" s="99"/>
      <c r="K741" s="99">
        <f>IFERROR(GETPIVOTDATA("Value",TD_WEAP_RAW!$A$3,"Variable",K$2,"Escenario",K$1,"Branch","Demand Sites and Catchments\"&amp;$D741),0)</f>
        <v>0</v>
      </c>
      <c r="L741" s="99">
        <f>IFERROR(GETPIVOTDATA("Value",TD_WEAP_RAW!$A$3,"Variable",L$2,"Escenario",L$1,"Branch","Demand Sites and Catchments\"&amp;$D741),0)</f>
        <v>0</v>
      </c>
    </row>
    <row r="742" spans="4:12">
      <c r="D742" s="53"/>
      <c r="G742" s="51"/>
      <c r="H742" s="99">
        <f>IFERROR(GETPIVOTDATA("Value",TD_WEAP_RAW!$A$3,"Variable",H$2,"Escenario",H$1,"Branch","Demand Sites and Catchments\"&amp;$D742),0)</f>
        <v>0</v>
      </c>
      <c r="I742" s="99">
        <f>IFERROR(GETPIVOTDATA("Value",TD_WEAP_RAW!$A$3,"Variable",I$2,"Escenario",I$1,"Branch","Demand Sites and Catchments\"&amp;$D742),0)</f>
        <v>0</v>
      </c>
      <c r="J742" s="99"/>
      <c r="K742" s="99">
        <f>IFERROR(GETPIVOTDATA("Value",TD_WEAP_RAW!$A$3,"Variable",K$2,"Escenario",K$1,"Branch","Demand Sites and Catchments\"&amp;$D742),0)</f>
        <v>0</v>
      </c>
      <c r="L742" s="99">
        <f>IFERROR(GETPIVOTDATA("Value",TD_WEAP_RAW!$A$3,"Variable",L$2,"Escenario",L$1,"Branch","Demand Sites and Catchments\"&amp;$D742),0)</f>
        <v>0</v>
      </c>
    </row>
    <row r="743" spans="4:12">
      <c r="D743" s="53"/>
      <c r="G743" s="51"/>
      <c r="H743" s="99">
        <f>IFERROR(GETPIVOTDATA("Value",TD_WEAP_RAW!$A$3,"Variable",H$2,"Escenario",H$1,"Branch","Demand Sites and Catchments\"&amp;$D743),0)</f>
        <v>0</v>
      </c>
      <c r="I743" s="99">
        <f>IFERROR(GETPIVOTDATA("Value",TD_WEAP_RAW!$A$3,"Variable",I$2,"Escenario",I$1,"Branch","Demand Sites and Catchments\"&amp;$D743),0)</f>
        <v>0</v>
      </c>
      <c r="J743" s="99"/>
      <c r="K743" s="99">
        <f>IFERROR(GETPIVOTDATA("Value",TD_WEAP_RAW!$A$3,"Variable",K$2,"Escenario",K$1,"Branch","Demand Sites and Catchments\"&amp;$D743),0)</f>
        <v>0</v>
      </c>
      <c r="L743" s="99">
        <f>IFERROR(GETPIVOTDATA("Value",TD_WEAP_RAW!$A$3,"Variable",L$2,"Escenario",L$1,"Branch","Demand Sites and Catchments\"&amp;$D743),0)</f>
        <v>0</v>
      </c>
    </row>
    <row r="744" spans="4:12">
      <c r="D744" s="53"/>
      <c r="G744" s="51"/>
      <c r="H744" s="99">
        <f>IFERROR(GETPIVOTDATA("Value",TD_WEAP_RAW!$A$3,"Variable",H$2,"Escenario",H$1,"Branch","Demand Sites and Catchments\"&amp;$D744),0)</f>
        <v>0</v>
      </c>
      <c r="I744" s="99">
        <f>IFERROR(GETPIVOTDATA("Value",TD_WEAP_RAW!$A$3,"Variable",I$2,"Escenario",I$1,"Branch","Demand Sites and Catchments\"&amp;$D744),0)</f>
        <v>0</v>
      </c>
      <c r="J744" s="99"/>
      <c r="K744" s="99">
        <f>IFERROR(GETPIVOTDATA("Value",TD_WEAP_RAW!$A$3,"Variable",K$2,"Escenario",K$1,"Branch","Demand Sites and Catchments\"&amp;$D744),0)</f>
        <v>0</v>
      </c>
      <c r="L744" s="99">
        <f>IFERROR(GETPIVOTDATA("Value",TD_WEAP_RAW!$A$3,"Variable",L$2,"Escenario",L$1,"Branch","Demand Sites and Catchments\"&amp;$D744),0)</f>
        <v>0</v>
      </c>
    </row>
    <row r="745" spans="4:12">
      <c r="D745" s="53"/>
      <c r="G745" s="51"/>
      <c r="H745" s="99">
        <f>IFERROR(GETPIVOTDATA("Value",TD_WEAP_RAW!$A$3,"Variable",H$2,"Escenario",H$1,"Branch","Demand Sites and Catchments\"&amp;$D745),0)</f>
        <v>0</v>
      </c>
      <c r="I745" s="99">
        <f>IFERROR(GETPIVOTDATA("Value",TD_WEAP_RAW!$A$3,"Variable",I$2,"Escenario",I$1,"Branch","Demand Sites and Catchments\"&amp;$D745),0)</f>
        <v>0</v>
      </c>
      <c r="J745" s="99"/>
      <c r="K745" s="99">
        <f>IFERROR(GETPIVOTDATA("Value",TD_WEAP_RAW!$A$3,"Variable",K$2,"Escenario",K$1,"Branch","Demand Sites and Catchments\"&amp;$D745),0)</f>
        <v>0</v>
      </c>
      <c r="L745" s="99">
        <f>IFERROR(GETPIVOTDATA("Value",TD_WEAP_RAW!$A$3,"Variable",L$2,"Escenario",L$1,"Branch","Demand Sites and Catchments\"&amp;$D745),0)</f>
        <v>0</v>
      </c>
    </row>
    <row r="746" spans="4:12">
      <c r="D746" s="53"/>
      <c r="G746" s="51"/>
      <c r="H746" s="99">
        <f>IFERROR(GETPIVOTDATA("Value",TD_WEAP_RAW!$A$3,"Variable",H$2,"Escenario",H$1,"Branch","Demand Sites and Catchments\"&amp;$D746),0)</f>
        <v>0</v>
      </c>
      <c r="I746" s="99">
        <f>IFERROR(GETPIVOTDATA("Value",TD_WEAP_RAW!$A$3,"Variable",I$2,"Escenario",I$1,"Branch","Demand Sites and Catchments\"&amp;$D746),0)</f>
        <v>0</v>
      </c>
      <c r="J746" s="99"/>
      <c r="K746" s="99">
        <f>IFERROR(GETPIVOTDATA("Value",TD_WEAP_RAW!$A$3,"Variable",K$2,"Escenario",K$1,"Branch","Demand Sites and Catchments\"&amp;$D746),0)</f>
        <v>0</v>
      </c>
      <c r="L746" s="99">
        <f>IFERROR(GETPIVOTDATA("Value",TD_WEAP_RAW!$A$3,"Variable",L$2,"Escenario",L$1,"Branch","Demand Sites and Catchments\"&amp;$D746),0)</f>
        <v>0</v>
      </c>
    </row>
    <row r="747" spans="4:12">
      <c r="D747" s="53"/>
      <c r="G747" s="51"/>
      <c r="H747" s="99">
        <f>IFERROR(GETPIVOTDATA("Value",TD_WEAP_RAW!$A$3,"Variable",H$2,"Escenario",H$1,"Branch","Demand Sites and Catchments\"&amp;$D747),0)</f>
        <v>0</v>
      </c>
      <c r="I747" s="99">
        <f>IFERROR(GETPIVOTDATA("Value",TD_WEAP_RAW!$A$3,"Variable",I$2,"Escenario",I$1,"Branch","Demand Sites and Catchments\"&amp;$D747),0)</f>
        <v>0</v>
      </c>
      <c r="J747" s="99"/>
      <c r="K747" s="99">
        <f>IFERROR(GETPIVOTDATA("Value",TD_WEAP_RAW!$A$3,"Variable",K$2,"Escenario",K$1,"Branch","Demand Sites and Catchments\"&amp;$D747),0)</f>
        <v>0</v>
      </c>
      <c r="L747" s="99">
        <f>IFERROR(GETPIVOTDATA("Value",TD_WEAP_RAW!$A$3,"Variable",L$2,"Escenario",L$1,"Branch","Demand Sites and Catchments\"&amp;$D747),0)</f>
        <v>0</v>
      </c>
    </row>
    <row r="748" spans="4:12">
      <c r="D748" s="53"/>
      <c r="G748" s="51"/>
      <c r="H748" s="99">
        <f>IFERROR(GETPIVOTDATA("Value",TD_WEAP_RAW!$A$3,"Variable",H$2,"Escenario",H$1,"Branch","Demand Sites and Catchments\"&amp;$D748),0)</f>
        <v>0</v>
      </c>
      <c r="I748" s="99">
        <f>IFERROR(GETPIVOTDATA("Value",TD_WEAP_RAW!$A$3,"Variable",I$2,"Escenario",I$1,"Branch","Demand Sites and Catchments\"&amp;$D748),0)</f>
        <v>0</v>
      </c>
      <c r="J748" s="99"/>
      <c r="K748" s="99">
        <f>IFERROR(GETPIVOTDATA("Value",TD_WEAP_RAW!$A$3,"Variable",K$2,"Escenario",K$1,"Branch","Demand Sites and Catchments\"&amp;$D748),0)</f>
        <v>0</v>
      </c>
      <c r="L748" s="99">
        <f>IFERROR(GETPIVOTDATA("Value",TD_WEAP_RAW!$A$3,"Variable",L$2,"Escenario",L$1,"Branch","Demand Sites and Catchments\"&amp;$D748),0)</f>
        <v>0</v>
      </c>
    </row>
    <row r="749" spans="4:12">
      <c r="D749" s="53"/>
      <c r="G749" s="51"/>
      <c r="H749" s="99">
        <f>IFERROR(GETPIVOTDATA("Value",TD_WEAP_RAW!$A$3,"Variable",H$2,"Escenario",H$1,"Branch","Demand Sites and Catchments\"&amp;$D749),0)</f>
        <v>0</v>
      </c>
      <c r="I749" s="99">
        <f>IFERROR(GETPIVOTDATA("Value",TD_WEAP_RAW!$A$3,"Variable",I$2,"Escenario",I$1,"Branch","Demand Sites and Catchments\"&amp;$D749),0)</f>
        <v>0</v>
      </c>
      <c r="J749" s="99"/>
      <c r="K749" s="99">
        <f>IFERROR(GETPIVOTDATA("Value",TD_WEAP_RAW!$A$3,"Variable",K$2,"Escenario",K$1,"Branch","Demand Sites and Catchments\"&amp;$D749),0)</f>
        <v>0</v>
      </c>
      <c r="L749" s="99">
        <f>IFERROR(GETPIVOTDATA("Value",TD_WEAP_RAW!$A$3,"Variable",L$2,"Escenario",L$1,"Branch","Demand Sites and Catchments\"&amp;$D749),0)</f>
        <v>0</v>
      </c>
    </row>
    <row r="750" spans="4:12">
      <c r="D750" s="53"/>
      <c r="G750" s="51"/>
      <c r="H750" s="99">
        <f>IFERROR(GETPIVOTDATA("Value",TD_WEAP_RAW!$A$3,"Variable",H$2,"Escenario",H$1,"Branch","Demand Sites and Catchments\"&amp;$D750),0)</f>
        <v>0</v>
      </c>
      <c r="I750" s="99">
        <f>IFERROR(GETPIVOTDATA("Value",TD_WEAP_RAW!$A$3,"Variable",I$2,"Escenario",I$1,"Branch","Demand Sites and Catchments\"&amp;$D750),0)</f>
        <v>0</v>
      </c>
      <c r="J750" s="99"/>
      <c r="K750" s="99">
        <f>IFERROR(GETPIVOTDATA("Value",TD_WEAP_RAW!$A$3,"Variable",K$2,"Escenario",K$1,"Branch","Demand Sites and Catchments\"&amp;$D750),0)</f>
        <v>0</v>
      </c>
      <c r="L750" s="99">
        <f>IFERROR(GETPIVOTDATA("Value",TD_WEAP_RAW!$A$3,"Variable",L$2,"Escenario",L$1,"Branch","Demand Sites and Catchments\"&amp;$D750),0)</f>
        <v>0</v>
      </c>
    </row>
    <row r="751" spans="4:12">
      <c r="D751" s="53"/>
      <c r="G751" s="51"/>
      <c r="H751" s="99">
        <f>IFERROR(GETPIVOTDATA("Value",TD_WEAP_RAW!$A$3,"Variable",H$2,"Escenario",H$1,"Branch","Demand Sites and Catchments\"&amp;$D751),0)</f>
        <v>0</v>
      </c>
      <c r="I751" s="99">
        <f>IFERROR(GETPIVOTDATA("Value",TD_WEAP_RAW!$A$3,"Variable",I$2,"Escenario",I$1,"Branch","Demand Sites and Catchments\"&amp;$D751),0)</f>
        <v>0</v>
      </c>
      <c r="J751" s="99"/>
      <c r="K751" s="99">
        <f>IFERROR(GETPIVOTDATA("Value",TD_WEAP_RAW!$A$3,"Variable",K$2,"Escenario",K$1,"Branch","Demand Sites and Catchments\"&amp;$D751),0)</f>
        <v>0</v>
      </c>
      <c r="L751" s="99">
        <f>IFERROR(GETPIVOTDATA("Value",TD_WEAP_RAW!$A$3,"Variable",L$2,"Escenario",L$1,"Branch","Demand Sites and Catchments\"&amp;$D751),0)</f>
        <v>0</v>
      </c>
    </row>
    <row r="752" spans="4:12">
      <c r="D752" s="53"/>
      <c r="G752" s="51"/>
      <c r="H752" s="99">
        <f>IFERROR(GETPIVOTDATA("Value",TD_WEAP_RAW!$A$3,"Variable",H$2,"Escenario",H$1,"Branch","Demand Sites and Catchments\"&amp;$D752),0)</f>
        <v>0</v>
      </c>
      <c r="I752" s="99">
        <f>IFERROR(GETPIVOTDATA("Value",TD_WEAP_RAW!$A$3,"Variable",I$2,"Escenario",I$1,"Branch","Demand Sites and Catchments\"&amp;$D752),0)</f>
        <v>0</v>
      </c>
      <c r="J752" s="99"/>
      <c r="K752" s="99">
        <f>IFERROR(GETPIVOTDATA("Value",TD_WEAP_RAW!$A$3,"Variable",K$2,"Escenario",K$1,"Branch","Demand Sites and Catchments\"&amp;$D752),0)</f>
        <v>0</v>
      </c>
      <c r="L752" s="99">
        <f>IFERROR(GETPIVOTDATA("Value",TD_WEAP_RAW!$A$3,"Variable",L$2,"Escenario",L$1,"Branch","Demand Sites and Catchments\"&amp;$D752),0)</f>
        <v>0</v>
      </c>
    </row>
    <row r="753" spans="4:12">
      <c r="D753" s="53"/>
      <c r="G753" s="51"/>
      <c r="H753" s="99">
        <f>IFERROR(GETPIVOTDATA("Value",TD_WEAP_RAW!$A$3,"Variable",H$2,"Escenario",H$1,"Branch","Demand Sites and Catchments\"&amp;$D753),0)</f>
        <v>0</v>
      </c>
      <c r="I753" s="99">
        <f>IFERROR(GETPIVOTDATA("Value",TD_WEAP_RAW!$A$3,"Variable",I$2,"Escenario",I$1,"Branch","Demand Sites and Catchments\"&amp;$D753),0)</f>
        <v>0</v>
      </c>
      <c r="J753" s="99"/>
      <c r="K753" s="99">
        <f>IFERROR(GETPIVOTDATA("Value",TD_WEAP_RAW!$A$3,"Variable",K$2,"Escenario",K$1,"Branch","Demand Sites and Catchments\"&amp;$D753),0)</f>
        <v>0</v>
      </c>
      <c r="L753" s="99">
        <f>IFERROR(GETPIVOTDATA("Value",TD_WEAP_RAW!$A$3,"Variable",L$2,"Escenario",L$1,"Branch","Demand Sites and Catchments\"&amp;$D753),0)</f>
        <v>0</v>
      </c>
    </row>
    <row r="754" spans="4:12">
      <c r="D754" s="53"/>
      <c r="G754" s="51"/>
      <c r="H754" s="99">
        <f>IFERROR(GETPIVOTDATA("Value",TD_WEAP_RAW!$A$3,"Variable",H$2,"Escenario",H$1,"Branch","Demand Sites and Catchments\"&amp;$D754),0)</f>
        <v>0</v>
      </c>
      <c r="I754" s="99">
        <f>IFERROR(GETPIVOTDATA("Value",TD_WEAP_RAW!$A$3,"Variable",I$2,"Escenario",I$1,"Branch","Demand Sites and Catchments\"&amp;$D754),0)</f>
        <v>0</v>
      </c>
      <c r="J754" s="99"/>
      <c r="K754" s="99">
        <f>IFERROR(GETPIVOTDATA("Value",TD_WEAP_RAW!$A$3,"Variable",K$2,"Escenario",K$1,"Branch","Demand Sites and Catchments\"&amp;$D754),0)</f>
        <v>0</v>
      </c>
      <c r="L754" s="99">
        <f>IFERROR(GETPIVOTDATA("Value",TD_WEAP_RAW!$A$3,"Variable",L$2,"Escenario",L$1,"Branch","Demand Sites and Catchments\"&amp;$D754),0)</f>
        <v>0</v>
      </c>
    </row>
    <row r="755" spans="4:12">
      <c r="D755" s="53"/>
      <c r="G755" s="51"/>
      <c r="H755" s="99">
        <f>IFERROR(GETPIVOTDATA("Value",TD_WEAP_RAW!$A$3,"Variable",H$2,"Escenario",H$1,"Branch","Demand Sites and Catchments\"&amp;$D755),0)</f>
        <v>0</v>
      </c>
      <c r="I755" s="99">
        <f>IFERROR(GETPIVOTDATA("Value",TD_WEAP_RAW!$A$3,"Variable",I$2,"Escenario",I$1,"Branch","Demand Sites and Catchments\"&amp;$D755),0)</f>
        <v>0</v>
      </c>
      <c r="J755" s="99"/>
      <c r="K755" s="99">
        <f>IFERROR(GETPIVOTDATA("Value",TD_WEAP_RAW!$A$3,"Variable",K$2,"Escenario",K$1,"Branch","Demand Sites and Catchments\"&amp;$D755),0)</f>
        <v>0</v>
      </c>
      <c r="L755" s="99">
        <f>IFERROR(GETPIVOTDATA("Value",TD_WEAP_RAW!$A$3,"Variable",L$2,"Escenario",L$1,"Branch","Demand Sites and Catchments\"&amp;$D755),0)</f>
        <v>0</v>
      </c>
    </row>
    <row r="756" spans="4:12">
      <c r="D756" s="53"/>
      <c r="G756" s="51"/>
      <c r="H756" s="99">
        <f>IFERROR(GETPIVOTDATA("Value",TD_WEAP_RAW!$A$3,"Variable",H$2,"Escenario",H$1,"Branch","Demand Sites and Catchments\"&amp;$D756),0)</f>
        <v>0</v>
      </c>
      <c r="I756" s="99">
        <f>IFERROR(GETPIVOTDATA("Value",TD_WEAP_RAW!$A$3,"Variable",I$2,"Escenario",I$1,"Branch","Demand Sites and Catchments\"&amp;$D756),0)</f>
        <v>0</v>
      </c>
      <c r="J756" s="99"/>
      <c r="K756" s="99">
        <f>IFERROR(GETPIVOTDATA("Value",TD_WEAP_RAW!$A$3,"Variable",K$2,"Escenario",K$1,"Branch","Demand Sites and Catchments\"&amp;$D756),0)</f>
        <v>0</v>
      </c>
      <c r="L756" s="99">
        <f>IFERROR(GETPIVOTDATA("Value",TD_WEAP_RAW!$A$3,"Variable",L$2,"Escenario",L$1,"Branch","Demand Sites and Catchments\"&amp;$D756),0)</f>
        <v>0</v>
      </c>
    </row>
    <row r="757" spans="4:12">
      <c r="D757" s="53"/>
      <c r="G757" s="51"/>
      <c r="H757" s="99">
        <f>IFERROR(GETPIVOTDATA("Value",TD_WEAP_RAW!$A$3,"Variable",H$2,"Escenario",H$1,"Branch","Demand Sites and Catchments\"&amp;$D757),0)</f>
        <v>0</v>
      </c>
      <c r="I757" s="99">
        <f>IFERROR(GETPIVOTDATA("Value",TD_WEAP_RAW!$A$3,"Variable",I$2,"Escenario",I$1,"Branch","Demand Sites and Catchments\"&amp;$D757),0)</f>
        <v>0</v>
      </c>
      <c r="J757" s="99"/>
      <c r="K757" s="99">
        <f>IFERROR(GETPIVOTDATA("Value",TD_WEAP_RAW!$A$3,"Variable",K$2,"Escenario",K$1,"Branch","Demand Sites and Catchments\"&amp;$D757),0)</f>
        <v>0</v>
      </c>
      <c r="L757" s="99">
        <f>IFERROR(GETPIVOTDATA("Value",TD_WEAP_RAW!$A$3,"Variable",L$2,"Escenario",L$1,"Branch","Demand Sites and Catchments\"&amp;$D757),0)</f>
        <v>0</v>
      </c>
    </row>
    <row r="758" spans="4:12">
      <c r="D758" s="53"/>
      <c r="G758" s="51"/>
      <c r="H758" s="99">
        <f>IFERROR(GETPIVOTDATA("Value",TD_WEAP_RAW!$A$3,"Variable",H$2,"Escenario",H$1,"Branch","Demand Sites and Catchments\"&amp;$D758),0)</f>
        <v>0</v>
      </c>
      <c r="I758" s="99">
        <f>IFERROR(GETPIVOTDATA("Value",TD_WEAP_RAW!$A$3,"Variable",I$2,"Escenario",I$1,"Branch","Demand Sites and Catchments\"&amp;$D758),0)</f>
        <v>0</v>
      </c>
      <c r="J758" s="99"/>
      <c r="K758" s="99">
        <f>IFERROR(GETPIVOTDATA("Value",TD_WEAP_RAW!$A$3,"Variable",K$2,"Escenario",K$1,"Branch","Demand Sites and Catchments\"&amp;$D758),0)</f>
        <v>0</v>
      </c>
      <c r="L758" s="99">
        <f>IFERROR(GETPIVOTDATA("Value",TD_WEAP_RAW!$A$3,"Variable",L$2,"Escenario",L$1,"Branch","Demand Sites and Catchments\"&amp;$D758),0)</f>
        <v>0</v>
      </c>
    </row>
    <row r="759" spans="4:12">
      <c r="D759" s="53"/>
      <c r="G759" s="51"/>
      <c r="H759" s="99">
        <f>IFERROR(GETPIVOTDATA("Value",TD_WEAP_RAW!$A$3,"Variable",H$2,"Escenario",H$1,"Branch","Demand Sites and Catchments\"&amp;$D759),0)</f>
        <v>0</v>
      </c>
      <c r="I759" s="99">
        <f>IFERROR(GETPIVOTDATA("Value",TD_WEAP_RAW!$A$3,"Variable",I$2,"Escenario",I$1,"Branch","Demand Sites and Catchments\"&amp;$D759),0)</f>
        <v>0</v>
      </c>
      <c r="J759" s="99"/>
      <c r="K759" s="99">
        <f>IFERROR(GETPIVOTDATA("Value",TD_WEAP_RAW!$A$3,"Variable",K$2,"Escenario",K$1,"Branch","Demand Sites and Catchments\"&amp;$D759),0)</f>
        <v>0</v>
      </c>
      <c r="L759" s="99">
        <f>IFERROR(GETPIVOTDATA("Value",TD_WEAP_RAW!$A$3,"Variable",L$2,"Escenario",L$1,"Branch","Demand Sites and Catchments\"&amp;$D759),0)</f>
        <v>0</v>
      </c>
    </row>
    <row r="760" spans="4:12">
      <c r="D760" s="53"/>
      <c r="G760" s="51"/>
      <c r="H760" s="99">
        <f>IFERROR(GETPIVOTDATA("Value",TD_WEAP_RAW!$A$3,"Variable",H$2,"Escenario",H$1,"Branch","Demand Sites and Catchments\"&amp;$D760),0)</f>
        <v>0</v>
      </c>
      <c r="I760" s="99">
        <f>IFERROR(GETPIVOTDATA("Value",TD_WEAP_RAW!$A$3,"Variable",I$2,"Escenario",I$1,"Branch","Demand Sites and Catchments\"&amp;$D760),0)</f>
        <v>0</v>
      </c>
      <c r="J760" s="99"/>
      <c r="K760" s="99">
        <f>IFERROR(GETPIVOTDATA("Value",TD_WEAP_RAW!$A$3,"Variable",K$2,"Escenario",K$1,"Branch","Demand Sites and Catchments\"&amp;$D760),0)</f>
        <v>0</v>
      </c>
      <c r="L760" s="99">
        <f>IFERROR(GETPIVOTDATA("Value",TD_WEAP_RAW!$A$3,"Variable",L$2,"Escenario",L$1,"Branch","Demand Sites and Catchments\"&amp;$D760),0)</f>
        <v>0</v>
      </c>
    </row>
    <row r="761" spans="4:12">
      <c r="D761" s="53"/>
      <c r="G761" s="51"/>
      <c r="H761" s="99">
        <f>IFERROR(GETPIVOTDATA("Value",TD_WEAP_RAW!$A$3,"Variable",H$2,"Escenario",H$1,"Branch","Demand Sites and Catchments\"&amp;$D761),0)</f>
        <v>0</v>
      </c>
      <c r="I761" s="99">
        <f>IFERROR(GETPIVOTDATA("Value",TD_WEAP_RAW!$A$3,"Variable",I$2,"Escenario",I$1,"Branch","Demand Sites and Catchments\"&amp;$D761),0)</f>
        <v>0</v>
      </c>
      <c r="J761" s="99"/>
      <c r="K761" s="99">
        <f>IFERROR(GETPIVOTDATA("Value",TD_WEAP_RAW!$A$3,"Variable",K$2,"Escenario",K$1,"Branch","Demand Sites and Catchments\"&amp;$D761),0)</f>
        <v>0</v>
      </c>
      <c r="L761" s="99">
        <f>IFERROR(GETPIVOTDATA("Value",TD_WEAP_RAW!$A$3,"Variable",L$2,"Escenario",L$1,"Branch","Demand Sites and Catchments\"&amp;$D761),0)</f>
        <v>0</v>
      </c>
    </row>
    <row r="762" spans="4:12">
      <c r="D762" s="53"/>
      <c r="G762" s="51"/>
      <c r="H762" s="99">
        <f>IFERROR(GETPIVOTDATA("Value",TD_WEAP_RAW!$A$3,"Variable",H$2,"Escenario",H$1,"Branch","Demand Sites and Catchments\"&amp;$D762),0)</f>
        <v>0</v>
      </c>
      <c r="I762" s="99">
        <f>IFERROR(GETPIVOTDATA("Value",TD_WEAP_RAW!$A$3,"Variable",I$2,"Escenario",I$1,"Branch","Demand Sites and Catchments\"&amp;$D762),0)</f>
        <v>0</v>
      </c>
      <c r="J762" s="99"/>
      <c r="K762" s="99">
        <f>IFERROR(GETPIVOTDATA("Value",TD_WEAP_RAW!$A$3,"Variable",K$2,"Escenario",K$1,"Branch","Demand Sites and Catchments\"&amp;$D762),0)</f>
        <v>0</v>
      </c>
      <c r="L762" s="99">
        <f>IFERROR(GETPIVOTDATA("Value",TD_WEAP_RAW!$A$3,"Variable",L$2,"Escenario",L$1,"Branch","Demand Sites and Catchments\"&amp;$D762),0)</f>
        <v>0</v>
      </c>
    </row>
    <row r="763" spans="4:12">
      <c r="D763" s="53"/>
      <c r="G763" s="51"/>
      <c r="H763" s="99">
        <f>IFERROR(GETPIVOTDATA("Value",TD_WEAP_RAW!$A$3,"Variable",H$2,"Escenario",H$1,"Branch","Demand Sites and Catchments\"&amp;$D763),0)</f>
        <v>0</v>
      </c>
      <c r="I763" s="99">
        <f>IFERROR(GETPIVOTDATA("Value",TD_WEAP_RAW!$A$3,"Variable",I$2,"Escenario",I$1,"Branch","Demand Sites and Catchments\"&amp;$D763),0)</f>
        <v>0</v>
      </c>
      <c r="J763" s="99"/>
      <c r="K763" s="99">
        <f>IFERROR(GETPIVOTDATA("Value",TD_WEAP_RAW!$A$3,"Variable",K$2,"Escenario",K$1,"Branch","Demand Sites and Catchments\"&amp;$D763),0)</f>
        <v>0</v>
      </c>
      <c r="L763" s="99">
        <f>IFERROR(GETPIVOTDATA("Value",TD_WEAP_RAW!$A$3,"Variable",L$2,"Escenario",L$1,"Branch","Demand Sites and Catchments\"&amp;$D763),0)</f>
        <v>0</v>
      </c>
    </row>
    <row r="764" spans="4:12">
      <c r="D764" s="53"/>
      <c r="G764" s="51"/>
      <c r="H764" s="99">
        <f>IFERROR(GETPIVOTDATA("Value",TD_WEAP_RAW!$A$3,"Variable",H$2,"Escenario",H$1,"Branch","Demand Sites and Catchments\"&amp;$D764),0)</f>
        <v>0</v>
      </c>
      <c r="I764" s="99">
        <f>IFERROR(GETPIVOTDATA("Value",TD_WEAP_RAW!$A$3,"Variable",I$2,"Escenario",I$1,"Branch","Demand Sites and Catchments\"&amp;$D764),0)</f>
        <v>0</v>
      </c>
      <c r="J764" s="99"/>
      <c r="K764" s="99">
        <f>IFERROR(GETPIVOTDATA("Value",TD_WEAP_RAW!$A$3,"Variable",K$2,"Escenario",K$1,"Branch","Demand Sites and Catchments\"&amp;$D764),0)</f>
        <v>0</v>
      </c>
      <c r="L764" s="99">
        <f>IFERROR(GETPIVOTDATA("Value",TD_WEAP_RAW!$A$3,"Variable",L$2,"Escenario",L$1,"Branch","Demand Sites and Catchments\"&amp;$D764),0)</f>
        <v>0</v>
      </c>
    </row>
    <row r="765" spans="4:12">
      <c r="D765" s="53"/>
      <c r="G765" s="51"/>
      <c r="H765" s="99">
        <f>IFERROR(GETPIVOTDATA("Value",TD_WEAP_RAW!$A$3,"Variable",H$2,"Escenario",H$1,"Branch","Demand Sites and Catchments\"&amp;$D765),0)</f>
        <v>0</v>
      </c>
      <c r="I765" s="99">
        <f>IFERROR(GETPIVOTDATA("Value",TD_WEAP_RAW!$A$3,"Variable",I$2,"Escenario",I$1,"Branch","Demand Sites and Catchments\"&amp;$D765),0)</f>
        <v>0</v>
      </c>
      <c r="J765" s="99"/>
      <c r="K765" s="99">
        <f>IFERROR(GETPIVOTDATA("Value",TD_WEAP_RAW!$A$3,"Variable",K$2,"Escenario",K$1,"Branch","Demand Sites and Catchments\"&amp;$D765),0)</f>
        <v>0</v>
      </c>
      <c r="L765" s="99">
        <f>IFERROR(GETPIVOTDATA("Value",TD_WEAP_RAW!$A$3,"Variable",L$2,"Escenario",L$1,"Branch","Demand Sites and Catchments\"&amp;$D765),0)</f>
        <v>0</v>
      </c>
    </row>
    <row r="766" spans="4:12">
      <c r="D766" s="53"/>
      <c r="G766" s="51"/>
      <c r="H766" s="99">
        <f>IFERROR(GETPIVOTDATA("Value",TD_WEAP_RAW!$A$3,"Variable",H$2,"Escenario",H$1,"Branch","Demand Sites and Catchments\"&amp;$D766),0)</f>
        <v>0</v>
      </c>
      <c r="I766" s="99">
        <f>IFERROR(GETPIVOTDATA("Value",TD_WEAP_RAW!$A$3,"Variable",I$2,"Escenario",I$1,"Branch","Demand Sites and Catchments\"&amp;$D766),0)</f>
        <v>0</v>
      </c>
      <c r="J766" s="99"/>
      <c r="K766" s="99">
        <f>IFERROR(GETPIVOTDATA("Value",TD_WEAP_RAW!$A$3,"Variable",K$2,"Escenario",K$1,"Branch","Demand Sites and Catchments\"&amp;$D766),0)</f>
        <v>0</v>
      </c>
      <c r="L766" s="99">
        <f>IFERROR(GETPIVOTDATA("Value",TD_WEAP_RAW!$A$3,"Variable",L$2,"Escenario",L$1,"Branch","Demand Sites and Catchments\"&amp;$D766),0)</f>
        <v>0</v>
      </c>
    </row>
    <row r="767" spans="4:12">
      <c r="D767" s="53"/>
      <c r="G767" s="51"/>
      <c r="H767" s="99">
        <f>IFERROR(GETPIVOTDATA("Value",TD_WEAP_RAW!$A$3,"Variable",H$2,"Escenario",H$1,"Branch","Demand Sites and Catchments\"&amp;$D767),0)</f>
        <v>0</v>
      </c>
      <c r="I767" s="99">
        <f>IFERROR(GETPIVOTDATA("Value",TD_WEAP_RAW!$A$3,"Variable",I$2,"Escenario",I$1,"Branch","Demand Sites and Catchments\"&amp;$D767),0)</f>
        <v>0</v>
      </c>
      <c r="J767" s="99"/>
      <c r="K767" s="99">
        <f>IFERROR(GETPIVOTDATA("Value",TD_WEAP_RAW!$A$3,"Variable",K$2,"Escenario",K$1,"Branch","Demand Sites and Catchments\"&amp;$D767),0)</f>
        <v>0</v>
      </c>
      <c r="L767" s="99">
        <f>IFERROR(GETPIVOTDATA("Value",TD_WEAP_RAW!$A$3,"Variable",L$2,"Escenario",L$1,"Branch","Demand Sites and Catchments\"&amp;$D767),0)</f>
        <v>0</v>
      </c>
    </row>
    <row r="768" spans="4:12">
      <c r="D768" s="53"/>
      <c r="G768" s="51"/>
      <c r="H768" s="99">
        <f>IFERROR(GETPIVOTDATA("Value",TD_WEAP_RAW!$A$3,"Variable",H$2,"Escenario",H$1,"Branch","Demand Sites and Catchments\"&amp;$D768),0)</f>
        <v>0</v>
      </c>
      <c r="I768" s="99">
        <f>IFERROR(GETPIVOTDATA("Value",TD_WEAP_RAW!$A$3,"Variable",I$2,"Escenario",I$1,"Branch","Demand Sites and Catchments\"&amp;$D768),0)</f>
        <v>0</v>
      </c>
      <c r="J768" s="99"/>
      <c r="K768" s="99">
        <f>IFERROR(GETPIVOTDATA("Value",TD_WEAP_RAW!$A$3,"Variable",K$2,"Escenario",K$1,"Branch","Demand Sites and Catchments\"&amp;$D768),0)</f>
        <v>0</v>
      </c>
      <c r="L768" s="99">
        <f>IFERROR(GETPIVOTDATA("Value",TD_WEAP_RAW!$A$3,"Variable",L$2,"Escenario",L$1,"Branch","Demand Sites and Catchments\"&amp;$D768),0)</f>
        <v>0</v>
      </c>
    </row>
    <row r="769" spans="4:12">
      <c r="D769" s="53"/>
      <c r="G769" s="51"/>
      <c r="H769" s="99">
        <f>IFERROR(GETPIVOTDATA("Value",TD_WEAP_RAW!$A$3,"Variable",H$2,"Escenario",H$1,"Branch","Demand Sites and Catchments\"&amp;$D769),0)</f>
        <v>0</v>
      </c>
      <c r="I769" s="99">
        <f>IFERROR(GETPIVOTDATA("Value",TD_WEAP_RAW!$A$3,"Variable",I$2,"Escenario",I$1,"Branch","Demand Sites and Catchments\"&amp;$D769),0)</f>
        <v>0</v>
      </c>
      <c r="J769" s="99"/>
      <c r="K769" s="99">
        <f>IFERROR(GETPIVOTDATA("Value",TD_WEAP_RAW!$A$3,"Variable",K$2,"Escenario",K$1,"Branch","Demand Sites and Catchments\"&amp;$D769),0)</f>
        <v>0</v>
      </c>
      <c r="L769" s="99">
        <f>IFERROR(GETPIVOTDATA("Value",TD_WEAP_RAW!$A$3,"Variable",L$2,"Escenario",L$1,"Branch","Demand Sites and Catchments\"&amp;$D769),0)</f>
        <v>0</v>
      </c>
    </row>
    <row r="770" spans="4:12">
      <c r="D770" s="53"/>
      <c r="G770" s="51"/>
      <c r="H770" s="99">
        <f>IFERROR(GETPIVOTDATA("Value",TD_WEAP_RAW!$A$3,"Variable",H$2,"Escenario",H$1,"Branch","Demand Sites and Catchments\"&amp;$D770),0)</f>
        <v>0</v>
      </c>
      <c r="I770" s="99">
        <f>IFERROR(GETPIVOTDATA("Value",TD_WEAP_RAW!$A$3,"Variable",I$2,"Escenario",I$1,"Branch","Demand Sites and Catchments\"&amp;$D770),0)</f>
        <v>0</v>
      </c>
      <c r="J770" s="99"/>
      <c r="K770" s="99">
        <f>IFERROR(GETPIVOTDATA("Value",TD_WEAP_RAW!$A$3,"Variable",K$2,"Escenario",K$1,"Branch","Demand Sites and Catchments\"&amp;$D770),0)</f>
        <v>0</v>
      </c>
      <c r="L770" s="99">
        <f>IFERROR(GETPIVOTDATA("Value",TD_WEAP_RAW!$A$3,"Variable",L$2,"Escenario",L$1,"Branch","Demand Sites and Catchments\"&amp;$D770),0)</f>
        <v>0</v>
      </c>
    </row>
    <row r="771" spans="4:12">
      <c r="D771" s="53"/>
      <c r="G771" s="51"/>
      <c r="H771" s="99">
        <f>IFERROR(GETPIVOTDATA("Value",TD_WEAP_RAW!$A$3,"Variable",H$2,"Escenario",H$1,"Branch","Demand Sites and Catchments\"&amp;$D771),0)</f>
        <v>0</v>
      </c>
      <c r="I771" s="99">
        <f>IFERROR(GETPIVOTDATA("Value",TD_WEAP_RAW!$A$3,"Variable",I$2,"Escenario",I$1,"Branch","Demand Sites and Catchments\"&amp;$D771),0)</f>
        <v>0</v>
      </c>
      <c r="J771" s="99"/>
      <c r="K771" s="99">
        <f>IFERROR(GETPIVOTDATA("Value",TD_WEAP_RAW!$A$3,"Variable",K$2,"Escenario",K$1,"Branch","Demand Sites and Catchments\"&amp;$D771),0)</f>
        <v>0</v>
      </c>
      <c r="L771" s="99">
        <f>IFERROR(GETPIVOTDATA("Value",TD_WEAP_RAW!$A$3,"Variable",L$2,"Escenario",L$1,"Branch","Demand Sites and Catchments\"&amp;$D771),0)</f>
        <v>0</v>
      </c>
    </row>
    <row r="772" spans="4:12">
      <c r="D772" s="53"/>
      <c r="G772" s="51"/>
      <c r="H772" s="99">
        <f>IFERROR(GETPIVOTDATA("Value",TD_WEAP_RAW!$A$3,"Variable",H$2,"Escenario",H$1,"Branch","Demand Sites and Catchments\"&amp;$D772),0)</f>
        <v>0</v>
      </c>
      <c r="I772" s="99">
        <f>IFERROR(GETPIVOTDATA("Value",TD_WEAP_RAW!$A$3,"Variable",I$2,"Escenario",I$1,"Branch","Demand Sites and Catchments\"&amp;$D772),0)</f>
        <v>0</v>
      </c>
      <c r="J772" s="99"/>
      <c r="K772" s="99">
        <f>IFERROR(GETPIVOTDATA("Value",TD_WEAP_RAW!$A$3,"Variable",K$2,"Escenario",K$1,"Branch","Demand Sites and Catchments\"&amp;$D772),0)</f>
        <v>0</v>
      </c>
      <c r="L772" s="99">
        <f>IFERROR(GETPIVOTDATA("Value",TD_WEAP_RAW!$A$3,"Variable",L$2,"Escenario",L$1,"Branch","Demand Sites and Catchments\"&amp;$D772),0)</f>
        <v>0</v>
      </c>
    </row>
    <row r="773" spans="4:12">
      <c r="D773" s="53"/>
      <c r="G773" s="51"/>
      <c r="H773" s="99">
        <f>IFERROR(GETPIVOTDATA("Value",TD_WEAP_RAW!$A$3,"Variable",H$2,"Escenario",H$1,"Branch","Demand Sites and Catchments\"&amp;$D773),0)</f>
        <v>0</v>
      </c>
      <c r="I773" s="99">
        <f>IFERROR(GETPIVOTDATA("Value",TD_WEAP_RAW!$A$3,"Variable",I$2,"Escenario",I$1,"Branch","Demand Sites and Catchments\"&amp;$D773),0)</f>
        <v>0</v>
      </c>
      <c r="J773" s="99"/>
      <c r="K773" s="99">
        <f>IFERROR(GETPIVOTDATA("Value",TD_WEAP_RAW!$A$3,"Variable",K$2,"Escenario",K$1,"Branch","Demand Sites and Catchments\"&amp;$D773),0)</f>
        <v>0</v>
      </c>
      <c r="L773" s="99">
        <f>IFERROR(GETPIVOTDATA("Value",TD_WEAP_RAW!$A$3,"Variable",L$2,"Escenario",L$1,"Branch","Demand Sites and Catchments\"&amp;$D773),0)</f>
        <v>0</v>
      </c>
    </row>
    <row r="774" spans="4:12">
      <c r="D774" s="53"/>
      <c r="G774" s="51"/>
      <c r="H774" s="99">
        <f>IFERROR(GETPIVOTDATA("Value",TD_WEAP_RAW!$A$3,"Variable",H$2,"Escenario",H$1,"Branch","Demand Sites and Catchments\"&amp;$D774),0)</f>
        <v>0</v>
      </c>
      <c r="I774" s="99">
        <f>IFERROR(GETPIVOTDATA("Value",TD_WEAP_RAW!$A$3,"Variable",I$2,"Escenario",I$1,"Branch","Demand Sites and Catchments\"&amp;$D774),0)</f>
        <v>0</v>
      </c>
      <c r="J774" s="99"/>
      <c r="K774" s="99">
        <f>IFERROR(GETPIVOTDATA("Value",TD_WEAP_RAW!$A$3,"Variable",K$2,"Escenario",K$1,"Branch","Demand Sites and Catchments\"&amp;$D774),0)</f>
        <v>0</v>
      </c>
      <c r="L774" s="99">
        <f>IFERROR(GETPIVOTDATA("Value",TD_WEAP_RAW!$A$3,"Variable",L$2,"Escenario",L$1,"Branch","Demand Sites and Catchments\"&amp;$D774),0)</f>
        <v>0</v>
      </c>
    </row>
    <row r="775" spans="4:12">
      <c r="D775" s="53"/>
      <c r="G775" s="51"/>
      <c r="H775" s="99">
        <f>IFERROR(GETPIVOTDATA("Value",TD_WEAP_RAW!$A$3,"Variable",H$2,"Escenario",H$1,"Branch","Demand Sites and Catchments\"&amp;$D775),0)</f>
        <v>0</v>
      </c>
      <c r="I775" s="99">
        <f>IFERROR(GETPIVOTDATA("Value",TD_WEAP_RAW!$A$3,"Variable",I$2,"Escenario",I$1,"Branch","Demand Sites and Catchments\"&amp;$D775),0)</f>
        <v>0</v>
      </c>
      <c r="J775" s="99"/>
      <c r="K775" s="99">
        <f>IFERROR(GETPIVOTDATA("Value",TD_WEAP_RAW!$A$3,"Variable",K$2,"Escenario",K$1,"Branch","Demand Sites and Catchments\"&amp;$D775),0)</f>
        <v>0</v>
      </c>
      <c r="L775" s="99">
        <f>IFERROR(GETPIVOTDATA("Value",TD_WEAP_RAW!$A$3,"Variable",L$2,"Escenario",L$1,"Branch","Demand Sites and Catchments\"&amp;$D775),0)</f>
        <v>0</v>
      </c>
    </row>
    <row r="776" spans="4:12">
      <c r="D776" s="53"/>
      <c r="G776" s="51"/>
      <c r="H776" s="99">
        <f>IFERROR(GETPIVOTDATA("Value",TD_WEAP_RAW!$A$3,"Variable",H$2,"Escenario",H$1,"Branch","Demand Sites and Catchments\"&amp;$D776),0)</f>
        <v>0</v>
      </c>
      <c r="I776" s="99">
        <f>IFERROR(GETPIVOTDATA("Value",TD_WEAP_RAW!$A$3,"Variable",I$2,"Escenario",I$1,"Branch","Demand Sites and Catchments\"&amp;$D776),0)</f>
        <v>0</v>
      </c>
      <c r="J776" s="99"/>
      <c r="K776" s="99">
        <f>IFERROR(GETPIVOTDATA("Value",TD_WEAP_RAW!$A$3,"Variable",K$2,"Escenario",K$1,"Branch","Demand Sites and Catchments\"&amp;$D776),0)</f>
        <v>0</v>
      </c>
      <c r="L776" s="99">
        <f>IFERROR(GETPIVOTDATA("Value",TD_WEAP_RAW!$A$3,"Variable",L$2,"Escenario",L$1,"Branch","Demand Sites and Catchments\"&amp;$D776),0)</f>
        <v>0</v>
      </c>
    </row>
    <row r="777" spans="4:12">
      <c r="D777" s="53"/>
      <c r="G777" s="51"/>
      <c r="H777" s="99">
        <f>IFERROR(GETPIVOTDATA("Value",TD_WEAP_RAW!$A$3,"Variable",H$2,"Escenario",H$1,"Branch","Demand Sites and Catchments\"&amp;$D777),0)</f>
        <v>0</v>
      </c>
      <c r="I777" s="99">
        <f>IFERROR(GETPIVOTDATA("Value",TD_WEAP_RAW!$A$3,"Variable",I$2,"Escenario",I$1,"Branch","Demand Sites and Catchments\"&amp;$D777),0)</f>
        <v>0</v>
      </c>
      <c r="J777" s="99"/>
      <c r="K777" s="99">
        <f>IFERROR(GETPIVOTDATA("Value",TD_WEAP_RAW!$A$3,"Variable",K$2,"Escenario",K$1,"Branch","Demand Sites and Catchments\"&amp;$D777),0)</f>
        <v>0</v>
      </c>
      <c r="L777" s="99">
        <f>IFERROR(GETPIVOTDATA("Value",TD_WEAP_RAW!$A$3,"Variable",L$2,"Escenario",L$1,"Branch","Demand Sites and Catchments\"&amp;$D777),0)</f>
        <v>0</v>
      </c>
    </row>
    <row r="778" spans="4:12">
      <c r="D778" s="53"/>
      <c r="G778" s="51"/>
      <c r="H778" s="99">
        <f>IFERROR(GETPIVOTDATA("Value",TD_WEAP_RAW!$A$3,"Variable",H$2,"Escenario",H$1,"Branch","Demand Sites and Catchments\"&amp;$D778),0)</f>
        <v>0</v>
      </c>
      <c r="I778" s="99">
        <f>IFERROR(GETPIVOTDATA("Value",TD_WEAP_RAW!$A$3,"Variable",I$2,"Escenario",I$1,"Branch","Demand Sites and Catchments\"&amp;$D778),0)</f>
        <v>0</v>
      </c>
      <c r="J778" s="99"/>
      <c r="K778" s="99">
        <f>IFERROR(GETPIVOTDATA("Value",TD_WEAP_RAW!$A$3,"Variable",K$2,"Escenario",K$1,"Branch","Demand Sites and Catchments\"&amp;$D778),0)</f>
        <v>0</v>
      </c>
      <c r="L778" s="99">
        <f>IFERROR(GETPIVOTDATA("Value",TD_WEAP_RAW!$A$3,"Variable",L$2,"Escenario",L$1,"Branch","Demand Sites and Catchments\"&amp;$D778),0)</f>
        <v>0</v>
      </c>
    </row>
    <row r="779" spans="4:12">
      <c r="D779" s="53"/>
      <c r="G779" s="51"/>
      <c r="H779" s="99">
        <f>IFERROR(GETPIVOTDATA("Value",TD_WEAP_RAW!$A$3,"Variable",H$2,"Escenario",H$1,"Branch","Demand Sites and Catchments\"&amp;$D779),0)</f>
        <v>0</v>
      </c>
      <c r="I779" s="99">
        <f>IFERROR(GETPIVOTDATA("Value",TD_WEAP_RAW!$A$3,"Variable",I$2,"Escenario",I$1,"Branch","Demand Sites and Catchments\"&amp;$D779),0)</f>
        <v>0</v>
      </c>
      <c r="J779" s="99"/>
      <c r="K779" s="99">
        <f>IFERROR(GETPIVOTDATA("Value",TD_WEAP_RAW!$A$3,"Variable",K$2,"Escenario",K$1,"Branch","Demand Sites and Catchments\"&amp;$D779),0)</f>
        <v>0</v>
      </c>
      <c r="L779" s="99">
        <f>IFERROR(GETPIVOTDATA("Value",TD_WEAP_RAW!$A$3,"Variable",L$2,"Escenario",L$1,"Branch","Demand Sites and Catchments\"&amp;$D779),0)</f>
        <v>0</v>
      </c>
    </row>
    <row r="780" spans="4:12">
      <c r="D780" s="53"/>
      <c r="G780" s="51"/>
      <c r="H780" s="99">
        <f>IFERROR(GETPIVOTDATA("Value",TD_WEAP_RAW!$A$3,"Variable",H$2,"Escenario",H$1,"Branch","Demand Sites and Catchments\"&amp;$D780),0)</f>
        <v>0</v>
      </c>
      <c r="I780" s="99">
        <f>IFERROR(GETPIVOTDATA("Value",TD_WEAP_RAW!$A$3,"Variable",I$2,"Escenario",I$1,"Branch","Demand Sites and Catchments\"&amp;$D780),0)</f>
        <v>0</v>
      </c>
      <c r="J780" s="99"/>
      <c r="K780" s="99">
        <f>IFERROR(GETPIVOTDATA("Value",TD_WEAP_RAW!$A$3,"Variable",K$2,"Escenario",K$1,"Branch","Demand Sites and Catchments\"&amp;$D780),0)</f>
        <v>0</v>
      </c>
      <c r="L780" s="99">
        <f>IFERROR(GETPIVOTDATA("Value",TD_WEAP_RAW!$A$3,"Variable",L$2,"Escenario",L$1,"Branch","Demand Sites and Catchments\"&amp;$D780),0)</f>
        <v>0</v>
      </c>
    </row>
    <row r="781" spans="4:12">
      <c r="D781" s="53"/>
      <c r="G781" s="51"/>
      <c r="H781" s="99">
        <f>IFERROR(GETPIVOTDATA("Value",TD_WEAP_RAW!$A$3,"Variable",H$2,"Escenario",H$1,"Branch","Demand Sites and Catchments\"&amp;$D781),0)</f>
        <v>0</v>
      </c>
      <c r="I781" s="99">
        <f>IFERROR(GETPIVOTDATA("Value",TD_WEAP_RAW!$A$3,"Variable",I$2,"Escenario",I$1,"Branch","Demand Sites and Catchments\"&amp;$D781),0)</f>
        <v>0</v>
      </c>
      <c r="J781" s="99"/>
      <c r="K781" s="99">
        <f>IFERROR(GETPIVOTDATA("Value",TD_WEAP_RAW!$A$3,"Variable",K$2,"Escenario",K$1,"Branch","Demand Sites and Catchments\"&amp;$D781),0)</f>
        <v>0</v>
      </c>
      <c r="L781" s="99">
        <f>IFERROR(GETPIVOTDATA("Value",TD_WEAP_RAW!$A$3,"Variable",L$2,"Escenario",L$1,"Branch","Demand Sites and Catchments\"&amp;$D781),0)</f>
        <v>0</v>
      </c>
    </row>
    <row r="782" spans="4:12">
      <c r="D782" s="53"/>
      <c r="G782" s="51"/>
      <c r="H782" s="99">
        <f>IFERROR(GETPIVOTDATA("Value",TD_WEAP_RAW!$A$3,"Variable",H$2,"Escenario",H$1,"Branch","Demand Sites and Catchments\"&amp;$D782),0)</f>
        <v>0</v>
      </c>
      <c r="I782" s="99">
        <f>IFERROR(GETPIVOTDATA("Value",TD_WEAP_RAW!$A$3,"Variable",I$2,"Escenario",I$1,"Branch","Demand Sites and Catchments\"&amp;$D782),0)</f>
        <v>0</v>
      </c>
      <c r="J782" s="99"/>
      <c r="K782" s="99">
        <f>IFERROR(GETPIVOTDATA("Value",TD_WEAP_RAW!$A$3,"Variable",K$2,"Escenario",K$1,"Branch","Demand Sites and Catchments\"&amp;$D782),0)</f>
        <v>0</v>
      </c>
      <c r="L782" s="99">
        <f>IFERROR(GETPIVOTDATA("Value",TD_WEAP_RAW!$A$3,"Variable",L$2,"Escenario",L$1,"Branch","Demand Sites and Catchments\"&amp;$D782),0)</f>
        <v>0</v>
      </c>
    </row>
    <row r="783" spans="4:12">
      <c r="D783" s="53"/>
      <c r="G783" s="51"/>
      <c r="H783" s="99">
        <f>IFERROR(GETPIVOTDATA("Value",TD_WEAP_RAW!$A$3,"Variable",H$2,"Escenario",H$1,"Branch","Demand Sites and Catchments\"&amp;$D783),0)</f>
        <v>0</v>
      </c>
      <c r="I783" s="99">
        <f>IFERROR(GETPIVOTDATA("Value",TD_WEAP_RAW!$A$3,"Variable",I$2,"Escenario",I$1,"Branch","Demand Sites and Catchments\"&amp;$D783),0)</f>
        <v>0</v>
      </c>
      <c r="J783" s="99"/>
      <c r="K783" s="99">
        <f>IFERROR(GETPIVOTDATA("Value",TD_WEAP_RAW!$A$3,"Variable",K$2,"Escenario",K$1,"Branch","Demand Sites and Catchments\"&amp;$D783),0)</f>
        <v>0</v>
      </c>
      <c r="L783" s="99">
        <f>IFERROR(GETPIVOTDATA("Value",TD_WEAP_RAW!$A$3,"Variable",L$2,"Escenario",L$1,"Branch","Demand Sites and Catchments\"&amp;$D783),0)</f>
        <v>0</v>
      </c>
    </row>
    <row r="784" spans="4:12">
      <c r="D784" s="53"/>
      <c r="G784" s="51"/>
      <c r="H784" s="99">
        <f>IFERROR(GETPIVOTDATA("Value",TD_WEAP_RAW!$A$3,"Variable",H$2,"Escenario",H$1,"Branch","Demand Sites and Catchments\"&amp;$D784),0)</f>
        <v>0</v>
      </c>
      <c r="I784" s="99">
        <f>IFERROR(GETPIVOTDATA("Value",TD_WEAP_RAW!$A$3,"Variable",I$2,"Escenario",I$1,"Branch","Demand Sites and Catchments\"&amp;$D784),0)</f>
        <v>0</v>
      </c>
      <c r="J784" s="99"/>
      <c r="K784" s="99">
        <f>IFERROR(GETPIVOTDATA("Value",TD_WEAP_RAW!$A$3,"Variable",K$2,"Escenario",K$1,"Branch","Demand Sites and Catchments\"&amp;$D784),0)</f>
        <v>0</v>
      </c>
      <c r="L784" s="99">
        <f>IFERROR(GETPIVOTDATA("Value",TD_WEAP_RAW!$A$3,"Variable",L$2,"Escenario",L$1,"Branch","Demand Sites and Catchments\"&amp;$D784),0)</f>
        <v>0</v>
      </c>
    </row>
    <row r="785" spans="4:12">
      <c r="D785" s="53"/>
      <c r="G785" s="51"/>
      <c r="H785" s="99">
        <f>IFERROR(GETPIVOTDATA("Value",TD_WEAP_RAW!$A$3,"Variable",H$2,"Escenario",H$1,"Branch","Demand Sites and Catchments\"&amp;$D785),0)</f>
        <v>0</v>
      </c>
      <c r="I785" s="99">
        <f>IFERROR(GETPIVOTDATA("Value",TD_WEAP_RAW!$A$3,"Variable",I$2,"Escenario",I$1,"Branch","Demand Sites and Catchments\"&amp;$D785),0)</f>
        <v>0</v>
      </c>
      <c r="J785" s="99"/>
      <c r="K785" s="99">
        <f>IFERROR(GETPIVOTDATA("Value",TD_WEAP_RAW!$A$3,"Variable",K$2,"Escenario",K$1,"Branch","Demand Sites and Catchments\"&amp;$D785),0)</f>
        <v>0</v>
      </c>
      <c r="L785" s="99">
        <f>IFERROR(GETPIVOTDATA("Value",TD_WEAP_RAW!$A$3,"Variable",L$2,"Escenario",L$1,"Branch","Demand Sites and Catchments\"&amp;$D785),0)</f>
        <v>0</v>
      </c>
    </row>
    <row r="786" spans="4:12">
      <c r="D786" s="53"/>
      <c r="G786" s="51"/>
      <c r="H786" s="99">
        <f>IFERROR(GETPIVOTDATA("Value",TD_WEAP_RAW!$A$3,"Variable",H$2,"Escenario",H$1,"Branch","Demand Sites and Catchments\"&amp;$D786),0)</f>
        <v>0</v>
      </c>
      <c r="I786" s="99">
        <f>IFERROR(GETPIVOTDATA("Value",TD_WEAP_RAW!$A$3,"Variable",I$2,"Escenario",I$1,"Branch","Demand Sites and Catchments\"&amp;$D786),0)</f>
        <v>0</v>
      </c>
      <c r="J786" s="99"/>
      <c r="K786" s="99">
        <f>IFERROR(GETPIVOTDATA("Value",TD_WEAP_RAW!$A$3,"Variable",K$2,"Escenario",K$1,"Branch","Demand Sites and Catchments\"&amp;$D786),0)</f>
        <v>0</v>
      </c>
      <c r="L786" s="99">
        <f>IFERROR(GETPIVOTDATA("Value",TD_WEAP_RAW!$A$3,"Variable",L$2,"Escenario",L$1,"Branch","Demand Sites and Catchments\"&amp;$D786),0)</f>
        <v>0</v>
      </c>
    </row>
    <row r="787" spans="4:12">
      <c r="D787" s="53"/>
      <c r="G787" s="51"/>
      <c r="H787" s="99">
        <f>IFERROR(GETPIVOTDATA("Value",TD_WEAP_RAW!$A$3,"Variable",H$2,"Escenario",H$1,"Branch","Demand Sites and Catchments\"&amp;$D787),0)</f>
        <v>0</v>
      </c>
      <c r="I787" s="99">
        <f>IFERROR(GETPIVOTDATA("Value",TD_WEAP_RAW!$A$3,"Variable",I$2,"Escenario",I$1,"Branch","Demand Sites and Catchments\"&amp;$D787),0)</f>
        <v>0</v>
      </c>
      <c r="J787" s="99"/>
      <c r="K787" s="99">
        <f>IFERROR(GETPIVOTDATA("Value",TD_WEAP_RAW!$A$3,"Variable",K$2,"Escenario",K$1,"Branch","Demand Sites and Catchments\"&amp;$D787),0)</f>
        <v>0</v>
      </c>
      <c r="L787" s="99">
        <f>IFERROR(GETPIVOTDATA("Value",TD_WEAP_RAW!$A$3,"Variable",L$2,"Escenario",L$1,"Branch","Demand Sites and Catchments\"&amp;$D787),0)</f>
        <v>0</v>
      </c>
    </row>
    <row r="788" spans="4:12">
      <c r="D788" s="53"/>
      <c r="G788" s="51"/>
      <c r="H788" s="99">
        <f>IFERROR(GETPIVOTDATA("Value",TD_WEAP_RAW!$A$3,"Variable",H$2,"Escenario",H$1,"Branch","Demand Sites and Catchments\"&amp;$D788),0)</f>
        <v>0</v>
      </c>
      <c r="I788" s="99">
        <f>IFERROR(GETPIVOTDATA("Value",TD_WEAP_RAW!$A$3,"Variable",I$2,"Escenario",I$1,"Branch","Demand Sites and Catchments\"&amp;$D788),0)</f>
        <v>0</v>
      </c>
      <c r="J788" s="99"/>
      <c r="K788" s="99">
        <f>IFERROR(GETPIVOTDATA("Value",TD_WEAP_RAW!$A$3,"Variable",K$2,"Escenario",K$1,"Branch","Demand Sites and Catchments\"&amp;$D788),0)</f>
        <v>0</v>
      </c>
      <c r="L788" s="99">
        <f>IFERROR(GETPIVOTDATA("Value",TD_WEAP_RAW!$A$3,"Variable",L$2,"Escenario",L$1,"Branch","Demand Sites and Catchments\"&amp;$D788),0)</f>
        <v>0</v>
      </c>
    </row>
    <row r="789" spans="4:12">
      <c r="D789" s="53"/>
      <c r="G789" s="51"/>
      <c r="H789" s="99">
        <f>IFERROR(GETPIVOTDATA("Value",TD_WEAP_RAW!$A$3,"Variable",H$2,"Escenario",H$1,"Branch","Demand Sites and Catchments\"&amp;$D789),0)</f>
        <v>0</v>
      </c>
      <c r="I789" s="99">
        <f>IFERROR(GETPIVOTDATA("Value",TD_WEAP_RAW!$A$3,"Variable",I$2,"Escenario",I$1,"Branch","Demand Sites and Catchments\"&amp;$D789),0)</f>
        <v>0</v>
      </c>
      <c r="J789" s="99"/>
      <c r="K789" s="99">
        <f>IFERROR(GETPIVOTDATA("Value",TD_WEAP_RAW!$A$3,"Variable",K$2,"Escenario",K$1,"Branch","Demand Sites and Catchments\"&amp;$D789),0)</f>
        <v>0</v>
      </c>
      <c r="L789" s="99">
        <f>IFERROR(GETPIVOTDATA("Value",TD_WEAP_RAW!$A$3,"Variable",L$2,"Escenario",L$1,"Branch","Demand Sites and Catchments\"&amp;$D789),0)</f>
        <v>0</v>
      </c>
    </row>
    <row r="790" spans="4:12">
      <c r="D790" s="53"/>
      <c r="G790" s="51"/>
      <c r="H790" s="99">
        <f>IFERROR(GETPIVOTDATA("Value",TD_WEAP_RAW!$A$3,"Variable",H$2,"Escenario",H$1,"Branch","Demand Sites and Catchments\"&amp;$D790),0)</f>
        <v>0</v>
      </c>
      <c r="I790" s="99">
        <f>IFERROR(GETPIVOTDATA("Value",TD_WEAP_RAW!$A$3,"Variable",I$2,"Escenario",I$1,"Branch","Demand Sites and Catchments\"&amp;$D790),0)</f>
        <v>0</v>
      </c>
      <c r="J790" s="99"/>
      <c r="K790" s="99">
        <f>IFERROR(GETPIVOTDATA("Value",TD_WEAP_RAW!$A$3,"Variable",K$2,"Escenario",K$1,"Branch","Demand Sites and Catchments\"&amp;$D790),0)</f>
        <v>0</v>
      </c>
      <c r="L790" s="99">
        <f>IFERROR(GETPIVOTDATA("Value",TD_WEAP_RAW!$A$3,"Variable",L$2,"Escenario",L$1,"Branch","Demand Sites and Catchments\"&amp;$D790),0)</f>
        <v>0</v>
      </c>
    </row>
    <row r="791" spans="4:12">
      <c r="D791" s="53"/>
      <c r="G791" s="51"/>
      <c r="H791" s="99">
        <f>IFERROR(GETPIVOTDATA("Value",TD_WEAP_RAW!$A$3,"Variable",H$2,"Escenario",H$1,"Branch","Demand Sites and Catchments\"&amp;$D791),0)</f>
        <v>0</v>
      </c>
      <c r="I791" s="99">
        <f>IFERROR(GETPIVOTDATA("Value",TD_WEAP_RAW!$A$3,"Variable",I$2,"Escenario",I$1,"Branch","Demand Sites and Catchments\"&amp;$D791),0)</f>
        <v>0</v>
      </c>
      <c r="J791" s="99"/>
      <c r="K791" s="99">
        <f>IFERROR(GETPIVOTDATA("Value",TD_WEAP_RAW!$A$3,"Variable",K$2,"Escenario",K$1,"Branch","Demand Sites and Catchments\"&amp;$D791),0)</f>
        <v>0</v>
      </c>
      <c r="L791" s="99">
        <f>IFERROR(GETPIVOTDATA("Value",TD_WEAP_RAW!$A$3,"Variable",L$2,"Escenario",L$1,"Branch","Demand Sites and Catchments\"&amp;$D791),0)</f>
        <v>0</v>
      </c>
    </row>
    <row r="792" spans="4:12">
      <c r="D792" s="53"/>
      <c r="G792" s="51"/>
      <c r="H792" s="99">
        <f>IFERROR(GETPIVOTDATA("Value",TD_WEAP_RAW!$A$3,"Variable",H$2,"Escenario",H$1,"Branch","Demand Sites and Catchments\"&amp;$D792),0)</f>
        <v>0</v>
      </c>
      <c r="I792" s="99">
        <f>IFERROR(GETPIVOTDATA("Value",TD_WEAP_RAW!$A$3,"Variable",I$2,"Escenario",I$1,"Branch","Demand Sites and Catchments\"&amp;$D792),0)</f>
        <v>0</v>
      </c>
      <c r="J792" s="99"/>
      <c r="K792" s="99">
        <f>IFERROR(GETPIVOTDATA("Value",TD_WEAP_RAW!$A$3,"Variable",K$2,"Escenario",K$1,"Branch","Demand Sites and Catchments\"&amp;$D792),0)</f>
        <v>0</v>
      </c>
      <c r="L792" s="99">
        <f>IFERROR(GETPIVOTDATA("Value",TD_WEAP_RAW!$A$3,"Variable",L$2,"Escenario",L$1,"Branch","Demand Sites and Catchments\"&amp;$D792),0)</f>
        <v>0</v>
      </c>
    </row>
    <row r="793" spans="4:12">
      <c r="D793" s="53"/>
      <c r="G793" s="51"/>
      <c r="H793" s="99">
        <f>IFERROR(GETPIVOTDATA("Value",TD_WEAP_RAW!$A$3,"Variable",H$2,"Escenario",H$1,"Branch","Demand Sites and Catchments\"&amp;$D793),0)</f>
        <v>0</v>
      </c>
      <c r="I793" s="99">
        <f>IFERROR(GETPIVOTDATA("Value",TD_WEAP_RAW!$A$3,"Variable",I$2,"Escenario",I$1,"Branch","Demand Sites and Catchments\"&amp;$D793),0)</f>
        <v>0</v>
      </c>
      <c r="J793" s="99"/>
      <c r="K793" s="99">
        <f>IFERROR(GETPIVOTDATA("Value",TD_WEAP_RAW!$A$3,"Variable",K$2,"Escenario",K$1,"Branch","Demand Sites and Catchments\"&amp;$D793),0)</f>
        <v>0</v>
      </c>
      <c r="L793" s="99">
        <f>IFERROR(GETPIVOTDATA("Value",TD_WEAP_RAW!$A$3,"Variable",L$2,"Escenario",L$1,"Branch","Demand Sites and Catchments\"&amp;$D793),0)</f>
        <v>0</v>
      </c>
    </row>
    <row r="794" spans="4:12">
      <c r="D794" s="53"/>
      <c r="G794" s="51"/>
      <c r="H794" s="99">
        <f>IFERROR(GETPIVOTDATA("Value",TD_WEAP_RAW!$A$3,"Variable",H$2,"Escenario",H$1,"Branch","Demand Sites and Catchments\"&amp;$D794),0)</f>
        <v>0</v>
      </c>
      <c r="I794" s="99">
        <f>IFERROR(GETPIVOTDATA("Value",TD_WEAP_RAW!$A$3,"Variable",I$2,"Escenario",I$1,"Branch","Demand Sites and Catchments\"&amp;$D794),0)</f>
        <v>0</v>
      </c>
      <c r="J794" s="99"/>
      <c r="K794" s="99">
        <f>IFERROR(GETPIVOTDATA("Value",TD_WEAP_RAW!$A$3,"Variable",K$2,"Escenario",K$1,"Branch","Demand Sites and Catchments\"&amp;$D794),0)</f>
        <v>0</v>
      </c>
      <c r="L794" s="99">
        <f>IFERROR(GETPIVOTDATA("Value",TD_WEAP_RAW!$A$3,"Variable",L$2,"Escenario",L$1,"Branch","Demand Sites and Catchments\"&amp;$D794),0)</f>
        <v>0</v>
      </c>
    </row>
    <row r="795" spans="4:12">
      <c r="D795" s="53"/>
      <c r="G795" s="51"/>
      <c r="H795" s="99">
        <f>IFERROR(GETPIVOTDATA("Value",TD_WEAP_RAW!$A$3,"Variable",H$2,"Escenario",H$1,"Branch","Demand Sites and Catchments\"&amp;$D795),0)</f>
        <v>0</v>
      </c>
      <c r="I795" s="99">
        <f>IFERROR(GETPIVOTDATA("Value",TD_WEAP_RAW!$A$3,"Variable",I$2,"Escenario",I$1,"Branch","Demand Sites and Catchments\"&amp;$D795),0)</f>
        <v>0</v>
      </c>
      <c r="J795" s="99"/>
      <c r="K795" s="99">
        <f>IFERROR(GETPIVOTDATA("Value",TD_WEAP_RAW!$A$3,"Variable",K$2,"Escenario",K$1,"Branch","Demand Sites and Catchments\"&amp;$D795),0)</f>
        <v>0</v>
      </c>
      <c r="L795" s="99">
        <f>IFERROR(GETPIVOTDATA("Value",TD_WEAP_RAW!$A$3,"Variable",L$2,"Escenario",L$1,"Branch","Demand Sites and Catchments\"&amp;$D795),0)</f>
        <v>0</v>
      </c>
    </row>
    <row r="796" spans="4:12">
      <c r="D796" s="53"/>
      <c r="G796" s="51"/>
      <c r="H796" s="99">
        <f>IFERROR(GETPIVOTDATA("Value",TD_WEAP_RAW!$A$3,"Variable",H$2,"Escenario",H$1,"Branch","Demand Sites and Catchments\"&amp;$D796),0)</f>
        <v>0</v>
      </c>
      <c r="I796" s="99">
        <f>IFERROR(GETPIVOTDATA("Value",TD_WEAP_RAW!$A$3,"Variable",I$2,"Escenario",I$1,"Branch","Demand Sites and Catchments\"&amp;$D796),0)</f>
        <v>0</v>
      </c>
      <c r="J796" s="99"/>
      <c r="K796" s="99">
        <f>IFERROR(GETPIVOTDATA("Value",TD_WEAP_RAW!$A$3,"Variable",K$2,"Escenario",K$1,"Branch","Demand Sites and Catchments\"&amp;$D796),0)</f>
        <v>0</v>
      </c>
      <c r="L796" s="99">
        <f>IFERROR(GETPIVOTDATA("Value",TD_WEAP_RAW!$A$3,"Variable",L$2,"Escenario",L$1,"Branch","Demand Sites and Catchments\"&amp;$D796),0)</f>
        <v>0</v>
      </c>
    </row>
    <row r="797" spans="4:12">
      <c r="D797" s="53"/>
      <c r="G797" s="51"/>
      <c r="H797" s="99">
        <f>IFERROR(GETPIVOTDATA("Value",TD_WEAP_RAW!$A$3,"Variable",H$2,"Escenario",H$1,"Branch","Demand Sites and Catchments\"&amp;$D797),0)</f>
        <v>0</v>
      </c>
      <c r="I797" s="99">
        <f>IFERROR(GETPIVOTDATA("Value",TD_WEAP_RAW!$A$3,"Variable",I$2,"Escenario",I$1,"Branch","Demand Sites and Catchments\"&amp;$D797),0)</f>
        <v>0</v>
      </c>
      <c r="J797" s="99"/>
      <c r="K797" s="99">
        <f>IFERROR(GETPIVOTDATA("Value",TD_WEAP_RAW!$A$3,"Variable",K$2,"Escenario",K$1,"Branch","Demand Sites and Catchments\"&amp;$D797),0)</f>
        <v>0</v>
      </c>
      <c r="L797" s="99">
        <f>IFERROR(GETPIVOTDATA("Value",TD_WEAP_RAW!$A$3,"Variable",L$2,"Escenario",L$1,"Branch","Demand Sites and Catchments\"&amp;$D797),0)</f>
        <v>0</v>
      </c>
    </row>
    <row r="798" spans="4:12">
      <c r="D798" s="53"/>
      <c r="G798" s="51"/>
      <c r="H798" s="99">
        <f>IFERROR(GETPIVOTDATA("Value",TD_WEAP_RAW!$A$3,"Variable",H$2,"Escenario",H$1,"Branch","Demand Sites and Catchments\"&amp;$D798),0)</f>
        <v>0</v>
      </c>
      <c r="I798" s="99">
        <f>IFERROR(GETPIVOTDATA("Value",TD_WEAP_RAW!$A$3,"Variable",I$2,"Escenario",I$1,"Branch","Demand Sites and Catchments\"&amp;$D798),0)</f>
        <v>0</v>
      </c>
      <c r="J798" s="99"/>
      <c r="K798" s="99">
        <f>IFERROR(GETPIVOTDATA("Value",TD_WEAP_RAW!$A$3,"Variable",K$2,"Escenario",K$1,"Branch","Demand Sites and Catchments\"&amp;$D798),0)</f>
        <v>0</v>
      </c>
      <c r="L798" s="99">
        <f>IFERROR(GETPIVOTDATA("Value",TD_WEAP_RAW!$A$3,"Variable",L$2,"Escenario",L$1,"Branch","Demand Sites and Catchments\"&amp;$D798),0)</f>
        <v>0</v>
      </c>
    </row>
    <row r="799" spans="4:12">
      <c r="D799" s="53"/>
      <c r="G799" s="51"/>
      <c r="H799" s="99">
        <f>IFERROR(GETPIVOTDATA("Value",TD_WEAP_RAW!$A$3,"Variable",H$2,"Escenario",H$1,"Branch","Demand Sites and Catchments\"&amp;$D799),0)</f>
        <v>0</v>
      </c>
      <c r="I799" s="99">
        <f>IFERROR(GETPIVOTDATA("Value",TD_WEAP_RAW!$A$3,"Variable",I$2,"Escenario",I$1,"Branch","Demand Sites and Catchments\"&amp;$D799),0)</f>
        <v>0</v>
      </c>
      <c r="J799" s="99"/>
      <c r="K799" s="99">
        <f>IFERROR(GETPIVOTDATA("Value",TD_WEAP_RAW!$A$3,"Variable",K$2,"Escenario",K$1,"Branch","Demand Sites and Catchments\"&amp;$D799),0)</f>
        <v>0</v>
      </c>
      <c r="L799" s="99">
        <f>IFERROR(GETPIVOTDATA("Value",TD_WEAP_RAW!$A$3,"Variable",L$2,"Escenario",L$1,"Branch","Demand Sites and Catchments\"&amp;$D799),0)</f>
        <v>0</v>
      </c>
    </row>
    <row r="800" spans="4:12">
      <c r="D800" s="53"/>
      <c r="G800" s="51"/>
      <c r="H800" s="99">
        <f>IFERROR(GETPIVOTDATA("Value",TD_WEAP_RAW!$A$3,"Variable",H$2,"Escenario",H$1,"Branch","Demand Sites and Catchments\"&amp;$D800),0)</f>
        <v>0</v>
      </c>
      <c r="I800" s="99">
        <f>IFERROR(GETPIVOTDATA("Value",TD_WEAP_RAW!$A$3,"Variable",I$2,"Escenario",I$1,"Branch","Demand Sites and Catchments\"&amp;$D800),0)</f>
        <v>0</v>
      </c>
      <c r="J800" s="99"/>
      <c r="K800" s="99">
        <f>IFERROR(GETPIVOTDATA("Value",TD_WEAP_RAW!$A$3,"Variable",K$2,"Escenario",K$1,"Branch","Demand Sites and Catchments\"&amp;$D800),0)</f>
        <v>0</v>
      </c>
      <c r="L800" s="99">
        <f>IFERROR(GETPIVOTDATA("Value",TD_WEAP_RAW!$A$3,"Variable",L$2,"Escenario",L$1,"Branch","Demand Sites and Catchments\"&amp;$D800),0)</f>
        <v>0</v>
      </c>
    </row>
    <row r="801" spans="4:12">
      <c r="D801" s="53"/>
      <c r="G801" s="51"/>
      <c r="H801" s="99">
        <f>IFERROR(GETPIVOTDATA("Value",TD_WEAP_RAW!$A$3,"Variable",H$2,"Escenario",H$1,"Branch","Demand Sites and Catchments\"&amp;$D801),0)</f>
        <v>0</v>
      </c>
      <c r="I801" s="99">
        <f>IFERROR(GETPIVOTDATA("Value",TD_WEAP_RAW!$A$3,"Variable",I$2,"Escenario",I$1,"Branch","Demand Sites and Catchments\"&amp;$D801),0)</f>
        <v>0</v>
      </c>
      <c r="J801" s="99"/>
      <c r="K801" s="99">
        <f>IFERROR(GETPIVOTDATA("Value",TD_WEAP_RAW!$A$3,"Variable",K$2,"Escenario",K$1,"Branch","Demand Sites and Catchments\"&amp;$D801),0)</f>
        <v>0</v>
      </c>
      <c r="L801" s="99">
        <f>IFERROR(GETPIVOTDATA("Value",TD_WEAP_RAW!$A$3,"Variable",L$2,"Escenario",L$1,"Branch","Demand Sites and Catchments\"&amp;$D801),0)</f>
        <v>0</v>
      </c>
    </row>
    <row r="802" spans="4:12">
      <c r="D802" s="53"/>
      <c r="G802" s="51"/>
      <c r="H802" s="99">
        <f>IFERROR(GETPIVOTDATA("Value",TD_WEAP_RAW!$A$3,"Variable",H$2,"Escenario",H$1,"Branch","Demand Sites and Catchments\"&amp;$D802),0)</f>
        <v>0</v>
      </c>
      <c r="I802" s="99">
        <f>IFERROR(GETPIVOTDATA("Value",TD_WEAP_RAW!$A$3,"Variable",I$2,"Escenario",I$1,"Branch","Demand Sites and Catchments\"&amp;$D802),0)</f>
        <v>0</v>
      </c>
      <c r="J802" s="99"/>
      <c r="K802" s="99">
        <f>IFERROR(GETPIVOTDATA("Value",TD_WEAP_RAW!$A$3,"Variable",K$2,"Escenario",K$1,"Branch","Demand Sites and Catchments\"&amp;$D802),0)</f>
        <v>0</v>
      </c>
      <c r="L802" s="99">
        <f>IFERROR(GETPIVOTDATA("Value",TD_WEAP_RAW!$A$3,"Variable",L$2,"Escenario",L$1,"Branch","Demand Sites and Catchments\"&amp;$D802),0)</f>
        <v>0</v>
      </c>
    </row>
    <row r="803" spans="4:12">
      <c r="D803" s="53"/>
      <c r="G803" s="51"/>
      <c r="H803" s="99">
        <f>IFERROR(GETPIVOTDATA("Value",TD_WEAP_RAW!$A$3,"Variable",H$2,"Escenario",H$1,"Branch","Demand Sites and Catchments\"&amp;$D803),0)</f>
        <v>0</v>
      </c>
      <c r="I803" s="99">
        <f>IFERROR(GETPIVOTDATA("Value",TD_WEAP_RAW!$A$3,"Variable",I$2,"Escenario",I$1,"Branch","Demand Sites and Catchments\"&amp;$D803),0)</f>
        <v>0</v>
      </c>
      <c r="J803" s="99"/>
      <c r="K803" s="99">
        <f>IFERROR(GETPIVOTDATA("Value",TD_WEAP_RAW!$A$3,"Variable",K$2,"Escenario",K$1,"Branch","Demand Sites and Catchments\"&amp;$D803),0)</f>
        <v>0</v>
      </c>
      <c r="L803" s="99">
        <f>IFERROR(GETPIVOTDATA("Value",TD_WEAP_RAW!$A$3,"Variable",L$2,"Escenario",L$1,"Branch","Demand Sites and Catchments\"&amp;$D803),0)</f>
        <v>0</v>
      </c>
    </row>
    <row r="804" spans="4:12">
      <c r="D804" s="53"/>
      <c r="G804" s="51"/>
      <c r="H804" s="99">
        <f>IFERROR(GETPIVOTDATA("Value",TD_WEAP_RAW!$A$3,"Variable",H$2,"Escenario",H$1,"Branch","Demand Sites and Catchments\"&amp;$D804),0)</f>
        <v>0</v>
      </c>
      <c r="I804" s="99">
        <f>IFERROR(GETPIVOTDATA("Value",TD_WEAP_RAW!$A$3,"Variable",I$2,"Escenario",I$1,"Branch","Demand Sites and Catchments\"&amp;$D804),0)</f>
        <v>0</v>
      </c>
      <c r="J804" s="99"/>
      <c r="K804" s="99">
        <f>IFERROR(GETPIVOTDATA("Value",TD_WEAP_RAW!$A$3,"Variable",K$2,"Escenario",K$1,"Branch","Demand Sites and Catchments\"&amp;$D804),0)</f>
        <v>0</v>
      </c>
      <c r="L804" s="99">
        <f>IFERROR(GETPIVOTDATA("Value",TD_WEAP_RAW!$A$3,"Variable",L$2,"Escenario",L$1,"Branch","Demand Sites and Catchments\"&amp;$D804),0)</f>
        <v>0</v>
      </c>
    </row>
    <row r="805" spans="4:12">
      <c r="D805" s="53"/>
      <c r="G805" s="51"/>
      <c r="H805" s="99">
        <f>IFERROR(GETPIVOTDATA("Value",TD_WEAP_RAW!$A$3,"Variable",H$2,"Escenario",H$1,"Branch","Demand Sites and Catchments\"&amp;$D805),0)</f>
        <v>0</v>
      </c>
      <c r="I805" s="99">
        <f>IFERROR(GETPIVOTDATA("Value",TD_WEAP_RAW!$A$3,"Variable",I$2,"Escenario",I$1,"Branch","Demand Sites and Catchments\"&amp;$D805),0)</f>
        <v>0</v>
      </c>
      <c r="J805" s="99"/>
      <c r="K805" s="99">
        <f>IFERROR(GETPIVOTDATA("Value",TD_WEAP_RAW!$A$3,"Variable",K$2,"Escenario",K$1,"Branch","Demand Sites and Catchments\"&amp;$D805),0)</f>
        <v>0</v>
      </c>
      <c r="L805" s="99">
        <f>IFERROR(GETPIVOTDATA("Value",TD_WEAP_RAW!$A$3,"Variable",L$2,"Escenario",L$1,"Branch","Demand Sites and Catchments\"&amp;$D805),0)</f>
        <v>0</v>
      </c>
    </row>
    <row r="806" spans="4:12">
      <c r="D806" s="53"/>
      <c r="G806" s="51"/>
      <c r="H806" s="99">
        <f>IFERROR(GETPIVOTDATA("Value",TD_WEAP_RAW!$A$3,"Variable",H$2,"Escenario",H$1,"Branch","Demand Sites and Catchments\"&amp;$D806),0)</f>
        <v>0</v>
      </c>
      <c r="I806" s="99">
        <f>IFERROR(GETPIVOTDATA("Value",TD_WEAP_RAW!$A$3,"Variable",I$2,"Escenario",I$1,"Branch","Demand Sites and Catchments\"&amp;$D806),0)</f>
        <v>0</v>
      </c>
      <c r="J806" s="99"/>
      <c r="K806" s="99">
        <f>IFERROR(GETPIVOTDATA("Value",TD_WEAP_RAW!$A$3,"Variable",K$2,"Escenario",K$1,"Branch","Demand Sites and Catchments\"&amp;$D806),0)</f>
        <v>0</v>
      </c>
      <c r="L806" s="99">
        <f>IFERROR(GETPIVOTDATA("Value",TD_WEAP_RAW!$A$3,"Variable",L$2,"Escenario",L$1,"Branch","Demand Sites and Catchments\"&amp;$D806),0)</f>
        <v>0</v>
      </c>
    </row>
    <row r="807" spans="4:12">
      <c r="D807" s="53"/>
      <c r="G807" s="51"/>
      <c r="H807" s="99">
        <f>IFERROR(GETPIVOTDATA("Value",TD_WEAP_RAW!$A$3,"Variable",H$2,"Escenario",H$1,"Branch","Demand Sites and Catchments\"&amp;$D807),0)</f>
        <v>0</v>
      </c>
      <c r="I807" s="99">
        <f>IFERROR(GETPIVOTDATA("Value",TD_WEAP_RAW!$A$3,"Variable",I$2,"Escenario",I$1,"Branch","Demand Sites and Catchments\"&amp;$D807),0)</f>
        <v>0</v>
      </c>
      <c r="J807" s="99"/>
      <c r="K807" s="99">
        <f>IFERROR(GETPIVOTDATA("Value",TD_WEAP_RAW!$A$3,"Variable",K$2,"Escenario",K$1,"Branch","Demand Sites and Catchments\"&amp;$D807),0)</f>
        <v>0</v>
      </c>
      <c r="L807" s="99">
        <f>IFERROR(GETPIVOTDATA("Value",TD_WEAP_RAW!$A$3,"Variable",L$2,"Escenario",L$1,"Branch","Demand Sites and Catchments\"&amp;$D807),0)</f>
        <v>0</v>
      </c>
    </row>
    <row r="808" spans="4:12">
      <c r="D808" s="53"/>
      <c r="G808" s="51"/>
      <c r="H808" s="99">
        <f>IFERROR(GETPIVOTDATA("Value",TD_WEAP_RAW!$A$3,"Variable",H$2,"Escenario",H$1,"Branch","Demand Sites and Catchments\"&amp;$D808),0)</f>
        <v>0</v>
      </c>
      <c r="I808" s="99">
        <f>IFERROR(GETPIVOTDATA("Value",TD_WEAP_RAW!$A$3,"Variable",I$2,"Escenario",I$1,"Branch","Demand Sites and Catchments\"&amp;$D808),0)</f>
        <v>0</v>
      </c>
      <c r="J808" s="99"/>
      <c r="K808" s="99">
        <f>IFERROR(GETPIVOTDATA("Value",TD_WEAP_RAW!$A$3,"Variable",K$2,"Escenario",K$1,"Branch","Demand Sites and Catchments\"&amp;$D808),0)</f>
        <v>0</v>
      </c>
      <c r="L808" s="99">
        <f>IFERROR(GETPIVOTDATA("Value",TD_WEAP_RAW!$A$3,"Variable",L$2,"Escenario",L$1,"Branch","Demand Sites and Catchments\"&amp;$D808),0)</f>
        <v>0</v>
      </c>
    </row>
    <row r="809" spans="4:12">
      <c r="D809" s="53"/>
      <c r="G809" s="51"/>
      <c r="H809" s="99">
        <f>IFERROR(GETPIVOTDATA("Value",TD_WEAP_RAW!$A$3,"Variable",H$2,"Escenario",H$1,"Branch","Demand Sites and Catchments\"&amp;$D809),0)</f>
        <v>0</v>
      </c>
      <c r="I809" s="99">
        <f>IFERROR(GETPIVOTDATA("Value",TD_WEAP_RAW!$A$3,"Variable",I$2,"Escenario",I$1,"Branch","Demand Sites and Catchments\"&amp;$D809),0)</f>
        <v>0</v>
      </c>
      <c r="J809" s="99"/>
      <c r="K809" s="99">
        <f>IFERROR(GETPIVOTDATA("Value",TD_WEAP_RAW!$A$3,"Variable",K$2,"Escenario",K$1,"Branch","Demand Sites and Catchments\"&amp;$D809),0)</f>
        <v>0</v>
      </c>
      <c r="L809" s="99">
        <f>IFERROR(GETPIVOTDATA("Value",TD_WEAP_RAW!$A$3,"Variable",L$2,"Escenario",L$1,"Branch","Demand Sites and Catchments\"&amp;$D809),0)</f>
        <v>0</v>
      </c>
    </row>
    <row r="810" spans="4:12">
      <c r="D810" s="53"/>
      <c r="G810" s="51"/>
      <c r="H810" s="99">
        <f>IFERROR(GETPIVOTDATA("Value",TD_WEAP_RAW!$A$3,"Variable",H$2,"Escenario",H$1,"Branch","Demand Sites and Catchments\"&amp;$D810),0)</f>
        <v>0</v>
      </c>
      <c r="I810" s="99">
        <f>IFERROR(GETPIVOTDATA("Value",TD_WEAP_RAW!$A$3,"Variable",I$2,"Escenario",I$1,"Branch","Demand Sites and Catchments\"&amp;$D810),0)</f>
        <v>0</v>
      </c>
      <c r="J810" s="99"/>
      <c r="K810" s="99">
        <f>IFERROR(GETPIVOTDATA("Value",TD_WEAP_RAW!$A$3,"Variable",K$2,"Escenario",K$1,"Branch","Demand Sites and Catchments\"&amp;$D810),0)</f>
        <v>0</v>
      </c>
      <c r="L810" s="99">
        <f>IFERROR(GETPIVOTDATA("Value",TD_WEAP_RAW!$A$3,"Variable",L$2,"Escenario",L$1,"Branch","Demand Sites and Catchments\"&amp;$D810),0)</f>
        <v>0</v>
      </c>
    </row>
    <row r="811" spans="4:12">
      <c r="D811" s="53"/>
      <c r="G811" s="51"/>
      <c r="H811" s="99">
        <f>IFERROR(GETPIVOTDATA("Value",TD_WEAP_RAW!$A$3,"Variable",H$2,"Escenario",H$1,"Branch","Demand Sites and Catchments\"&amp;$D811),0)</f>
        <v>0</v>
      </c>
      <c r="I811" s="99">
        <f>IFERROR(GETPIVOTDATA("Value",TD_WEAP_RAW!$A$3,"Variable",I$2,"Escenario",I$1,"Branch","Demand Sites and Catchments\"&amp;$D811),0)</f>
        <v>0</v>
      </c>
      <c r="J811" s="99"/>
      <c r="K811" s="99">
        <f>IFERROR(GETPIVOTDATA("Value",TD_WEAP_RAW!$A$3,"Variable",K$2,"Escenario",K$1,"Branch","Demand Sites and Catchments\"&amp;$D811),0)</f>
        <v>0</v>
      </c>
      <c r="L811" s="99">
        <f>IFERROR(GETPIVOTDATA("Value",TD_WEAP_RAW!$A$3,"Variable",L$2,"Escenario",L$1,"Branch","Demand Sites and Catchments\"&amp;$D811),0)</f>
        <v>0</v>
      </c>
    </row>
    <row r="812" spans="4:12">
      <c r="D812" s="53"/>
      <c r="G812" s="51"/>
      <c r="H812" s="99">
        <f>IFERROR(GETPIVOTDATA("Value",TD_WEAP_RAW!$A$3,"Variable",H$2,"Escenario",H$1,"Branch","Demand Sites and Catchments\"&amp;$D812),0)</f>
        <v>0</v>
      </c>
      <c r="I812" s="99">
        <f>IFERROR(GETPIVOTDATA("Value",TD_WEAP_RAW!$A$3,"Variable",I$2,"Escenario",I$1,"Branch","Demand Sites and Catchments\"&amp;$D812),0)</f>
        <v>0</v>
      </c>
      <c r="J812" s="99"/>
      <c r="K812" s="99">
        <f>IFERROR(GETPIVOTDATA("Value",TD_WEAP_RAW!$A$3,"Variable",K$2,"Escenario",K$1,"Branch","Demand Sites and Catchments\"&amp;$D812),0)</f>
        <v>0</v>
      </c>
      <c r="L812" s="99">
        <f>IFERROR(GETPIVOTDATA("Value",TD_WEAP_RAW!$A$3,"Variable",L$2,"Escenario",L$1,"Branch","Demand Sites and Catchments\"&amp;$D812),0)</f>
        <v>0</v>
      </c>
    </row>
    <row r="813" spans="4:12">
      <c r="D813" s="53"/>
      <c r="G813" s="51"/>
      <c r="H813" s="99">
        <f>IFERROR(GETPIVOTDATA("Value",TD_WEAP_RAW!$A$3,"Variable",H$2,"Escenario",H$1,"Branch","Demand Sites and Catchments\"&amp;$D813),0)</f>
        <v>0</v>
      </c>
      <c r="I813" s="99">
        <f>IFERROR(GETPIVOTDATA("Value",TD_WEAP_RAW!$A$3,"Variable",I$2,"Escenario",I$1,"Branch","Demand Sites and Catchments\"&amp;$D813),0)</f>
        <v>0</v>
      </c>
      <c r="J813" s="99"/>
      <c r="K813" s="99">
        <f>IFERROR(GETPIVOTDATA("Value",TD_WEAP_RAW!$A$3,"Variable",K$2,"Escenario",K$1,"Branch","Demand Sites and Catchments\"&amp;$D813),0)</f>
        <v>0</v>
      </c>
      <c r="L813" s="99">
        <f>IFERROR(GETPIVOTDATA("Value",TD_WEAP_RAW!$A$3,"Variable",L$2,"Escenario",L$1,"Branch","Demand Sites and Catchments\"&amp;$D813),0)</f>
        <v>0</v>
      </c>
    </row>
    <row r="814" spans="4:12">
      <c r="D814" s="53"/>
      <c r="G814" s="51"/>
      <c r="H814" s="99">
        <f>IFERROR(GETPIVOTDATA("Value",TD_WEAP_RAW!$A$3,"Variable",H$2,"Escenario",H$1,"Branch","Demand Sites and Catchments\"&amp;$D814),0)</f>
        <v>0</v>
      </c>
      <c r="I814" s="99">
        <f>IFERROR(GETPIVOTDATA("Value",TD_WEAP_RAW!$A$3,"Variable",I$2,"Escenario",I$1,"Branch","Demand Sites and Catchments\"&amp;$D814),0)</f>
        <v>0</v>
      </c>
      <c r="J814" s="99"/>
      <c r="K814" s="99">
        <f>IFERROR(GETPIVOTDATA("Value",TD_WEAP_RAW!$A$3,"Variable",K$2,"Escenario",K$1,"Branch","Demand Sites and Catchments\"&amp;$D814),0)</f>
        <v>0</v>
      </c>
      <c r="L814" s="99">
        <f>IFERROR(GETPIVOTDATA("Value",TD_WEAP_RAW!$A$3,"Variable",L$2,"Escenario",L$1,"Branch","Demand Sites and Catchments\"&amp;$D814),0)</f>
        <v>0</v>
      </c>
    </row>
    <row r="815" spans="4:12">
      <c r="D815" s="53"/>
      <c r="G815" s="51"/>
      <c r="H815" s="99">
        <f>IFERROR(GETPIVOTDATA("Value",TD_WEAP_RAW!$A$3,"Variable",H$2,"Escenario",H$1,"Branch","Demand Sites and Catchments\"&amp;$D815),0)</f>
        <v>0</v>
      </c>
      <c r="I815" s="99">
        <f>IFERROR(GETPIVOTDATA("Value",TD_WEAP_RAW!$A$3,"Variable",I$2,"Escenario",I$1,"Branch","Demand Sites and Catchments\"&amp;$D815),0)</f>
        <v>0</v>
      </c>
      <c r="J815" s="99"/>
      <c r="K815" s="99">
        <f>IFERROR(GETPIVOTDATA("Value",TD_WEAP_RAW!$A$3,"Variable",K$2,"Escenario",K$1,"Branch","Demand Sites and Catchments\"&amp;$D815),0)</f>
        <v>0</v>
      </c>
      <c r="L815" s="99">
        <f>IFERROR(GETPIVOTDATA("Value",TD_WEAP_RAW!$A$3,"Variable",L$2,"Escenario",L$1,"Branch","Demand Sites and Catchments\"&amp;$D815),0)</f>
        <v>0</v>
      </c>
    </row>
    <row r="816" spans="4:12">
      <c r="D816" s="53"/>
      <c r="G816" s="51"/>
      <c r="H816" s="99">
        <f>IFERROR(GETPIVOTDATA("Value",TD_WEAP_RAW!$A$3,"Variable",H$2,"Escenario",H$1,"Branch","Demand Sites and Catchments\"&amp;$D816),0)</f>
        <v>0</v>
      </c>
      <c r="I816" s="99">
        <f>IFERROR(GETPIVOTDATA("Value",TD_WEAP_RAW!$A$3,"Variable",I$2,"Escenario",I$1,"Branch","Demand Sites and Catchments\"&amp;$D816),0)</f>
        <v>0</v>
      </c>
      <c r="J816" s="99"/>
      <c r="K816" s="99">
        <f>IFERROR(GETPIVOTDATA("Value",TD_WEAP_RAW!$A$3,"Variable",K$2,"Escenario",K$1,"Branch","Demand Sites and Catchments\"&amp;$D816),0)</f>
        <v>0</v>
      </c>
      <c r="L816" s="99">
        <f>IFERROR(GETPIVOTDATA("Value",TD_WEAP_RAW!$A$3,"Variable",L$2,"Escenario",L$1,"Branch","Demand Sites and Catchments\"&amp;$D816),0)</f>
        <v>0</v>
      </c>
    </row>
    <row r="817" spans="4:12">
      <c r="D817" s="53"/>
      <c r="G817" s="51"/>
      <c r="H817" s="99">
        <f>IFERROR(GETPIVOTDATA("Value",TD_WEAP_RAW!$A$3,"Variable",H$2,"Escenario",H$1,"Branch","Demand Sites and Catchments\"&amp;$D817),0)</f>
        <v>0</v>
      </c>
      <c r="I817" s="99">
        <f>IFERROR(GETPIVOTDATA("Value",TD_WEAP_RAW!$A$3,"Variable",I$2,"Escenario",I$1,"Branch","Demand Sites and Catchments\"&amp;$D817),0)</f>
        <v>0</v>
      </c>
      <c r="J817" s="99"/>
      <c r="K817" s="99">
        <f>IFERROR(GETPIVOTDATA("Value",TD_WEAP_RAW!$A$3,"Variable",K$2,"Escenario",K$1,"Branch","Demand Sites and Catchments\"&amp;$D817),0)</f>
        <v>0</v>
      </c>
      <c r="L817" s="99">
        <f>IFERROR(GETPIVOTDATA("Value",TD_WEAP_RAW!$A$3,"Variable",L$2,"Escenario",L$1,"Branch","Demand Sites and Catchments\"&amp;$D817),0)</f>
        <v>0</v>
      </c>
    </row>
    <row r="818" spans="4:12">
      <c r="D818" s="53"/>
      <c r="G818" s="51"/>
      <c r="H818" s="99">
        <f>IFERROR(GETPIVOTDATA("Value",TD_WEAP_RAW!$A$3,"Variable",H$2,"Escenario",H$1,"Branch","Demand Sites and Catchments\"&amp;$D818),0)</f>
        <v>0</v>
      </c>
      <c r="I818" s="99">
        <f>IFERROR(GETPIVOTDATA("Value",TD_WEAP_RAW!$A$3,"Variable",I$2,"Escenario",I$1,"Branch","Demand Sites and Catchments\"&amp;$D818),0)</f>
        <v>0</v>
      </c>
      <c r="J818" s="99"/>
      <c r="K818" s="99">
        <f>IFERROR(GETPIVOTDATA("Value",TD_WEAP_RAW!$A$3,"Variable",K$2,"Escenario",K$1,"Branch","Demand Sites and Catchments\"&amp;$D818),0)</f>
        <v>0</v>
      </c>
      <c r="L818" s="99">
        <f>IFERROR(GETPIVOTDATA("Value",TD_WEAP_RAW!$A$3,"Variable",L$2,"Escenario",L$1,"Branch","Demand Sites and Catchments\"&amp;$D818),0)</f>
        <v>0</v>
      </c>
    </row>
    <row r="819" spans="4:12">
      <c r="D819" s="53"/>
      <c r="G819" s="51"/>
      <c r="H819" s="99">
        <f>IFERROR(GETPIVOTDATA("Value",TD_WEAP_RAW!$A$3,"Variable",H$2,"Escenario",H$1,"Branch","Demand Sites and Catchments\"&amp;$D819),0)</f>
        <v>0</v>
      </c>
      <c r="I819" s="99">
        <f>IFERROR(GETPIVOTDATA("Value",TD_WEAP_RAW!$A$3,"Variable",I$2,"Escenario",I$1,"Branch","Demand Sites and Catchments\"&amp;$D819),0)</f>
        <v>0</v>
      </c>
      <c r="J819" s="99"/>
      <c r="K819" s="99">
        <f>IFERROR(GETPIVOTDATA("Value",TD_WEAP_RAW!$A$3,"Variable",K$2,"Escenario",K$1,"Branch","Demand Sites and Catchments\"&amp;$D819),0)</f>
        <v>0</v>
      </c>
      <c r="L819" s="99">
        <f>IFERROR(GETPIVOTDATA("Value",TD_WEAP_RAW!$A$3,"Variable",L$2,"Escenario",L$1,"Branch","Demand Sites and Catchments\"&amp;$D819),0)</f>
        <v>0</v>
      </c>
    </row>
    <row r="820" spans="4:12">
      <c r="D820" s="53"/>
      <c r="G820" s="51"/>
      <c r="H820" s="99">
        <f>IFERROR(GETPIVOTDATA("Value",TD_WEAP_RAW!$A$3,"Variable",H$2,"Escenario",H$1,"Branch","Demand Sites and Catchments\"&amp;$D820),0)</f>
        <v>0</v>
      </c>
      <c r="I820" s="99">
        <f>IFERROR(GETPIVOTDATA("Value",TD_WEAP_RAW!$A$3,"Variable",I$2,"Escenario",I$1,"Branch","Demand Sites and Catchments\"&amp;$D820),0)</f>
        <v>0</v>
      </c>
      <c r="J820" s="99"/>
      <c r="K820" s="99">
        <f>IFERROR(GETPIVOTDATA("Value",TD_WEAP_RAW!$A$3,"Variable",K$2,"Escenario",K$1,"Branch","Demand Sites and Catchments\"&amp;$D820),0)</f>
        <v>0</v>
      </c>
      <c r="L820" s="99">
        <f>IFERROR(GETPIVOTDATA("Value",TD_WEAP_RAW!$A$3,"Variable",L$2,"Escenario",L$1,"Branch","Demand Sites and Catchments\"&amp;$D820),0)</f>
        <v>0</v>
      </c>
    </row>
    <row r="821" spans="4:12">
      <c r="D821" s="53"/>
      <c r="G821" s="51"/>
      <c r="H821" s="99">
        <f>IFERROR(GETPIVOTDATA("Value",TD_WEAP_RAW!$A$3,"Variable",H$2,"Escenario",H$1,"Branch","Demand Sites and Catchments\"&amp;$D821),0)</f>
        <v>0</v>
      </c>
      <c r="I821" s="99">
        <f>IFERROR(GETPIVOTDATA("Value",TD_WEAP_RAW!$A$3,"Variable",I$2,"Escenario",I$1,"Branch","Demand Sites and Catchments\"&amp;$D821),0)</f>
        <v>0</v>
      </c>
      <c r="J821" s="99"/>
      <c r="K821" s="99">
        <f>IFERROR(GETPIVOTDATA("Value",TD_WEAP_RAW!$A$3,"Variable",K$2,"Escenario",K$1,"Branch","Demand Sites and Catchments\"&amp;$D821),0)</f>
        <v>0</v>
      </c>
      <c r="L821" s="99">
        <f>IFERROR(GETPIVOTDATA("Value",TD_WEAP_RAW!$A$3,"Variable",L$2,"Escenario",L$1,"Branch","Demand Sites and Catchments\"&amp;$D821),0)</f>
        <v>0</v>
      </c>
    </row>
    <row r="822" spans="4:12">
      <c r="D822" s="53"/>
      <c r="G822" s="51"/>
      <c r="H822" s="99">
        <f>IFERROR(GETPIVOTDATA("Value",TD_WEAP_RAW!$A$3,"Variable",H$2,"Escenario",H$1,"Branch","Demand Sites and Catchments\"&amp;$D822),0)</f>
        <v>0</v>
      </c>
      <c r="I822" s="99">
        <f>IFERROR(GETPIVOTDATA("Value",TD_WEAP_RAW!$A$3,"Variable",I$2,"Escenario",I$1,"Branch","Demand Sites and Catchments\"&amp;$D822),0)</f>
        <v>0</v>
      </c>
      <c r="J822" s="99"/>
      <c r="K822" s="99">
        <f>IFERROR(GETPIVOTDATA("Value",TD_WEAP_RAW!$A$3,"Variable",K$2,"Escenario",K$1,"Branch","Demand Sites and Catchments\"&amp;$D822),0)</f>
        <v>0</v>
      </c>
      <c r="L822" s="99">
        <f>IFERROR(GETPIVOTDATA("Value",TD_WEAP_RAW!$A$3,"Variable",L$2,"Escenario",L$1,"Branch","Demand Sites and Catchments\"&amp;$D822),0)</f>
        <v>0</v>
      </c>
    </row>
    <row r="823" spans="4:12">
      <c r="D823" s="53"/>
      <c r="G823" s="51"/>
      <c r="H823" s="99">
        <f>IFERROR(GETPIVOTDATA("Value",TD_WEAP_RAW!$A$3,"Variable",H$2,"Escenario",H$1,"Branch","Demand Sites and Catchments\"&amp;$D823),0)</f>
        <v>0</v>
      </c>
      <c r="I823" s="99">
        <f>IFERROR(GETPIVOTDATA("Value",TD_WEAP_RAW!$A$3,"Variable",I$2,"Escenario",I$1,"Branch","Demand Sites and Catchments\"&amp;$D823),0)</f>
        <v>0</v>
      </c>
      <c r="J823" s="99"/>
      <c r="K823" s="99">
        <f>IFERROR(GETPIVOTDATA("Value",TD_WEAP_RAW!$A$3,"Variable",K$2,"Escenario",K$1,"Branch","Demand Sites and Catchments\"&amp;$D823),0)</f>
        <v>0</v>
      </c>
      <c r="L823" s="99">
        <f>IFERROR(GETPIVOTDATA("Value",TD_WEAP_RAW!$A$3,"Variable",L$2,"Escenario",L$1,"Branch","Demand Sites and Catchments\"&amp;$D823),0)</f>
        <v>0</v>
      </c>
    </row>
    <row r="824" spans="4:12">
      <c r="D824" s="53"/>
      <c r="G824" s="51"/>
      <c r="H824" s="99">
        <f>IFERROR(GETPIVOTDATA("Value",TD_WEAP_RAW!$A$3,"Variable",H$2,"Escenario",H$1,"Branch","Demand Sites and Catchments\"&amp;$D824),0)</f>
        <v>0</v>
      </c>
      <c r="I824" s="99">
        <f>IFERROR(GETPIVOTDATA("Value",TD_WEAP_RAW!$A$3,"Variable",I$2,"Escenario",I$1,"Branch","Demand Sites and Catchments\"&amp;$D824),0)</f>
        <v>0</v>
      </c>
      <c r="J824" s="99"/>
      <c r="K824" s="99">
        <f>IFERROR(GETPIVOTDATA("Value",TD_WEAP_RAW!$A$3,"Variable",K$2,"Escenario",K$1,"Branch","Demand Sites and Catchments\"&amp;$D824),0)</f>
        <v>0</v>
      </c>
      <c r="L824" s="99">
        <f>IFERROR(GETPIVOTDATA("Value",TD_WEAP_RAW!$A$3,"Variable",L$2,"Escenario",L$1,"Branch","Demand Sites and Catchments\"&amp;$D824),0)</f>
        <v>0</v>
      </c>
    </row>
    <row r="825" spans="4:12">
      <c r="D825" s="53"/>
      <c r="G825" s="51"/>
      <c r="H825" s="99">
        <f>IFERROR(GETPIVOTDATA("Value",TD_WEAP_RAW!$A$3,"Variable",H$2,"Escenario",H$1,"Branch","Demand Sites and Catchments\"&amp;$D825),0)</f>
        <v>0</v>
      </c>
      <c r="I825" s="99">
        <f>IFERROR(GETPIVOTDATA("Value",TD_WEAP_RAW!$A$3,"Variable",I$2,"Escenario",I$1,"Branch","Demand Sites and Catchments\"&amp;$D825),0)</f>
        <v>0</v>
      </c>
      <c r="J825" s="99"/>
      <c r="K825" s="99">
        <f>IFERROR(GETPIVOTDATA("Value",TD_WEAP_RAW!$A$3,"Variable",K$2,"Escenario",K$1,"Branch","Demand Sites and Catchments\"&amp;$D825),0)</f>
        <v>0</v>
      </c>
      <c r="L825" s="99">
        <f>IFERROR(GETPIVOTDATA("Value",TD_WEAP_RAW!$A$3,"Variable",L$2,"Escenario",L$1,"Branch","Demand Sites and Catchments\"&amp;$D825),0)</f>
        <v>0</v>
      </c>
    </row>
    <row r="826" spans="4:12">
      <c r="D826" s="53"/>
      <c r="G826" s="51"/>
      <c r="H826" s="99">
        <f>IFERROR(GETPIVOTDATA("Value",TD_WEAP_RAW!$A$3,"Variable",H$2,"Escenario",H$1,"Branch","Demand Sites and Catchments\"&amp;$D826),0)</f>
        <v>0</v>
      </c>
      <c r="I826" s="99">
        <f>IFERROR(GETPIVOTDATA("Value",TD_WEAP_RAW!$A$3,"Variable",I$2,"Escenario",I$1,"Branch","Demand Sites and Catchments\"&amp;$D826),0)</f>
        <v>0</v>
      </c>
      <c r="J826" s="99"/>
      <c r="K826" s="99">
        <f>IFERROR(GETPIVOTDATA("Value",TD_WEAP_RAW!$A$3,"Variable",K$2,"Escenario",K$1,"Branch","Demand Sites and Catchments\"&amp;$D826),0)</f>
        <v>0</v>
      </c>
      <c r="L826" s="99">
        <f>IFERROR(GETPIVOTDATA("Value",TD_WEAP_RAW!$A$3,"Variable",L$2,"Escenario",L$1,"Branch","Demand Sites and Catchments\"&amp;$D826),0)</f>
        <v>0</v>
      </c>
    </row>
    <row r="827" spans="4:12">
      <c r="D827" s="53"/>
      <c r="G827" s="51"/>
      <c r="H827" s="99">
        <f>IFERROR(GETPIVOTDATA("Value",TD_WEAP_RAW!$A$3,"Variable",H$2,"Escenario",H$1,"Branch","Demand Sites and Catchments\"&amp;$D827),0)</f>
        <v>0</v>
      </c>
      <c r="I827" s="99">
        <f>IFERROR(GETPIVOTDATA("Value",TD_WEAP_RAW!$A$3,"Variable",I$2,"Escenario",I$1,"Branch","Demand Sites and Catchments\"&amp;$D827),0)</f>
        <v>0</v>
      </c>
      <c r="J827" s="99"/>
      <c r="K827" s="99">
        <f>IFERROR(GETPIVOTDATA("Value",TD_WEAP_RAW!$A$3,"Variable",K$2,"Escenario",K$1,"Branch","Demand Sites and Catchments\"&amp;$D827),0)</f>
        <v>0</v>
      </c>
      <c r="L827" s="99">
        <f>IFERROR(GETPIVOTDATA("Value",TD_WEAP_RAW!$A$3,"Variable",L$2,"Escenario",L$1,"Branch","Demand Sites and Catchments\"&amp;$D827),0)</f>
        <v>0</v>
      </c>
    </row>
    <row r="828" spans="4:12">
      <c r="D828" s="53"/>
      <c r="G828" s="51"/>
      <c r="H828" s="99">
        <f>IFERROR(GETPIVOTDATA("Value",TD_WEAP_RAW!$A$3,"Variable",H$2,"Escenario",H$1,"Branch","Demand Sites and Catchments\"&amp;$D828),0)</f>
        <v>0</v>
      </c>
      <c r="I828" s="99">
        <f>IFERROR(GETPIVOTDATA("Value",TD_WEAP_RAW!$A$3,"Variable",I$2,"Escenario",I$1,"Branch","Demand Sites and Catchments\"&amp;$D828),0)</f>
        <v>0</v>
      </c>
      <c r="J828" s="99"/>
      <c r="K828" s="99">
        <f>IFERROR(GETPIVOTDATA("Value",TD_WEAP_RAW!$A$3,"Variable",K$2,"Escenario",K$1,"Branch","Demand Sites and Catchments\"&amp;$D828),0)</f>
        <v>0</v>
      </c>
      <c r="L828" s="99">
        <f>IFERROR(GETPIVOTDATA("Value",TD_WEAP_RAW!$A$3,"Variable",L$2,"Escenario",L$1,"Branch","Demand Sites and Catchments\"&amp;$D828),0)</f>
        <v>0</v>
      </c>
    </row>
    <row r="829" spans="4:12">
      <c r="D829" s="53"/>
      <c r="G829" s="51"/>
      <c r="H829" s="99">
        <f>IFERROR(GETPIVOTDATA("Value",TD_WEAP_RAW!$A$3,"Variable",H$2,"Escenario",H$1,"Branch","Demand Sites and Catchments\"&amp;$D829),0)</f>
        <v>0</v>
      </c>
      <c r="I829" s="99">
        <f>IFERROR(GETPIVOTDATA("Value",TD_WEAP_RAW!$A$3,"Variable",I$2,"Escenario",I$1,"Branch","Demand Sites and Catchments\"&amp;$D829),0)</f>
        <v>0</v>
      </c>
      <c r="J829" s="99"/>
      <c r="K829" s="99">
        <f>IFERROR(GETPIVOTDATA("Value",TD_WEAP_RAW!$A$3,"Variable",K$2,"Escenario",K$1,"Branch","Demand Sites and Catchments\"&amp;$D829),0)</f>
        <v>0</v>
      </c>
      <c r="L829" s="99">
        <f>IFERROR(GETPIVOTDATA("Value",TD_WEAP_RAW!$A$3,"Variable",L$2,"Escenario",L$1,"Branch","Demand Sites and Catchments\"&amp;$D829),0)</f>
        <v>0</v>
      </c>
    </row>
    <row r="830" spans="4:12">
      <c r="D830" s="53"/>
      <c r="G830" s="51"/>
      <c r="H830" s="99">
        <f>IFERROR(GETPIVOTDATA("Value",TD_WEAP_RAW!$A$3,"Variable",H$2,"Escenario",H$1,"Branch","Demand Sites and Catchments\"&amp;$D830),0)</f>
        <v>0</v>
      </c>
      <c r="I830" s="99">
        <f>IFERROR(GETPIVOTDATA("Value",TD_WEAP_RAW!$A$3,"Variable",I$2,"Escenario",I$1,"Branch","Demand Sites and Catchments\"&amp;$D830),0)</f>
        <v>0</v>
      </c>
      <c r="J830" s="99"/>
      <c r="K830" s="99">
        <f>IFERROR(GETPIVOTDATA("Value",TD_WEAP_RAW!$A$3,"Variable",K$2,"Escenario",K$1,"Branch","Demand Sites and Catchments\"&amp;$D830),0)</f>
        <v>0</v>
      </c>
      <c r="L830" s="99">
        <f>IFERROR(GETPIVOTDATA("Value",TD_WEAP_RAW!$A$3,"Variable",L$2,"Escenario",L$1,"Branch","Demand Sites and Catchments\"&amp;$D830),0)</f>
        <v>0</v>
      </c>
    </row>
    <row r="831" spans="4:12">
      <c r="D831" s="53"/>
      <c r="G831" s="51"/>
      <c r="H831" s="99">
        <f>IFERROR(GETPIVOTDATA("Value",TD_WEAP_RAW!$A$3,"Variable",H$2,"Escenario",H$1,"Branch","Demand Sites and Catchments\"&amp;$D831),0)</f>
        <v>0</v>
      </c>
      <c r="I831" s="99">
        <f>IFERROR(GETPIVOTDATA("Value",TD_WEAP_RAW!$A$3,"Variable",I$2,"Escenario",I$1,"Branch","Demand Sites and Catchments\"&amp;$D831),0)</f>
        <v>0</v>
      </c>
      <c r="J831" s="99"/>
      <c r="K831" s="99">
        <f>IFERROR(GETPIVOTDATA("Value",TD_WEAP_RAW!$A$3,"Variable",K$2,"Escenario",K$1,"Branch","Demand Sites and Catchments\"&amp;$D831),0)</f>
        <v>0</v>
      </c>
      <c r="L831" s="99">
        <f>IFERROR(GETPIVOTDATA("Value",TD_WEAP_RAW!$A$3,"Variable",L$2,"Escenario",L$1,"Branch","Demand Sites and Catchments\"&amp;$D831),0)</f>
        <v>0</v>
      </c>
    </row>
    <row r="832" spans="4:12">
      <c r="D832" s="53"/>
      <c r="G832" s="51"/>
      <c r="H832" s="99">
        <f>IFERROR(GETPIVOTDATA("Value",TD_WEAP_RAW!$A$3,"Variable",H$2,"Escenario",H$1,"Branch","Demand Sites and Catchments\"&amp;$D832),0)</f>
        <v>0</v>
      </c>
      <c r="I832" s="99">
        <f>IFERROR(GETPIVOTDATA("Value",TD_WEAP_RAW!$A$3,"Variable",I$2,"Escenario",I$1,"Branch","Demand Sites and Catchments\"&amp;$D832),0)</f>
        <v>0</v>
      </c>
      <c r="J832" s="99"/>
      <c r="K832" s="99">
        <f>IFERROR(GETPIVOTDATA("Value",TD_WEAP_RAW!$A$3,"Variable",K$2,"Escenario",K$1,"Branch","Demand Sites and Catchments\"&amp;$D832),0)</f>
        <v>0</v>
      </c>
      <c r="L832" s="99">
        <f>IFERROR(GETPIVOTDATA("Value",TD_WEAP_RAW!$A$3,"Variable",L$2,"Escenario",L$1,"Branch","Demand Sites and Catchments\"&amp;$D832),0)</f>
        <v>0</v>
      </c>
    </row>
    <row r="833" spans="4:12">
      <c r="D833" s="53"/>
      <c r="G833" s="51"/>
      <c r="H833" s="99">
        <f>IFERROR(GETPIVOTDATA("Value",TD_WEAP_RAW!$A$3,"Variable",H$2,"Escenario",H$1,"Branch","Demand Sites and Catchments\"&amp;$D833),0)</f>
        <v>0</v>
      </c>
      <c r="I833" s="99">
        <f>IFERROR(GETPIVOTDATA("Value",TD_WEAP_RAW!$A$3,"Variable",I$2,"Escenario",I$1,"Branch","Demand Sites and Catchments\"&amp;$D833),0)</f>
        <v>0</v>
      </c>
      <c r="J833" s="99"/>
      <c r="K833" s="99">
        <f>IFERROR(GETPIVOTDATA("Value",TD_WEAP_RAW!$A$3,"Variable",K$2,"Escenario",K$1,"Branch","Demand Sites and Catchments\"&amp;$D833),0)</f>
        <v>0</v>
      </c>
      <c r="L833" s="99">
        <f>IFERROR(GETPIVOTDATA("Value",TD_WEAP_RAW!$A$3,"Variable",L$2,"Escenario",L$1,"Branch","Demand Sites and Catchments\"&amp;$D833),0)</f>
        <v>0</v>
      </c>
    </row>
    <row r="834" spans="4:12">
      <c r="D834" s="53"/>
      <c r="G834" s="51"/>
      <c r="H834" s="99">
        <f>IFERROR(GETPIVOTDATA("Value",TD_WEAP_RAW!$A$3,"Variable",H$2,"Escenario",H$1,"Branch","Demand Sites and Catchments\"&amp;$D834),0)</f>
        <v>0</v>
      </c>
      <c r="I834" s="99">
        <f>IFERROR(GETPIVOTDATA("Value",TD_WEAP_RAW!$A$3,"Variable",I$2,"Escenario",I$1,"Branch","Demand Sites and Catchments\"&amp;$D834),0)</f>
        <v>0</v>
      </c>
      <c r="J834" s="99"/>
      <c r="K834" s="99">
        <f>IFERROR(GETPIVOTDATA("Value",TD_WEAP_RAW!$A$3,"Variable",K$2,"Escenario",K$1,"Branch","Demand Sites and Catchments\"&amp;$D834),0)</f>
        <v>0</v>
      </c>
      <c r="L834" s="99">
        <f>IFERROR(GETPIVOTDATA("Value",TD_WEAP_RAW!$A$3,"Variable",L$2,"Escenario",L$1,"Branch","Demand Sites and Catchments\"&amp;$D834),0)</f>
        <v>0</v>
      </c>
    </row>
    <row r="835" spans="4:12">
      <c r="D835" s="53"/>
      <c r="G835" s="51"/>
      <c r="H835" s="99">
        <f>IFERROR(GETPIVOTDATA("Value",TD_WEAP_RAW!$A$3,"Variable",H$2,"Escenario",H$1,"Branch","Demand Sites and Catchments\"&amp;$D835),0)</f>
        <v>0</v>
      </c>
      <c r="I835" s="99">
        <f>IFERROR(GETPIVOTDATA("Value",TD_WEAP_RAW!$A$3,"Variable",I$2,"Escenario",I$1,"Branch","Demand Sites and Catchments\"&amp;$D835),0)</f>
        <v>0</v>
      </c>
      <c r="J835" s="99"/>
      <c r="K835" s="99">
        <f>IFERROR(GETPIVOTDATA("Value",TD_WEAP_RAW!$A$3,"Variable",K$2,"Escenario",K$1,"Branch","Demand Sites and Catchments\"&amp;$D835),0)</f>
        <v>0</v>
      </c>
      <c r="L835" s="99">
        <f>IFERROR(GETPIVOTDATA("Value",TD_WEAP_RAW!$A$3,"Variable",L$2,"Escenario",L$1,"Branch","Demand Sites and Catchments\"&amp;$D835),0)</f>
        <v>0</v>
      </c>
    </row>
    <row r="836" spans="4:12">
      <c r="D836" s="53"/>
      <c r="G836" s="51"/>
      <c r="H836" s="99">
        <f>IFERROR(GETPIVOTDATA("Value",TD_WEAP_RAW!$A$3,"Variable",H$2,"Escenario",H$1,"Branch","Demand Sites and Catchments\"&amp;$D836),0)</f>
        <v>0</v>
      </c>
      <c r="I836" s="99">
        <f>IFERROR(GETPIVOTDATA("Value",TD_WEAP_RAW!$A$3,"Variable",I$2,"Escenario",I$1,"Branch","Demand Sites and Catchments\"&amp;$D836),0)</f>
        <v>0</v>
      </c>
      <c r="J836" s="99"/>
      <c r="K836" s="99">
        <f>IFERROR(GETPIVOTDATA("Value",TD_WEAP_RAW!$A$3,"Variable",K$2,"Escenario",K$1,"Branch","Demand Sites and Catchments\"&amp;$D836),0)</f>
        <v>0</v>
      </c>
      <c r="L836" s="99">
        <f>IFERROR(GETPIVOTDATA("Value",TD_WEAP_RAW!$A$3,"Variable",L$2,"Escenario",L$1,"Branch","Demand Sites and Catchments\"&amp;$D836),0)</f>
        <v>0</v>
      </c>
    </row>
    <row r="837" spans="4:12">
      <c r="D837" s="53"/>
      <c r="G837" s="51"/>
      <c r="H837" s="99">
        <f>IFERROR(GETPIVOTDATA("Value",TD_WEAP_RAW!$A$3,"Variable",H$2,"Escenario",H$1,"Branch","Demand Sites and Catchments\"&amp;$D837),0)</f>
        <v>0</v>
      </c>
      <c r="I837" s="99">
        <f>IFERROR(GETPIVOTDATA("Value",TD_WEAP_RAW!$A$3,"Variable",I$2,"Escenario",I$1,"Branch","Demand Sites and Catchments\"&amp;$D837),0)</f>
        <v>0</v>
      </c>
      <c r="J837" s="99"/>
      <c r="K837" s="99">
        <f>IFERROR(GETPIVOTDATA("Value",TD_WEAP_RAW!$A$3,"Variable",K$2,"Escenario",K$1,"Branch","Demand Sites and Catchments\"&amp;$D837),0)</f>
        <v>0</v>
      </c>
      <c r="L837" s="99">
        <f>IFERROR(GETPIVOTDATA("Value",TD_WEAP_RAW!$A$3,"Variable",L$2,"Escenario",L$1,"Branch","Demand Sites and Catchments\"&amp;$D837),0)</f>
        <v>0</v>
      </c>
    </row>
    <row r="838" spans="4:12">
      <c r="D838" s="53"/>
      <c r="G838" s="51"/>
      <c r="H838" s="99">
        <f>IFERROR(GETPIVOTDATA("Value",TD_WEAP_RAW!$A$3,"Variable",H$2,"Escenario",H$1,"Branch","Demand Sites and Catchments\"&amp;$D838),0)</f>
        <v>0</v>
      </c>
      <c r="I838" s="99">
        <f>IFERROR(GETPIVOTDATA("Value",TD_WEAP_RAW!$A$3,"Variable",I$2,"Escenario",I$1,"Branch","Demand Sites and Catchments\"&amp;$D838),0)</f>
        <v>0</v>
      </c>
      <c r="J838" s="99"/>
      <c r="K838" s="99">
        <f>IFERROR(GETPIVOTDATA("Value",TD_WEAP_RAW!$A$3,"Variable",K$2,"Escenario",K$1,"Branch","Demand Sites and Catchments\"&amp;$D838),0)</f>
        <v>0</v>
      </c>
      <c r="L838" s="99">
        <f>IFERROR(GETPIVOTDATA("Value",TD_WEAP_RAW!$A$3,"Variable",L$2,"Escenario",L$1,"Branch","Demand Sites and Catchments\"&amp;$D838),0)</f>
        <v>0</v>
      </c>
    </row>
    <row r="839" spans="4:12">
      <c r="D839" s="53"/>
      <c r="G839" s="51"/>
      <c r="H839" s="99">
        <f>IFERROR(GETPIVOTDATA("Value",TD_WEAP_RAW!$A$3,"Variable",H$2,"Escenario",H$1,"Branch","Demand Sites and Catchments\"&amp;$D839),0)</f>
        <v>0</v>
      </c>
      <c r="I839" s="99">
        <f>IFERROR(GETPIVOTDATA("Value",TD_WEAP_RAW!$A$3,"Variable",I$2,"Escenario",I$1,"Branch","Demand Sites and Catchments\"&amp;$D839),0)</f>
        <v>0</v>
      </c>
      <c r="J839" s="99"/>
      <c r="K839" s="99">
        <f>IFERROR(GETPIVOTDATA("Value",TD_WEAP_RAW!$A$3,"Variable",K$2,"Escenario",K$1,"Branch","Demand Sites and Catchments\"&amp;$D839),0)</f>
        <v>0</v>
      </c>
      <c r="L839" s="99">
        <f>IFERROR(GETPIVOTDATA("Value",TD_WEAP_RAW!$A$3,"Variable",L$2,"Escenario",L$1,"Branch","Demand Sites and Catchments\"&amp;$D839),0)</f>
        <v>0</v>
      </c>
    </row>
    <row r="840" spans="4:12">
      <c r="D840" s="53"/>
      <c r="G840" s="51"/>
      <c r="H840" s="99">
        <f>IFERROR(GETPIVOTDATA("Value",TD_WEAP_RAW!$A$3,"Variable",H$2,"Escenario",H$1,"Branch","Demand Sites and Catchments\"&amp;$D840),0)</f>
        <v>0</v>
      </c>
      <c r="I840" s="99">
        <f>IFERROR(GETPIVOTDATA("Value",TD_WEAP_RAW!$A$3,"Variable",I$2,"Escenario",I$1,"Branch","Demand Sites and Catchments\"&amp;$D840),0)</f>
        <v>0</v>
      </c>
      <c r="J840" s="99"/>
      <c r="K840" s="99">
        <f>IFERROR(GETPIVOTDATA("Value",TD_WEAP_RAW!$A$3,"Variable",K$2,"Escenario",K$1,"Branch","Demand Sites and Catchments\"&amp;$D840),0)</f>
        <v>0</v>
      </c>
      <c r="L840" s="99">
        <f>IFERROR(GETPIVOTDATA("Value",TD_WEAP_RAW!$A$3,"Variable",L$2,"Escenario",L$1,"Branch","Demand Sites and Catchments\"&amp;$D840),0)</f>
        <v>0</v>
      </c>
    </row>
    <row r="841" spans="4:12">
      <c r="D841" s="53"/>
      <c r="G841" s="51"/>
      <c r="H841" s="99">
        <f>IFERROR(GETPIVOTDATA("Value",TD_WEAP_RAW!$A$3,"Variable",H$2,"Escenario",H$1,"Branch","Demand Sites and Catchments\"&amp;$D841),0)</f>
        <v>0</v>
      </c>
      <c r="I841" s="99">
        <f>IFERROR(GETPIVOTDATA("Value",TD_WEAP_RAW!$A$3,"Variable",I$2,"Escenario",I$1,"Branch","Demand Sites and Catchments\"&amp;$D841),0)</f>
        <v>0</v>
      </c>
      <c r="J841" s="99"/>
      <c r="K841" s="99">
        <f>IFERROR(GETPIVOTDATA("Value",TD_WEAP_RAW!$A$3,"Variable",K$2,"Escenario",K$1,"Branch","Demand Sites and Catchments\"&amp;$D841),0)</f>
        <v>0</v>
      </c>
      <c r="L841" s="99">
        <f>IFERROR(GETPIVOTDATA("Value",TD_WEAP_RAW!$A$3,"Variable",L$2,"Escenario",L$1,"Branch","Demand Sites and Catchments\"&amp;$D841),0)</f>
        <v>0</v>
      </c>
    </row>
    <row r="842" spans="4:12">
      <c r="D842" s="53"/>
      <c r="G842" s="51"/>
      <c r="H842" s="99">
        <f>IFERROR(GETPIVOTDATA("Value",TD_WEAP_RAW!$A$3,"Variable",H$2,"Escenario",H$1,"Branch","Demand Sites and Catchments\"&amp;$D842),0)</f>
        <v>0</v>
      </c>
      <c r="I842" s="99">
        <f>IFERROR(GETPIVOTDATA("Value",TD_WEAP_RAW!$A$3,"Variable",I$2,"Escenario",I$1,"Branch","Demand Sites and Catchments\"&amp;$D842),0)</f>
        <v>0</v>
      </c>
      <c r="J842" s="99"/>
      <c r="K842" s="99">
        <f>IFERROR(GETPIVOTDATA("Value",TD_WEAP_RAW!$A$3,"Variable",K$2,"Escenario",K$1,"Branch","Demand Sites and Catchments\"&amp;$D842),0)</f>
        <v>0</v>
      </c>
      <c r="L842" s="99">
        <f>IFERROR(GETPIVOTDATA("Value",TD_WEAP_RAW!$A$3,"Variable",L$2,"Escenario",L$1,"Branch","Demand Sites and Catchments\"&amp;$D842),0)</f>
        <v>0</v>
      </c>
    </row>
    <row r="843" spans="4:12">
      <c r="D843" s="53"/>
      <c r="G843" s="51"/>
      <c r="H843" s="99">
        <f>IFERROR(GETPIVOTDATA("Value",TD_WEAP_RAW!$A$3,"Variable",H$2,"Escenario",H$1,"Branch","Demand Sites and Catchments\"&amp;$D843),0)</f>
        <v>0</v>
      </c>
      <c r="I843" s="99">
        <f>IFERROR(GETPIVOTDATA("Value",TD_WEAP_RAW!$A$3,"Variable",I$2,"Escenario",I$1,"Branch","Demand Sites and Catchments\"&amp;$D843),0)</f>
        <v>0</v>
      </c>
      <c r="J843" s="99"/>
      <c r="K843" s="99">
        <f>IFERROR(GETPIVOTDATA("Value",TD_WEAP_RAW!$A$3,"Variable",K$2,"Escenario",K$1,"Branch","Demand Sites and Catchments\"&amp;$D843),0)</f>
        <v>0</v>
      </c>
      <c r="L843" s="99">
        <f>IFERROR(GETPIVOTDATA("Value",TD_WEAP_RAW!$A$3,"Variable",L$2,"Escenario",L$1,"Branch","Demand Sites and Catchments\"&amp;$D843),0)</f>
        <v>0</v>
      </c>
    </row>
    <row r="844" spans="4:12">
      <c r="D844" s="53"/>
      <c r="G844" s="51"/>
      <c r="H844" s="99">
        <f>IFERROR(GETPIVOTDATA("Value",TD_WEAP_RAW!$A$3,"Variable",H$2,"Escenario",H$1,"Branch","Demand Sites and Catchments\"&amp;$D844),0)</f>
        <v>0</v>
      </c>
      <c r="I844" s="99">
        <f>IFERROR(GETPIVOTDATA("Value",TD_WEAP_RAW!$A$3,"Variable",I$2,"Escenario",I$1,"Branch","Demand Sites and Catchments\"&amp;$D844),0)</f>
        <v>0</v>
      </c>
      <c r="J844" s="99"/>
      <c r="K844" s="99">
        <f>IFERROR(GETPIVOTDATA("Value",TD_WEAP_RAW!$A$3,"Variable",K$2,"Escenario",K$1,"Branch","Demand Sites and Catchments\"&amp;$D844),0)</f>
        <v>0</v>
      </c>
      <c r="L844" s="99">
        <f>IFERROR(GETPIVOTDATA("Value",TD_WEAP_RAW!$A$3,"Variable",L$2,"Escenario",L$1,"Branch","Demand Sites and Catchments\"&amp;$D844),0)</f>
        <v>0</v>
      </c>
    </row>
    <row r="845" spans="4:12">
      <c r="D845" s="53"/>
      <c r="G845" s="51"/>
      <c r="H845" s="99">
        <f>IFERROR(GETPIVOTDATA("Value",TD_WEAP_RAW!$A$3,"Variable",H$2,"Escenario",H$1,"Branch","Demand Sites and Catchments\"&amp;$D845),0)</f>
        <v>0</v>
      </c>
      <c r="I845" s="99">
        <f>IFERROR(GETPIVOTDATA("Value",TD_WEAP_RAW!$A$3,"Variable",I$2,"Escenario",I$1,"Branch","Demand Sites and Catchments\"&amp;$D845),0)</f>
        <v>0</v>
      </c>
      <c r="J845" s="99"/>
      <c r="K845" s="99">
        <f>IFERROR(GETPIVOTDATA("Value",TD_WEAP_RAW!$A$3,"Variable",K$2,"Escenario",K$1,"Branch","Demand Sites and Catchments\"&amp;$D845),0)</f>
        <v>0</v>
      </c>
      <c r="L845" s="99">
        <f>IFERROR(GETPIVOTDATA("Value",TD_WEAP_RAW!$A$3,"Variable",L$2,"Escenario",L$1,"Branch","Demand Sites and Catchments\"&amp;$D845),0)</f>
        <v>0</v>
      </c>
    </row>
    <row r="846" spans="4:12">
      <c r="D846" s="53"/>
      <c r="G846" s="51"/>
      <c r="H846" s="99">
        <f>IFERROR(GETPIVOTDATA("Value",TD_WEAP_RAW!$A$3,"Variable",H$2,"Escenario",H$1,"Branch","Demand Sites and Catchments\"&amp;$D846),0)</f>
        <v>0</v>
      </c>
      <c r="I846" s="99">
        <f>IFERROR(GETPIVOTDATA("Value",TD_WEAP_RAW!$A$3,"Variable",I$2,"Escenario",I$1,"Branch","Demand Sites and Catchments\"&amp;$D846),0)</f>
        <v>0</v>
      </c>
      <c r="J846" s="99"/>
      <c r="K846" s="99">
        <f>IFERROR(GETPIVOTDATA("Value",TD_WEAP_RAW!$A$3,"Variable",K$2,"Escenario",K$1,"Branch","Demand Sites and Catchments\"&amp;$D846),0)</f>
        <v>0</v>
      </c>
      <c r="L846" s="99">
        <f>IFERROR(GETPIVOTDATA("Value",TD_WEAP_RAW!$A$3,"Variable",L$2,"Escenario",L$1,"Branch","Demand Sites and Catchments\"&amp;$D846),0)</f>
        <v>0</v>
      </c>
    </row>
    <row r="847" spans="4:12">
      <c r="D847" s="53"/>
      <c r="G847" s="51"/>
      <c r="H847" s="99">
        <f>IFERROR(GETPIVOTDATA("Value",TD_WEAP_RAW!$A$3,"Variable",H$2,"Escenario",H$1,"Branch","Demand Sites and Catchments\"&amp;$D847),0)</f>
        <v>0</v>
      </c>
      <c r="I847" s="99">
        <f>IFERROR(GETPIVOTDATA("Value",TD_WEAP_RAW!$A$3,"Variable",I$2,"Escenario",I$1,"Branch","Demand Sites and Catchments\"&amp;$D847),0)</f>
        <v>0</v>
      </c>
      <c r="J847" s="99"/>
      <c r="K847" s="99">
        <f>IFERROR(GETPIVOTDATA("Value",TD_WEAP_RAW!$A$3,"Variable",K$2,"Escenario",K$1,"Branch","Demand Sites and Catchments\"&amp;$D847),0)</f>
        <v>0</v>
      </c>
      <c r="L847" s="99">
        <f>IFERROR(GETPIVOTDATA("Value",TD_WEAP_RAW!$A$3,"Variable",L$2,"Escenario",L$1,"Branch","Demand Sites and Catchments\"&amp;$D847),0)</f>
        <v>0</v>
      </c>
    </row>
    <row r="848" spans="4:12">
      <c r="D848" s="53"/>
      <c r="G848" s="51"/>
      <c r="H848" s="99">
        <f>IFERROR(GETPIVOTDATA("Value",TD_WEAP_RAW!$A$3,"Variable",H$2,"Escenario",H$1,"Branch","Demand Sites and Catchments\"&amp;$D848),0)</f>
        <v>0</v>
      </c>
      <c r="I848" s="99">
        <f>IFERROR(GETPIVOTDATA("Value",TD_WEAP_RAW!$A$3,"Variable",I$2,"Escenario",I$1,"Branch","Demand Sites and Catchments\"&amp;$D848),0)</f>
        <v>0</v>
      </c>
      <c r="J848" s="99"/>
      <c r="K848" s="99">
        <f>IFERROR(GETPIVOTDATA("Value",TD_WEAP_RAW!$A$3,"Variable",K$2,"Escenario",K$1,"Branch","Demand Sites and Catchments\"&amp;$D848),0)</f>
        <v>0</v>
      </c>
      <c r="L848" s="99">
        <f>IFERROR(GETPIVOTDATA("Value",TD_WEAP_RAW!$A$3,"Variable",L$2,"Escenario",L$1,"Branch","Demand Sites and Catchments\"&amp;$D848),0)</f>
        <v>0</v>
      </c>
    </row>
    <row r="849" spans="4:12">
      <c r="D849" s="53"/>
      <c r="G849" s="51"/>
      <c r="H849" s="99">
        <f>IFERROR(GETPIVOTDATA("Value",TD_WEAP_RAW!$A$3,"Variable",H$2,"Escenario",H$1,"Branch","Demand Sites and Catchments\"&amp;$D849),0)</f>
        <v>0</v>
      </c>
      <c r="I849" s="99">
        <f>IFERROR(GETPIVOTDATA("Value",TD_WEAP_RAW!$A$3,"Variable",I$2,"Escenario",I$1,"Branch","Demand Sites and Catchments\"&amp;$D849),0)</f>
        <v>0</v>
      </c>
      <c r="J849" s="99"/>
      <c r="K849" s="99">
        <f>IFERROR(GETPIVOTDATA("Value",TD_WEAP_RAW!$A$3,"Variable",K$2,"Escenario",K$1,"Branch","Demand Sites and Catchments\"&amp;$D849),0)</f>
        <v>0</v>
      </c>
      <c r="L849" s="99">
        <f>IFERROR(GETPIVOTDATA("Value",TD_WEAP_RAW!$A$3,"Variable",L$2,"Escenario",L$1,"Branch","Demand Sites and Catchments\"&amp;$D849),0)</f>
        <v>0</v>
      </c>
    </row>
    <row r="850" spans="4:12">
      <c r="D850" s="53"/>
      <c r="G850" s="51"/>
      <c r="H850" s="99">
        <f>IFERROR(GETPIVOTDATA("Value",TD_WEAP_RAW!$A$3,"Variable",H$2,"Escenario",H$1,"Branch","Demand Sites and Catchments\"&amp;$D850),0)</f>
        <v>0</v>
      </c>
      <c r="I850" s="99">
        <f>IFERROR(GETPIVOTDATA("Value",TD_WEAP_RAW!$A$3,"Variable",I$2,"Escenario",I$1,"Branch","Demand Sites and Catchments\"&amp;$D850),0)</f>
        <v>0</v>
      </c>
      <c r="J850" s="99"/>
      <c r="K850" s="99">
        <f>IFERROR(GETPIVOTDATA("Value",TD_WEAP_RAW!$A$3,"Variable",K$2,"Escenario",K$1,"Branch","Demand Sites and Catchments\"&amp;$D850),0)</f>
        <v>0</v>
      </c>
      <c r="L850" s="99">
        <f>IFERROR(GETPIVOTDATA("Value",TD_WEAP_RAW!$A$3,"Variable",L$2,"Escenario",L$1,"Branch","Demand Sites and Catchments\"&amp;$D850),0)</f>
        <v>0</v>
      </c>
    </row>
    <row r="851" spans="4:12">
      <c r="D851" s="53"/>
      <c r="G851" s="51"/>
      <c r="H851" s="99">
        <f>IFERROR(GETPIVOTDATA("Value",TD_WEAP_RAW!$A$3,"Variable",H$2,"Escenario",H$1,"Branch","Demand Sites and Catchments\"&amp;$D851),0)</f>
        <v>0</v>
      </c>
      <c r="I851" s="99">
        <f>IFERROR(GETPIVOTDATA("Value",TD_WEAP_RAW!$A$3,"Variable",I$2,"Escenario",I$1,"Branch","Demand Sites and Catchments\"&amp;$D851),0)</f>
        <v>0</v>
      </c>
      <c r="J851" s="99"/>
      <c r="K851" s="99">
        <f>IFERROR(GETPIVOTDATA("Value",TD_WEAP_RAW!$A$3,"Variable",K$2,"Escenario",K$1,"Branch","Demand Sites and Catchments\"&amp;$D851),0)</f>
        <v>0</v>
      </c>
      <c r="L851" s="99">
        <f>IFERROR(GETPIVOTDATA("Value",TD_WEAP_RAW!$A$3,"Variable",L$2,"Escenario",L$1,"Branch","Demand Sites and Catchments\"&amp;$D851),0)</f>
        <v>0</v>
      </c>
    </row>
    <row r="852" spans="4:12">
      <c r="D852" s="53"/>
      <c r="G852" s="51"/>
      <c r="H852" s="99">
        <f>IFERROR(GETPIVOTDATA("Value",TD_WEAP_RAW!$A$3,"Variable",H$2,"Escenario",H$1,"Branch","Demand Sites and Catchments\"&amp;$D852),0)</f>
        <v>0</v>
      </c>
      <c r="I852" s="99">
        <f>IFERROR(GETPIVOTDATA("Value",TD_WEAP_RAW!$A$3,"Variable",I$2,"Escenario",I$1,"Branch","Demand Sites and Catchments\"&amp;$D852),0)</f>
        <v>0</v>
      </c>
      <c r="J852" s="99"/>
      <c r="K852" s="99">
        <f>IFERROR(GETPIVOTDATA("Value",TD_WEAP_RAW!$A$3,"Variable",K$2,"Escenario",K$1,"Branch","Demand Sites and Catchments\"&amp;$D852),0)</f>
        <v>0</v>
      </c>
      <c r="L852" s="99">
        <f>IFERROR(GETPIVOTDATA("Value",TD_WEAP_RAW!$A$3,"Variable",L$2,"Escenario",L$1,"Branch","Demand Sites and Catchments\"&amp;$D852),0)</f>
        <v>0</v>
      </c>
    </row>
    <row r="853" spans="4:12">
      <c r="D853" s="53"/>
      <c r="G853" s="51"/>
      <c r="H853" s="99">
        <f>IFERROR(GETPIVOTDATA("Value",TD_WEAP_RAW!$A$3,"Variable",H$2,"Escenario",H$1,"Branch","Demand Sites and Catchments\"&amp;$D853),0)</f>
        <v>0</v>
      </c>
      <c r="I853" s="99">
        <f>IFERROR(GETPIVOTDATA("Value",TD_WEAP_RAW!$A$3,"Variable",I$2,"Escenario",I$1,"Branch","Demand Sites and Catchments\"&amp;$D853),0)</f>
        <v>0</v>
      </c>
      <c r="J853" s="99"/>
      <c r="K853" s="99">
        <f>IFERROR(GETPIVOTDATA("Value",TD_WEAP_RAW!$A$3,"Variable",K$2,"Escenario",K$1,"Branch","Demand Sites and Catchments\"&amp;$D853),0)</f>
        <v>0</v>
      </c>
      <c r="L853" s="99">
        <f>IFERROR(GETPIVOTDATA("Value",TD_WEAP_RAW!$A$3,"Variable",L$2,"Escenario",L$1,"Branch","Demand Sites and Catchments\"&amp;$D853),0)</f>
        <v>0</v>
      </c>
    </row>
    <row r="854" spans="4:12">
      <c r="D854" s="53"/>
      <c r="G854" s="51"/>
      <c r="H854" s="99">
        <f>IFERROR(GETPIVOTDATA("Value",TD_WEAP_RAW!$A$3,"Variable",H$2,"Escenario",H$1,"Branch","Demand Sites and Catchments\"&amp;$D854),0)</f>
        <v>0</v>
      </c>
      <c r="I854" s="99">
        <f>IFERROR(GETPIVOTDATA("Value",TD_WEAP_RAW!$A$3,"Variable",I$2,"Escenario",I$1,"Branch","Demand Sites and Catchments\"&amp;$D854),0)</f>
        <v>0</v>
      </c>
      <c r="J854" s="99"/>
      <c r="K854" s="99">
        <f>IFERROR(GETPIVOTDATA("Value",TD_WEAP_RAW!$A$3,"Variable",K$2,"Escenario",K$1,"Branch","Demand Sites and Catchments\"&amp;$D854),0)</f>
        <v>0</v>
      </c>
      <c r="L854" s="99">
        <f>IFERROR(GETPIVOTDATA("Value",TD_WEAP_RAW!$A$3,"Variable",L$2,"Escenario",L$1,"Branch","Demand Sites and Catchments\"&amp;$D854),0)</f>
        <v>0</v>
      </c>
    </row>
    <row r="855" spans="4:12">
      <c r="D855" s="53"/>
      <c r="G855" s="51"/>
      <c r="H855" s="99">
        <f>IFERROR(GETPIVOTDATA("Value",TD_WEAP_RAW!$A$3,"Variable",H$2,"Escenario",H$1,"Branch","Demand Sites and Catchments\"&amp;$D855),0)</f>
        <v>0</v>
      </c>
      <c r="I855" s="99">
        <f>IFERROR(GETPIVOTDATA("Value",TD_WEAP_RAW!$A$3,"Variable",I$2,"Escenario",I$1,"Branch","Demand Sites and Catchments\"&amp;$D855),0)</f>
        <v>0</v>
      </c>
      <c r="J855" s="99"/>
      <c r="K855" s="99">
        <f>IFERROR(GETPIVOTDATA("Value",TD_WEAP_RAW!$A$3,"Variable",K$2,"Escenario",K$1,"Branch","Demand Sites and Catchments\"&amp;$D855),0)</f>
        <v>0</v>
      </c>
      <c r="L855" s="99">
        <f>IFERROR(GETPIVOTDATA("Value",TD_WEAP_RAW!$A$3,"Variable",L$2,"Escenario",L$1,"Branch","Demand Sites and Catchments\"&amp;$D855),0)</f>
        <v>0</v>
      </c>
    </row>
    <row r="856" spans="4:12">
      <c r="D856" s="53"/>
      <c r="G856" s="51"/>
      <c r="H856" s="99">
        <f>IFERROR(GETPIVOTDATA("Value",TD_WEAP_RAW!$A$3,"Variable",H$2,"Escenario",H$1,"Branch","Demand Sites and Catchments\"&amp;$D856),0)</f>
        <v>0</v>
      </c>
      <c r="I856" s="99">
        <f>IFERROR(GETPIVOTDATA("Value",TD_WEAP_RAW!$A$3,"Variable",I$2,"Escenario",I$1,"Branch","Demand Sites and Catchments\"&amp;$D856),0)</f>
        <v>0</v>
      </c>
      <c r="J856" s="99"/>
      <c r="K856" s="99">
        <f>IFERROR(GETPIVOTDATA("Value",TD_WEAP_RAW!$A$3,"Variable",K$2,"Escenario",K$1,"Branch","Demand Sites and Catchments\"&amp;$D856),0)</f>
        <v>0</v>
      </c>
      <c r="L856" s="99">
        <f>IFERROR(GETPIVOTDATA("Value",TD_WEAP_RAW!$A$3,"Variable",L$2,"Escenario",L$1,"Branch","Demand Sites and Catchments\"&amp;$D856),0)</f>
        <v>0</v>
      </c>
    </row>
    <row r="857" spans="4:12">
      <c r="D857" s="53"/>
      <c r="G857" s="51"/>
      <c r="H857" s="99">
        <f>IFERROR(GETPIVOTDATA("Value",TD_WEAP_RAW!$A$3,"Variable",H$2,"Escenario",H$1,"Branch","Demand Sites and Catchments\"&amp;$D857),0)</f>
        <v>0</v>
      </c>
      <c r="I857" s="99">
        <f>IFERROR(GETPIVOTDATA("Value",TD_WEAP_RAW!$A$3,"Variable",I$2,"Escenario",I$1,"Branch","Demand Sites and Catchments\"&amp;$D857),0)</f>
        <v>0</v>
      </c>
      <c r="J857" s="99"/>
      <c r="K857" s="99">
        <f>IFERROR(GETPIVOTDATA("Value",TD_WEAP_RAW!$A$3,"Variable",K$2,"Escenario",K$1,"Branch","Demand Sites and Catchments\"&amp;$D857),0)</f>
        <v>0</v>
      </c>
      <c r="L857" s="99">
        <f>IFERROR(GETPIVOTDATA("Value",TD_WEAP_RAW!$A$3,"Variable",L$2,"Escenario",L$1,"Branch","Demand Sites and Catchments\"&amp;$D857),0)</f>
        <v>0</v>
      </c>
    </row>
    <row r="858" spans="4:12">
      <c r="D858" s="53"/>
      <c r="G858" s="51"/>
      <c r="H858" s="99">
        <f>IFERROR(GETPIVOTDATA("Value",TD_WEAP_RAW!$A$3,"Variable",H$2,"Escenario",H$1,"Branch","Demand Sites and Catchments\"&amp;$D858),0)</f>
        <v>0</v>
      </c>
      <c r="I858" s="99">
        <f>IFERROR(GETPIVOTDATA("Value",TD_WEAP_RAW!$A$3,"Variable",I$2,"Escenario",I$1,"Branch","Demand Sites and Catchments\"&amp;$D858),0)</f>
        <v>0</v>
      </c>
      <c r="J858" s="99"/>
      <c r="K858" s="99">
        <f>IFERROR(GETPIVOTDATA("Value",TD_WEAP_RAW!$A$3,"Variable",K$2,"Escenario",K$1,"Branch","Demand Sites and Catchments\"&amp;$D858),0)</f>
        <v>0</v>
      </c>
      <c r="L858" s="99">
        <f>IFERROR(GETPIVOTDATA("Value",TD_WEAP_RAW!$A$3,"Variable",L$2,"Escenario",L$1,"Branch","Demand Sites and Catchments\"&amp;$D858),0)</f>
        <v>0</v>
      </c>
    </row>
    <row r="859" spans="4:12">
      <c r="D859" s="53"/>
      <c r="G859" s="51"/>
      <c r="H859" s="99">
        <f>IFERROR(GETPIVOTDATA("Value",TD_WEAP_RAW!$A$3,"Variable",H$2,"Escenario",H$1,"Branch","Demand Sites and Catchments\"&amp;$D859),0)</f>
        <v>0</v>
      </c>
      <c r="I859" s="99">
        <f>IFERROR(GETPIVOTDATA("Value",TD_WEAP_RAW!$A$3,"Variable",I$2,"Escenario",I$1,"Branch","Demand Sites and Catchments\"&amp;$D859),0)</f>
        <v>0</v>
      </c>
      <c r="J859" s="99"/>
      <c r="K859" s="99">
        <f>IFERROR(GETPIVOTDATA("Value",TD_WEAP_RAW!$A$3,"Variable",K$2,"Escenario",K$1,"Branch","Demand Sites and Catchments\"&amp;$D859),0)</f>
        <v>0</v>
      </c>
      <c r="L859" s="99">
        <f>IFERROR(GETPIVOTDATA("Value",TD_WEAP_RAW!$A$3,"Variable",L$2,"Escenario",L$1,"Branch","Demand Sites and Catchments\"&amp;$D859),0)</f>
        <v>0</v>
      </c>
    </row>
    <row r="860" spans="4:12">
      <c r="D860" s="53"/>
      <c r="G860" s="51"/>
      <c r="H860" s="99">
        <f>IFERROR(GETPIVOTDATA("Value",TD_WEAP_RAW!$A$3,"Variable",H$2,"Escenario",H$1,"Branch","Demand Sites and Catchments\"&amp;$D860),0)</f>
        <v>0</v>
      </c>
      <c r="I860" s="99">
        <f>IFERROR(GETPIVOTDATA("Value",TD_WEAP_RAW!$A$3,"Variable",I$2,"Escenario",I$1,"Branch","Demand Sites and Catchments\"&amp;$D860),0)</f>
        <v>0</v>
      </c>
      <c r="J860" s="99"/>
      <c r="K860" s="99">
        <f>IFERROR(GETPIVOTDATA("Value",TD_WEAP_RAW!$A$3,"Variable",K$2,"Escenario",K$1,"Branch","Demand Sites and Catchments\"&amp;$D860),0)</f>
        <v>0</v>
      </c>
      <c r="L860" s="99">
        <f>IFERROR(GETPIVOTDATA("Value",TD_WEAP_RAW!$A$3,"Variable",L$2,"Escenario",L$1,"Branch","Demand Sites and Catchments\"&amp;$D860),0)</f>
        <v>0</v>
      </c>
    </row>
    <row r="861" spans="4:12">
      <c r="D861" s="53"/>
      <c r="G861" s="51"/>
      <c r="H861" s="99">
        <f>IFERROR(GETPIVOTDATA("Value",TD_WEAP_RAW!$A$3,"Variable",H$2,"Escenario",H$1,"Branch","Demand Sites and Catchments\"&amp;$D861),0)</f>
        <v>0</v>
      </c>
      <c r="I861" s="99">
        <f>IFERROR(GETPIVOTDATA("Value",TD_WEAP_RAW!$A$3,"Variable",I$2,"Escenario",I$1,"Branch","Demand Sites and Catchments\"&amp;$D861),0)</f>
        <v>0</v>
      </c>
      <c r="J861" s="99"/>
      <c r="K861" s="99">
        <f>IFERROR(GETPIVOTDATA("Value",TD_WEAP_RAW!$A$3,"Variable",K$2,"Escenario",K$1,"Branch","Demand Sites and Catchments\"&amp;$D861),0)</f>
        <v>0</v>
      </c>
      <c r="L861" s="99">
        <f>IFERROR(GETPIVOTDATA("Value",TD_WEAP_RAW!$A$3,"Variable",L$2,"Escenario",L$1,"Branch","Demand Sites and Catchments\"&amp;$D861),0)</f>
        <v>0</v>
      </c>
    </row>
    <row r="862" spans="4:12">
      <c r="D862" s="53"/>
      <c r="G862" s="51"/>
      <c r="H862" s="99">
        <f>IFERROR(GETPIVOTDATA("Value",TD_WEAP_RAW!$A$3,"Variable",H$2,"Escenario",H$1,"Branch","Demand Sites and Catchments\"&amp;$D862),0)</f>
        <v>0</v>
      </c>
      <c r="I862" s="99">
        <f>IFERROR(GETPIVOTDATA("Value",TD_WEAP_RAW!$A$3,"Variable",I$2,"Escenario",I$1,"Branch","Demand Sites and Catchments\"&amp;$D862),0)</f>
        <v>0</v>
      </c>
      <c r="J862" s="99"/>
      <c r="K862" s="99">
        <f>IFERROR(GETPIVOTDATA("Value",TD_WEAP_RAW!$A$3,"Variable",K$2,"Escenario",K$1,"Branch","Demand Sites and Catchments\"&amp;$D862),0)</f>
        <v>0</v>
      </c>
      <c r="L862" s="99">
        <f>IFERROR(GETPIVOTDATA("Value",TD_WEAP_RAW!$A$3,"Variable",L$2,"Escenario",L$1,"Branch","Demand Sites and Catchments\"&amp;$D862),0)</f>
        <v>0</v>
      </c>
    </row>
    <row r="863" spans="4:12">
      <c r="D863" s="53"/>
      <c r="G863" s="51"/>
      <c r="H863" s="99">
        <f>IFERROR(GETPIVOTDATA("Value",TD_WEAP_RAW!$A$3,"Variable",H$2,"Escenario",H$1,"Branch","Demand Sites and Catchments\"&amp;$D863),0)</f>
        <v>0</v>
      </c>
      <c r="I863" s="99">
        <f>IFERROR(GETPIVOTDATA("Value",TD_WEAP_RAW!$A$3,"Variable",I$2,"Escenario",I$1,"Branch","Demand Sites and Catchments\"&amp;$D863),0)</f>
        <v>0</v>
      </c>
      <c r="J863" s="99"/>
      <c r="K863" s="99">
        <f>IFERROR(GETPIVOTDATA("Value",TD_WEAP_RAW!$A$3,"Variable",K$2,"Escenario",K$1,"Branch","Demand Sites and Catchments\"&amp;$D863),0)</f>
        <v>0</v>
      </c>
      <c r="L863" s="99">
        <f>IFERROR(GETPIVOTDATA("Value",TD_WEAP_RAW!$A$3,"Variable",L$2,"Escenario",L$1,"Branch","Demand Sites and Catchments\"&amp;$D863),0)</f>
        <v>0</v>
      </c>
    </row>
    <row r="864" spans="4:12">
      <c r="D864" s="53"/>
      <c r="G864" s="51"/>
      <c r="H864" s="99">
        <f>IFERROR(GETPIVOTDATA("Value",TD_WEAP_RAW!$A$3,"Variable",H$2,"Escenario",H$1,"Branch","Demand Sites and Catchments\"&amp;$D864),0)</f>
        <v>0</v>
      </c>
      <c r="I864" s="99">
        <f>IFERROR(GETPIVOTDATA("Value",TD_WEAP_RAW!$A$3,"Variable",I$2,"Escenario",I$1,"Branch","Demand Sites and Catchments\"&amp;$D864),0)</f>
        <v>0</v>
      </c>
      <c r="J864" s="99"/>
      <c r="K864" s="99">
        <f>IFERROR(GETPIVOTDATA("Value",TD_WEAP_RAW!$A$3,"Variable",K$2,"Escenario",K$1,"Branch","Demand Sites and Catchments\"&amp;$D864),0)</f>
        <v>0</v>
      </c>
      <c r="L864" s="99">
        <f>IFERROR(GETPIVOTDATA("Value",TD_WEAP_RAW!$A$3,"Variable",L$2,"Escenario",L$1,"Branch","Demand Sites and Catchments\"&amp;$D864),0)</f>
        <v>0</v>
      </c>
    </row>
    <row r="865" spans="4:12">
      <c r="D865" s="53"/>
      <c r="G865" s="51"/>
      <c r="H865" s="99">
        <f>IFERROR(GETPIVOTDATA("Value",TD_WEAP_RAW!$A$3,"Variable",H$2,"Escenario",H$1,"Branch","Demand Sites and Catchments\"&amp;$D865),0)</f>
        <v>0</v>
      </c>
      <c r="I865" s="99">
        <f>IFERROR(GETPIVOTDATA("Value",TD_WEAP_RAW!$A$3,"Variable",I$2,"Escenario",I$1,"Branch","Demand Sites and Catchments\"&amp;$D865),0)</f>
        <v>0</v>
      </c>
      <c r="J865" s="99"/>
      <c r="K865" s="99">
        <f>IFERROR(GETPIVOTDATA("Value",TD_WEAP_RAW!$A$3,"Variable",K$2,"Escenario",K$1,"Branch","Demand Sites and Catchments\"&amp;$D865),0)</f>
        <v>0</v>
      </c>
      <c r="L865" s="99">
        <f>IFERROR(GETPIVOTDATA("Value",TD_WEAP_RAW!$A$3,"Variable",L$2,"Escenario",L$1,"Branch","Demand Sites and Catchments\"&amp;$D865),0)</f>
        <v>0</v>
      </c>
    </row>
    <row r="866" spans="4:12">
      <c r="D866" s="53"/>
      <c r="G866" s="51"/>
      <c r="H866" s="99">
        <f>IFERROR(GETPIVOTDATA("Value",TD_WEAP_RAW!$A$3,"Variable",H$2,"Escenario",H$1,"Branch","Demand Sites and Catchments\"&amp;$D866),0)</f>
        <v>0</v>
      </c>
      <c r="I866" s="99">
        <f>IFERROR(GETPIVOTDATA("Value",TD_WEAP_RAW!$A$3,"Variable",I$2,"Escenario",I$1,"Branch","Demand Sites and Catchments\"&amp;$D866),0)</f>
        <v>0</v>
      </c>
      <c r="J866" s="99"/>
      <c r="K866" s="99">
        <f>IFERROR(GETPIVOTDATA("Value",TD_WEAP_RAW!$A$3,"Variable",K$2,"Escenario",K$1,"Branch","Demand Sites and Catchments\"&amp;$D866),0)</f>
        <v>0</v>
      </c>
      <c r="L866" s="99">
        <f>IFERROR(GETPIVOTDATA("Value",TD_WEAP_RAW!$A$3,"Variable",L$2,"Escenario",L$1,"Branch","Demand Sites and Catchments\"&amp;$D866),0)</f>
        <v>0</v>
      </c>
    </row>
    <row r="867" spans="4:12">
      <c r="D867" s="53"/>
      <c r="G867" s="51"/>
      <c r="H867" s="99">
        <f>IFERROR(GETPIVOTDATA("Value",TD_WEAP_RAW!$A$3,"Variable",H$2,"Escenario",H$1,"Branch","Demand Sites and Catchments\"&amp;$D867),0)</f>
        <v>0</v>
      </c>
      <c r="I867" s="99">
        <f>IFERROR(GETPIVOTDATA("Value",TD_WEAP_RAW!$A$3,"Variable",I$2,"Escenario",I$1,"Branch","Demand Sites and Catchments\"&amp;$D867),0)</f>
        <v>0</v>
      </c>
      <c r="J867" s="99"/>
      <c r="K867" s="99">
        <f>IFERROR(GETPIVOTDATA("Value",TD_WEAP_RAW!$A$3,"Variable",K$2,"Escenario",K$1,"Branch","Demand Sites and Catchments\"&amp;$D867),0)</f>
        <v>0</v>
      </c>
      <c r="L867" s="99">
        <f>IFERROR(GETPIVOTDATA("Value",TD_WEAP_RAW!$A$3,"Variable",L$2,"Escenario",L$1,"Branch","Demand Sites and Catchments\"&amp;$D867),0)</f>
        <v>0</v>
      </c>
    </row>
    <row r="868" spans="4:12">
      <c r="D868" s="53"/>
      <c r="G868" s="51"/>
      <c r="H868" s="99">
        <f>IFERROR(GETPIVOTDATA("Value",TD_WEAP_RAW!$A$3,"Variable",H$2,"Escenario",H$1,"Branch","Demand Sites and Catchments\"&amp;$D868),0)</f>
        <v>0</v>
      </c>
      <c r="I868" s="99">
        <f>IFERROR(GETPIVOTDATA("Value",TD_WEAP_RAW!$A$3,"Variable",I$2,"Escenario",I$1,"Branch","Demand Sites and Catchments\"&amp;$D868),0)</f>
        <v>0</v>
      </c>
      <c r="J868" s="99"/>
      <c r="K868" s="99">
        <f>IFERROR(GETPIVOTDATA("Value",TD_WEAP_RAW!$A$3,"Variable",K$2,"Escenario",K$1,"Branch","Demand Sites and Catchments\"&amp;$D868),0)</f>
        <v>0</v>
      </c>
      <c r="L868" s="99">
        <f>IFERROR(GETPIVOTDATA("Value",TD_WEAP_RAW!$A$3,"Variable",L$2,"Escenario",L$1,"Branch","Demand Sites and Catchments\"&amp;$D868),0)</f>
        <v>0</v>
      </c>
    </row>
    <row r="869" spans="4:12">
      <c r="D869" s="53"/>
      <c r="G869" s="51"/>
      <c r="H869" s="99">
        <f>IFERROR(GETPIVOTDATA("Value",TD_WEAP_RAW!$A$3,"Variable",H$2,"Escenario",H$1,"Branch","Demand Sites and Catchments\"&amp;$D869),0)</f>
        <v>0</v>
      </c>
      <c r="I869" s="99">
        <f>IFERROR(GETPIVOTDATA("Value",TD_WEAP_RAW!$A$3,"Variable",I$2,"Escenario",I$1,"Branch","Demand Sites and Catchments\"&amp;$D869),0)</f>
        <v>0</v>
      </c>
      <c r="J869" s="99"/>
      <c r="K869" s="99">
        <f>IFERROR(GETPIVOTDATA("Value",TD_WEAP_RAW!$A$3,"Variable",K$2,"Escenario",K$1,"Branch","Demand Sites and Catchments\"&amp;$D869),0)</f>
        <v>0</v>
      </c>
      <c r="L869" s="99">
        <f>IFERROR(GETPIVOTDATA("Value",TD_WEAP_RAW!$A$3,"Variable",L$2,"Escenario",L$1,"Branch","Demand Sites and Catchments\"&amp;$D869),0)</f>
        <v>0</v>
      </c>
    </row>
    <row r="870" spans="4:12">
      <c r="D870" s="53"/>
      <c r="G870" s="51"/>
      <c r="H870" s="99">
        <f>IFERROR(GETPIVOTDATA("Value",TD_WEAP_RAW!$A$3,"Variable",H$2,"Escenario",H$1,"Branch","Demand Sites and Catchments\"&amp;$D870),0)</f>
        <v>0</v>
      </c>
      <c r="I870" s="99">
        <f>IFERROR(GETPIVOTDATA("Value",TD_WEAP_RAW!$A$3,"Variable",I$2,"Escenario",I$1,"Branch","Demand Sites and Catchments\"&amp;$D870),0)</f>
        <v>0</v>
      </c>
      <c r="J870" s="99"/>
      <c r="K870" s="99">
        <f>IFERROR(GETPIVOTDATA("Value",TD_WEAP_RAW!$A$3,"Variable",K$2,"Escenario",K$1,"Branch","Demand Sites and Catchments\"&amp;$D870),0)</f>
        <v>0</v>
      </c>
      <c r="L870" s="99">
        <f>IFERROR(GETPIVOTDATA("Value",TD_WEAP_RAW!$A$3,"Variable",L$2,"Escenario",L$1,"Branch","Demand Sites and Catchments\"&amp;$D870),0)</f>
        <v>0</v>
      </c>
    </row>
    <row r="871" spans="4:12">
      <c r="D871" s="53"/>
      <c r="G871" s="51"/>
      <c r="H871" s="99">
        <f>IFERROR(GETPIVOTDATA("Value",TD_WEAP_RAW!$A$3,"Variable",H$2,"Escenario",H$1,"Branch","Demand Sites and Catchments\"&amp;$D871),0)</f>
        <v>0</v>
      </c>
      <c r="I871" s="99">
        <f>IFERROR(GETPIVOTDATA("Value",TD_WEAP_RAW!$A$3,"Variable",I$2,"Escenario",I$1,"Branch","Demand Sites and Catchments\"&amp;$D871),0)</f>
        <v>0</v>
      </c>
      <c r="J871" s="99"/>
      <c r="K871" s="99">
        <f>IFERROR(GETPIVOTDATA("Value",TD_WEAP_RAW!$A$3,"Variable",K$2,"Escenario",K$1,"Branch","Demand Sites and Catchments\"&amp;$D871),0)</f>
        <v>0</v>
      </c>
      <c r="L871" s="99">
        <f>IFERROR(GETPIVOTDATA("Value",TD_WEAP_RAW!$A$3,"Variable",L$2,"Escenario",L$1,"Branch","Demand Sites and Catchments\"&amp;$D871),0)</f>
        <v>0</v>
      </c>
    </row>
    <row r="872" spans="4:12">
      <c r="D872" s="53"/>
      <c r="G872" s="51"/>
      <c r="H872" s="99">
        <f>IFERROR(GETPIVOTDATA("Value",TD_WEAP_RAW!$A$3,"Variable",H$2,"Escenario",H$1,"Branch","Demand Sites and Catchments\"&amp;$D872),0)</f>
        <v>0</v>
      </c>
      <c r="I872" s="99">
        <f>IFERROR(GETPIVOTDATA("Value",TD_WEAP_RAW!$A$3,"Variable",I$2,"Escenario",I$1,"Branch","Demand Sites and Catchments\"&amp;$D872),0)</f>
        <v>0</v>
      </c>
      <c r="J872" s="99"/>
      <c r="K872" s="99">
        <f>IFERROR(GETPIVOTDATA("Value",TD_WEAP_RAW!$A$3,"Variable",K$2,"Escenario",K$1,"Branch","Demand Sites and Catchments\"&amp;$D872),0)</f>
        <v>0</v>
      </c>
      <c r="L872" s="99">
        <f>IFERROR(GETPIVOTDATA("Value",TD_WEAP_RAW!$A$3,"Variable",L$2,"Escenario",L$1,"Branch","Demand Sites and Catchments\"&amp;$D872),0)</f>
        <v>0</v>
      </c>
    </row>
    <row r="873" spans="4:12">
      <c r="D873" s="53"/>
      <c r="G873" s="51"/>
      <c r="H873" s="99">
        <f>IFERROR(GETPIVOTDATA("Value",TD_WEAP_RAW!$A$3,"Variable",H$2,"Escenario",H$1,"Branch","Demand Sites and Catchments\"&amp;$D873),0)</f>
        <v>0</v>
      </c>
      <c r="I873" s="99">
        <f>IFERROR(GETPIVOTDATA("Value",TD_WEAP_RAW!$A$3,"Variable",I$2,"Escenario",I$1,"Branch","Demand Sites and Catchments\"&amp;$D873),0)</f>
        <v>0</v>
      </c>
      <c r="J873" s="99"/>
      <c r="K873" s="99">
        <f>IFERROR(GETPIVOTDATA("Value",TD_WEAP_RAW!$A$3,"Variable",K$2,"Escenario",K$1,"Branch","Demand Sites and Catchments\"&amp;$D873),0)</f>
        <v>0</v>
      </c>
      <c r="L873" s="99">
        <f>IFERROR(GETPIVOTDATA("Value",TD_WEAP_RAW!$A$3,"Variable",L$2,"Escenario",L$1,"Branch","Demand Sites and Catchments\"&amp;$D873),0)</f>
        <v>0</v>
      </c>
    </row>
    <row r="874" spans="4:12">
      <c r="D874" s="53"/>
      <c r="G874" s="51"/>
      <c r="H874" s="99">
        <f>IFERROR(GETPIVOTDATA("Value",TD_WEAP_RAW!$A$3,"Variable",H$2,"Escenario",H$1,"Branch","Demand Sites and Catchments\"&amp;$D874),0)</f>
        <v>0</v>
      </c>
      <c r="I874" s="99">
        <f>IFERROR(GETPIVOTDATA("Value",TD_WEAP_RAW!$A$3,"Variable",I$2,"Escenario",I$1,"Branch","Demand Sites and Catchments\"&amp;$D874),0)</f>
        <v>0</v>
      </c>
      <c r="J874" s="99"/>
      <c r="K874" s="99">
        <f>IFERROR(GETPIVOTDATA("Value",TD_WEAP_RAW!$A$3,"Variable",K$2,"Escenario",K$1,"Branch","Demand Sites and Catchments\"&amp;$D874),0)</f>
        <v>0</v>
      </c>
      <c r="L874" s="99">
        <f>IFERROR(GETPIVOTDATA("Value",TD_WEAP_RAW!$A$3,"Variable",L$2,"Escenario",L$1,"Branch","Demand Sites and Catchments\"&amp;$D874),0)</f>
        <v>0</v>
      </c>
    </row>
    <row r="875" spans="4:12">
      <c r="D875" s="53"/>
      <c r="G875" s="51"/>
      <c r="H875" s="99">
        <f>IFERROR(GETPIVOTDATA("Value",TD_WEAP_RAW!$A$3,"Variable",H$2,"Escenario",H$1,"Branch","Demand Sites and Catchments\"&amp;$D875),0)</f>
        <v>0</v>
      </c>
      <c r="I875" s="99">
        <f>IFERROR(GETPIVOTDATA("Value",TD_WEAP_RAW!$A$3,"Variable",I$2,"Escenario",I$1,"Branch","Demand Sites and Catchments\"&amp;$D875),0)</f>
        <v>0</v>
      </c>
      <c r="J875" s="99"/>
      <c r="K875" s="99">
        <f>IFERROR(GETPIVOTDATA("Value",TD_WEAP_RAW!$A$3,"Variable",K$2,"Escenario",K$1,"Branch","Demand Sites and Catchments\"&amp;$D875),0)</f>
        <v>0</v>
      </c>
      <c r="L875" s="99">
        <f>IFERROR(GETPIVOTDATA("Value",TD_WEAP_RAW!$A$3,"Variable",L$2,"Escenario",L$1,"Branch","Demand Sites and Catchments\"&amp;$D875),0)</f>
        <v>0</v>
      </c>
    </row>
    <row r="876" spans="4:12">
      <c r="D876" s="53"/>
      <c r="G876" s="51"/>
      <c r="H876" s="99">
        <f>IFERROR(GETPIVOTDATA("Value",TD_WEAP_RAW!$A$3,"Variable",H$2,"Escenario",H$1,"Branch","Demand Sites and Catchments\"&amp;$D876),0)</f>
        <v>0</v>
      </c>
      <c r="I876" s="99">
        <f>IFERROR(GETPIVOTDATA("Value",TD_WEAP_RAW!$A$3,"Variable",I$2,"Escenario",I$1,"Branch","Demand Sites and Catchments\"&amp;$D876),0)</f>
        <v>0</v>
      </c>
      <c r="J876" s="99"/>
      <c r="K876" s="99">
        <f>IFERROR(GETPIVOTDATA("Value",TD_WEAP_RAW!$A$3,"Variable",K$2,"Escenario",K$1,"Branch","Demand Sites and Catchments\"&amp;$D876),0)</f>
        <v>0</v>
      </c>
      <c r="L876" s="99">
        <f>IFERROR(GETPIVOTDATA("Value",TD_WEAP_RAW!$A$3,"Variable",L$2,"Escenario",L$1,"Branch","Demand Sites and Catchments\"&amp;$D876),0)</f>
        <v>0</v>
      </c>
    </row>
    <row r="877" spans="4:12">
      <c r="D877" s="53"/>
      <c r="G877" s="51"/>
      <c r="H877" s="99">
        <f>IFERROR(GETPIVOTDATA("Value",TD_WEAP_RAW!$A$3,"Variable",H$2,"Escenario",H$1,"Branch","Demand Sites and Catchments\"&amp;$D877),0)</f>
        <v>0</v>
      </c>
      <c r="I877" s="99">
        <f>IFERROR(GETPIVOTDATA("Value",TD_WEAP_RAW!$A$3,"Variable",I$2,"Escenario",I$1,"Branch","Demand Sites and Catchments\"&amp;$D877),0)</f>
        <v>0</v>
      </c>
      <c r="J877" s="99"/>
      <c r="K877" s="99">
        <f>IFERROR(GETPIVOTDATA("Value",TD_WEAP_RAW!$A$3,"Variable",K$2,"Escenario",K$1,"Branch","Demand Sites and Catchments\"&amp;$D877),0)</f>
        <v>0</v>
      </c>
      <c r="L877" s="99">
        <f>IFERROR(GETPIVOTDATA("Value",TD_WEAP_RAW!$A$3,"Variable",L$2,"Escenario",L$1,"Branch","Demand Sites and Catchments\"&amp;$D877),0)</f>
        <v>0</v>
      </c>
    </row>
    <row r="878" spans="4:12">
      <c r="D878" s="53"/>
      <c r="G878" s="51"/>
      <c r="H878" s="99">
        <f>IFERROR(GETPIVOTDATA("Value",TD_WEAP_RAW!$A$3,"Variable",H$2,"Escenario",H$1,"Branch","Demand Sites and Catchments\"&amp;$D878),0)</f>
        <v>0</v>
      </c>
      <c r="I878" s="99">
        <f>IFERROR(GETPIVOTDATA("Value",TD_WEAP_RAW!$A$3,"Variable",I$2,"Escenario",I$1,"Branch","Demand Sites and Catchments\"&amp;$D878),0)</f>
        <v>0</v>
      </c>
      <c r="J878" s="99"/>
      <c r="K878" s="99">
        <f>IFERROR(GETPIVOTDATA("Value",TD_WEAP_RAW!$A$3,"Variable",K$2,"Escenario",K$1,"Branch","Demand Sites and Catchments\"&amp;$D878),0)</f>
        <v>0</v>
      </c>
      <c r="L878" s="99">
        <f>IFERROR(GETPIVOTDATA("Value",TD_WEAP_RAW!$A$3,"Variable",L$2,"Escenario",L$1,"Branch","Demand Sites and Catchments\"&amp;$D878),0)</f>
        <v>0</v>
      </c>
    </row>
    <row r="879" spans="4:12">
      <c r="D879" s="53"/>
      <c r="G879" s="51"/>
      <c r="H879" s="99">
        <f>IFERROR(GETPIVOTDATA("Value",TD_WEAP_RAW!$A$3,"Variable",H$2,"Escenario",H$1,"Branch","Demand Sites and Catchments\"&amp;$D879),0)</f>
        <v>0</v>
      </c>
      <c r="I879" s="99">
        <f>IFERROR(GETPIVOTDATA("Value",TD_WEAP_RAW!$A$3,"Variable",I$2,"Escenario",I$1,"Branch","Demand Sites and Catchments\"&amp;$D879),0)</f>
        <v>0</v>
      </c>
      <c r="J879" s="99"/>
      <c r="K879" s="99">
        <f>IFERROR(GETPIVOTDATA("Value",TD_WEAP_RAW!$A$3,"Variable",K$2,"Escenario",K$1,"Branch","Demand Sites and Catchments\"&amp;$D879),0)</f>
        <v>0</v>
      </c>
      <c r="L879" s="99">
        <f>IFERROR(GETPIVOTDATA("Value",TD_WEAP_RAW!$A$3,"Variable",L$2,"Escenario",L$1,"Branch","Demand Sites and Catchments\"&amp;$D879),0)</f>
        <v>0</v>
      </c>
    </row>
    <row r="880" spans="4:12">
      <c r="D880" s="53"/>
      <c r="G880" s="51"/>
      <c r="H880" s="99">
        <f>IFERROR(GETPIVOTDATA("Value",TD_WEAP_RAW!$A$3,"Variable",H$2,"Escenario",H$1,"Branch","Demand Sites and Catchments\"&amp;$D880),0)</f>
        <v>0</v>
      </c>
      <c r="I880" s="99">
        <f>IFERROR(GETPIVOTDATA("Value",TD_WEAP_RAW!$A$3,"Variable",I$2,"Escenario",I$1,"Branch","Demand Sites and Catchments\"&amp;$D880),0)</f>
        <v>0</v>
      </c>
      <c r="J880" s="99"/>
      <c r="K880" s="99">
        <f>IFERROR(GETPIVOTDATA("Value",TD_WEAP_RAW!$A$3,"Variable",K$2,"Escenario",K$1,"Branch","Demand Sites and Catchments\"&amp;$D880),0)</f>
        <v>0</v>
      </c>
      <c r="L880" s="99">
        <f>IFERROR(GETPIVOTDATA("Value",TD_WEAP_RAW!$A$3,"Variable",L$2,"Escenario",L$1,"Branch","Demand Sites and Catchments\"&amp;$D880),0)</f>
        <v>0</v>
      </c>
    </row>
    <row r="881" spans="4:12">
      <c r="D881" s="53"/>
      <c r="G881" s="51"/>
      <c r="H881" s="99">
        <f>IFERROR(GETPIVOTDATA("Value",TD_WEAP_RAW!$A$3,"Variable",H$2,"Escenario",H$1,"Branch","Demand Sites and Catchments\"&amp;$D881),0)</f>
        <v>0</v>
      </c>
      <c r="I881" s="99">
        <f>IFERROR(GETPIVOTDATA("Value",TD_WEAP_RAW!$A$3,"Variable",I$2,"Escenario",I$1,"Branch","Demand Sites and Catchments\"&amp;$D881),0)</f>
        <v>0</v>
      </c>
      <c r="J881" s="99"/>
      <c r="K881" s="99">
        <f>IFERROR(GETPIVOTDATA("Value",TD_WEAP_RAW!$A$3,"Variable",K$2,"Escenario",K$1,"Branch","Demand Sites and Catchments\"&amp;$D881),0)</f>
        <v>0</v>
      </c>
      <c r="L881" s="99">
        <f>IFERROR(GETPIVOTDATA("Value",TD_WEAP_RAW!$A$3,"Variable",L$2,"Escenario",L$1,"Branch","Demand Sites and Catchments\"&amp;$D881),0)</f>
        <v>0</v>
      </c>
    </row>
    <row r="882" spans="4:12">
      <c r="D882" s="53"/>
      <c r="G882" s="51"/>
      <c r="H882" s="99">
        <f>IFERROR(GETPIVOTDATA("Value",TD_WEAP_RAW!$A$3,"Variable",H$2,"Escenario",H$1,"Branch","Demand Sites and Catchments\"&amp;$D882),0)</f>
        <v>0</v>
      </c>
      <c r="I882" s="99">
        <f>IFERROR(GETPIVOTDATA("Value",TD_WEAP_RAW!$A$3,"Variable",I$2,"Escenario",I$1,"Branch","Demand Sites and Catchments\"&amp;$D882),0)</f>
        <v>0</v>
      </c>
      <c r="J882" s="99"/>
      <c r="K882" s="99">
        <f>IFERROR(GETPIVOTDATA("Value",TD_WEAP_RAW!$A$3,"Variable",K$2,"Escenario",K$1,"Branch","Demand Sites and Catchments\"&amp;$D882),0)</f>
        <v>0</v>
      </c>
      <c r="L882" s="99">
        <f>IFERROR(GETPIVOTDATA("Value",TD_WEAP_RAW!$A$3,"Variable",L$2,"Escenario",L$1,"Branch","Demand Sites and Catchments\"&amp;$D882),0)</f>
        <v>0</v>
      </c>
    </row>
    <row r="883" spans="4:12">
      <c r="D883" s="53"/>
      <c r="G883" s="51"/>
      <c r="H883" s="99">
        <f>IFERROR(GETPIVOTDATA("Value",TD_WEAP_RAW!$A$3,"Variable",H$2,"Escenario",H$1,"Branch","Demand Sites and Catchments\"&amp;$D883),0)</f>
        <v>0</v>
      </c>
      <c r="I883" s="99">
        <f>IFERROR(GETPIVOTDATA("Value",TD_WEAP_RAW!$A$3,"Variable",I$2,"Escenario",I$1,"Branch","Demand Sites and Catchments\"&amp;$D883),0)</f>
        <v>0</v>
      </c>
      <c r="J883" s="99"/>
      <c r="K883" s="99">
        <f>IFERROR(GETPIVOTDATA("Value",TD_WEAP_RAW!$A$3,"Variable",K$2,"Escenario",K$1,"Branch","Demand Sites and Catchments\"&amp;$D883),0)</f>
        <v>0</v>
      </c>
      <c r="L883" s="99">
        <f>IFERROR(GETPIVOTDATA("Value",TD_WEAP_RAW!$A$3,"Variable",L$2,"Escenario",L$1,"Branch","Demand Sites and Catchments\"&amp;$D883),0)</f>
        <v>0</v>
      </c>
    </row>
    <row r="884" spans="4:12">
      <c r="D884" s="53"/>
      <c r="G884" s="51"/>
      <c r="H884" s="99">
        <f>IFERROR(GETPIVOTDATA("Value",TD_WEAP_RAW!$A$3,"Variable",H$2,"Escenario",H$1,"Branch","Demand Sites and Catchments\"&amp;$D884),0)</f>
        <v>0</v>
      </c>
      <c r="I884" s="99">
        <f>IFERROR(GETPIVOTDATA("Value",TD_WEAP_RAW!$A$3,"Variable",I$2,"Escenario",I$1,"Branch","Demand Sites and Catchments\"&amp;$D884),0)</f>
        <v>0</v>
      </c>
      <c r="J884" s="99"/>
      <c r="K884" s="99">
        <f>IFERROR(GETPIVOTDATA("Value",TD_WEAP_RAW!$A$3,"Variable",K$2,"Escenario",K$1,"Branch","Demand Sites and Catchments\"&amp;$D884),0)</f>
        <v>0</v>
      </c>
      <c r="L884" s="99">
        <f>IFERROR(GETPIVOTDATA("Value",TD_WEAP_RAW!$A$3,"Variable",L$2,"Escenario",L$1,"Branch","Demand Sites and Catchments\"&amp;$D884),0)</f>
        <v>0</v>
      </c>
    </row>
    <row r="885" spans="4:12">
      <c r="D885" s="53"/>
      <c r="G885" s="51"/>
      <c r="H885" s="99">
        <f>IFERROR(GETPIVOTDATA("Value",TD_WEAP_RAW!$A$3,"Variable",H$2,"Escenario",H$1,"Branch","Demand Sites and Catchments\"&amp;$D885),0)</f>
        <v>0</v>
      </c>
      <c r="I885" s="99">
        <f>IFERROR(GETPIVOTDATA("Value",TD_WEAP_RAW!$A$3,"Variable",I$2,"Escenario",I$1,"Branch","Demand Sites and Catchments\"&amp;$D885),0)</f>
        <v>0</v>
      </c>
      <c r="J885" s="99"/>
      <c r="K885" s="99">
        <f>IFERROR(GETPIVOTDATA("Value",TD_WEAP_RAW!$A$3,"Variable",K$2,"Escenario",K$1,"Branch","Demand Sites and Catchments\"&amp;$D885),0)</f>
        <v>0</v>
      </c>
      <c r="L885" s="99">
        <f>IFERROR(GETPIVOTDATA("Value",TD_WEAP_RAW!$A$3,"Variable",L$2,"Escenario",L$1,"Branch","Demand Sites and Catchments\"&amp;$D885),0)</f>
        <v>0</v>
      </c>
    </row>
    <row r="886" spans="4:12">
      <c r="D886" s="53"/>
      <c r="G886" s="51"/>
      <c r="H886" s="99">
        <f>IFERROR(GETPIVOTDATA("Value",TD_WEAP_RAW!$A$3,"Variable",H$2,"Escenario",H$1,"Branch","Demand Sites and Catchments\"&amp;$D886),0)</f>
        <v>0</v>
      </c>
      <c r="I886" s="99">
        <f>IFERROR(GETPIVOTDATA("Value",TD_WEAP_RAW!$A$3,"Variable",I$2,"Escenario",I$1,"Branch","Demand Sites and Catchments\"&amp;$D886),0)</f>
        <v>0</v>
      </c>
      <c r="J886" s="99"/>
      <c r="K886" s="99">
        <f>IFERROR(GETPIVOTDATA("Value",TD_WEAP_RAW!$A$3,"Variable",K$2,"Escenario",K$1,"Branch","Demand Sites and Catchments\"&amp;$D886),0)</f>
        <v>0</v>
      </c>
      <c r="L886" s="99">
        <f>IFERROR(GETPIVOTDATA("Value",TD_WEAP_RAW!$A$3,"Variable",L$2,"Escenario",L$1,"Branch","Demand Sites and Catchments\"&amp;$D886),0)</f>
        <v>0</v>
      </c>
    </row>
    <row r="887" spans="4:12">
      <c r="D887" s="53"/>
      <c r="G887" s="51"/>
      <c r="H887" s="99">
        <f>IFERROR(GETPIVOTDATA("Value",TD_WEAP_RAW!$A$3,"Variable",H$2,"Escenario",H$1,"Branch","Demand Sites and Catchments\"&amp;$D887),0)</f>
        <v>0</v>
      </c>
      <c r="I887" s="99">
        <f>IFERROR(GETPIVOTDATA("Value",TD_WEAP_RAW!$A$3,"Variable",I$2,"Escenario",I$1,"Branch","Demand Sites and Catchments\"&amp;$D887),0)</f>
        <v>0</v>
      </c>
      <c r="J887" s="99"/>
      <c r="K887" s="99">
        <f>IFERROR(GETPIVOTDATA("Value",TD_WEAP_RAW!$A$3,"Variable",K$2,"Escenario",K$1,"Branch","Demand Sites and Catchments\"&amp;$D887),0)</f>
        <v>0</v>
      </c>
      <c r="L887" s="99">
        <f>IFERROR(GETPIVOTDATA("Value",TD_WEAP_RAW!$A$3,"Variable",L$2,"Escenario",L$1,"Branch","Demand Sites and Catchments\"&amp;$D887),0)</f>
        <v>0</v>
      </c>
    </row>
    <row r="888" spans="4:12">
      <c r="D888" s="53"/>
      <c r="G888" s="51"/>
      <c r="H888" s="99">
        <f>IFERROR(GETPIVOTDATA("Value",TD_WEAP_RAW!$A$3,"Variable",H$2,"Escenario",H$1,"Branch","Demand Sites and Catchments\"&amp;$D888),0)</f>
        <v>0</v>
      </c>
      <c r="I888" s="99">
        <f>IFERROR(GETPIVOTDATA("Value",TD_WEAP_RAW!$A$3,"Variable",I$2,"Escenario",I$1,"Branch","Demand Sites and Catchments\"&amp;$D888),0)</f>
        <v>0</v>
      </c>
      <c r="J888" s="99"/>
      <c r="K888" s="99">
        <f>IFERROR(GETPIVOTDATA("Value",TD_WEAP_RAW!$A$3,"Variable",K$2,"Escenario",K$1,"Branch","Demand Sites and Catchments\"&amp;$D888),0)</f>
        <v>0</v>
      </c>
      <c r="L888" s="99">
        <f>IFERROR(GETPIVOTDATA("Value",TD_WEAP_RAW!$A$3,"Variable",L$2,"Escenario",L$1,"Branch","Demand Sites and Catchments\"&amp;$D888),0)</f>
        <v>0</v>
      </c>
    </row>
    <row r="889" spans="4:12">
      <c r="D889" s="53"/>
      <c r="G889" s="51"/>
      <c r="H889" s="99">
        <f>IFERROR(GETPIVOTDATA("Value",TD_WEAP_RAW!$A$3,"Variable",H$2,"Escenario",H$1,"Branch","Demand Sites and Catchments\"&amp;$D889),0)</f>
        <v>0</v>
      </c>
      <c r="I889" s="99">
        <f>IFERROR(GETPIVOTDATA("Value",TD_WEAP_RAW!$A$3,"Variable",I$2,"Escenario",I$1,"Branch","Demand Sites and Catchments\"&amp;$D889),0)</f>
        <v>0</v>
      </c>
      <c r="J889" s="99"/>
      <c r="K889" s="99">
        <f>IFERROR(GETPIVOTDATA("Value",TD_WEAP_RAW!$A$3,"Variable",K$2,"Escenario",K$1,"Branch","Demand Sites and Catchments\"&amp;$D889),0)</f>
        <v>0</v>
      </c>
      <c r="L889" s="99">
        <f>IFERROR(GETPIVOTDATA("Value",TD_WEAP_RAW!$A$3,"Variable",L$2,"Escenario",L$1,"Branch","Demand Sites and Catchments\"&amp;$D889),0)</f>
        <v>0</v>
      </c>
    </row>
    <row r="890" spans="4:12">
      <c r="D890" s="53"/>
      <c r="G890" s="51"/>
      <c r="H890" s="99">
        <f>IFERROR(GETPIVOTDATA("Value",TD_WEAP_RAW!$A$3,"Variable",H$2,"Escenario",H$1,"Branch","Demand Sites and Catchments\"&amp;$D890),0)</f>
        <v>0</v>
      </c>
      <c r="I890" s="99">
        <f>IFERROR(GETPIVOTDATA("Value",TD_WEAP_RAW!$A$3,"Variable",I$2,"Escenario",I$1,"Branch","Demand Sites and Catchments\"&amp;$D890),0)</f>
        <v>0</v>
      </c>
      <c r="J890" s="99"/>
      <c r="K890" s="99">
        <f>IFERROR(GETPIVOTDATA("Value",TD_WEAP_RAW!$A$3,"Variable",K$2,"Escenario",K$1,"Branch","Demand Sites and Catchments\"&amp;$D890),0)</f>
        <v>0</v>
      </c>
      <c r="L890" s="99">
        <f>IFERROR(GETPIVOTDATA("Value",TD_WEAP_RAW!$A$3,"Variable",L$2,"Escenario",L$1,"Branch","Demand Sites and Catchments\"&amp;$D890),0)</f>
        <v>0</v>
      </c>
    </row>
    <row r="891" spans="4:12">
      <c r="D891" s="53"/>
      <c r="G891" s="51"/>
      <c r="H891" s="99">
        <f>IFERROR(GETPIVOTDATA("Value",TD_WEAP_RAW!$A$3,"Variable",H$2,"Escenario",H$1,"Branch","Demand Sites and Catchments\"&amp;$D891),0)</f>
        <v>0</v>
      </c>
      <c r="I891" s="99">
        <f>IFERROR(GETPIVOTDATA("Value",TD_WEAP_RAW!$A$3,"Variable",I$2,"Escenario",I$1,"Branch","Demand Sites and Catchments\"&amp;$D891),0)</f>
        <v>0</v>
      </c>
      <c r="J891" s="99"/>
      <c r="K891" s="99">
        <f>IFERROR(GETPIVOTDATA("Value",TD_WEAP_RAW!$A$3,"Variable",K$2,"Escenario",K$1,"Branch","Demand Sites and Catchments\"&amp;$D891),0)</f>
        <v>0</v>
      </c>
      <c r="L891" s="99">
        <f>IFERROR(GETPIVOTDATA("Value",TD_WEAP_RAW!$A$3,"Variable",L$2,"Escenario",L$1,"Branch","Demand Sites and Catchments\"&amp;$D891),0)</f>
        <v>0</v>
      </c>
    </row>
    <row r="892" spans="4:12">
      <c r="D892" s="53"/>
      <c r="G892" s="51"/>
      <c r="H892" s="99">
        <f>IFERROR(GETPIVOTDATA("Value",TD_WEAP_RAW!$A$3,"Variable",H$2,"Escenario",H$1,"Branch","Demand Sites and Catchments\"&amp;$D892),0)</f>
        <v>0</v>
      </c>
      <c r="I892" s="99">
        <f>IFERROR(GETPIVOTDATA("Value",TD_WEAP_RAW!$A$3,"Variable",I$2,"Escenario",I$1,"Branch","Demand Sites and Catchments\"&amp;$D892),0)</f>
        <v>0</v>
      </c>
      <c r="J892" s="99"/>
      <c r="K892" s="99">
        <f>IFERROR(GETPIVOTDATA("Value",TD_WEAP_RAW!$A$3,"Variable",K$2,"Escenario",K$1,"Branch","Demand Sites and Catchments\"&amp;$D892),0)</f>
        <v>0</v>
      </c>
      <c r="L892" s="99">
        <f>IFERROR(GETPIVOTDATA("Value",TD_WEAP_RAW!$A$3,"Variable",L$2,"Escenario",L$1,"Branch","Demand Sites and Catchments\"&amp;$D892),0)</f>
        <v>0</v>
      </c>
    </row>
    <row r="893" spans="4:12">
      <c r="D893" s="53"/>
      <c r="G893" s="51"/>
      <c r="H893" s="99">
        <f>IFERROR(GETPIVOTDATA("Value",TD_WEAP_RAW!$A$3,"Variable",H$2,"Escenario",H$1,"Branch","Demand Sites and Catchments\"&amp;$D893),0)</f>
        <v>0</v>
      </c>
      <c r="I893" s="99">
        <f>IFERROR(GETPIVOTDATA("Value",TD_WEAP_RAW!$A$3,"Variable",I$2,"Escenario",I$1,"Branch","Demand Sites and Catchments\"&amp;$D893),0)</f>
        <v>0</v>
      </c>
      <c r="J893" s="99"/>
      <c r="K893" s="99">
        <f>IFERROR(GETPIVOTDATA("Value",TD_WEAP_RAW!$A$3,"Variable",K$2,"Escenario",K$1,"Branch","Demand Sites and Catchments\"&amp;$D893),0)</f>
        <v>0</v>
      </c>
      <c r="L893" s="99">
        <f>IFERROR(GETPIVOTDATA("Value",TD_WEAP_RAW!$A$3,"Variable",L$2,"Escenario",L$1,"Branch","Demand Sites and Catchments\"&amp;$D893),0)</f>
        <v>0</v>
      </c>
    </row>
    <row r="894" spans="4:12">
      <c r="D894" s="53"/>
      <c r="G894" s="51"/>
      <c r="H894" s="99">
        <f>IFERROR(GETPIVOTDATA("Value",TD_WEAP_RAW!$A$3,"Variable",H$2,"Escenario",H$1,"Branch","Demand Sites and Catchments\"&amp;$D894),0)</f>
        <v>0</v>
      </c>
      <c r="I894" s="99">
        <f>IFERROR(GETPIVOTDATA("Value",TD_WEAP_RAW!$A$3,"Variable",I$2,"Escenario",I$1,"Branch","Demand Sites and Catchments\"&amp;$D894),0)</f>
        <v>0</v>
      </c>
      <c r="J894" s="99"/>
      <c r="K894" s="99">
        <f>IFERROR(GETPIVOTDATA("Value",TD_WEAP_RAW!$A$3,"Variable",K$2,"Escenario",K$1,"Branch","Demand Sites and Catchments\"&amp;$D894),0)</f>
        <v>0</v>
      </c>
      <c r="L894" s="99">
        <f>IFERROR(GETPIVOTDATA("Value",TD_WEAP_RAW!$A$3,"Variable",L$2,"Escenario",L$1,"Branch","Demand Sites and Catchments\"&amp;$D894),0)</f>
        <v>0</v>
      </c>
    </row>
    <row r="895" spans="4:12">
      <c r="D895" s="53"/>
      <c r="G895" s="51"/>
      <c r="H895" s="99">
        <f>IFERROR(GETPIVOTDATA("Value",TD_WEAP_RAW!$A$3,"Variable",H$2,"Escenario",H$1,"Branch","Demand Sites and Catchments\"&amp;$D895),0)</f>
        <v>0</v>
      </c>
      <c r="I895" s="99">
        <f>IFERROR(GETPIVOTDATA("Value",TD_WEAP_RAW!$A$3,"Variable",I$2,"Escenario",I$1,"Branch","Demand Sites and Catchments\"&amp;$D895),0)</f>
        <v>0</v>
      </c>
      <c r="J895" s="99"/>
      <c r="K895" s="99">
        <f>IFERROR(GETPIVOTDATA("Value",TD_WEAP_RAW!$A$3,"Variable",K$2,"Escenario",K$1,"Branch","Demand Sites and Catchments\"&amp;$D895),0)</f>
        <v>0</v>
      </c>
      <c r="L895" s="99">
        <f>IFERROR(GETPIVOTDATA("Value",TD_WEAP_RAW!$A$3,"Variable",L$2,"Escenario",L$1,"Branch","Demand Sites and Catchments\"&amp;$D895),0)</f>
        <v>0</v>
      </c>
    </row>
    <row r="896" spans="4:12">
      <c r="D896" s="53"/>
      <c r="G896" s="51"/>
      <c r="H896" s="99">
        <f>IFERROR(GETPIVOTDATA("Value",TD_WEAP_RAW!$A$3,"Variable",H$2,"Escenario",H$1,"Branch","Demand Sites and Catchments\"&amp;$D896),0)</f>
        <v>0</v>
      </c>
      <c r="I896" s="99">
        <f>IFERROR(GETPIVOTDATA("Value",TD_WEAP_RAW!$A$3,"Variable",I$2,"Escenario",I$1,"Branch","Demand Sites and Catchments\"&amp;$D896),0)</f>
        <v>0</v>
      </c>
      <c r="J896" s="99"/>
      <c r="K896" s="99">
        <f>IFERROR(GETPIVOTDATA("Value",TD_WEAP_RAW!$A$3,"Variable",K$2,"Escenario",K$1,"Branch","Demand Sites and Catchments\"&amp;$D896),0)</f>
        <v>0</v>
      </c>
      <c r="L896" s="99">
        <f>IFERROR(GETPIVOTDATA("Value",TD_WEAP_RAW!$A$3,"Variable",L$2,"Escenario",L$1,"Branch","Demand Sites and Catchments\"&amp;$D896),0)</f>
        <v>0</v>
      </c>
    </row>
    <row r="897" spans="4:12">
      <c r="D897" s="53"/>
      <c r="G897" s="51"/>
      <c r="H897" s="99">
        <f>IFERROR(GETPIVOTDATA("Value",TD_WEAP_RAW!$A$3,"Variable",H$2,"Escenario",H$1,"Branch","Demand Sites and Catchments\"&amp;$D897),0)</f>
        <v>0</v>
      </c>
      <c r="I897" s="99">
        <f>IFERROR(GETPIVOTDATA("Value",TD_WEAP_RAW!$A$3,"Variable",I$2,"Escenario",I$1,"Branch","Demand Sites and Catchments\"&amp;$D897),0)</f>
        <v>0</v>
      </c>
      <c r="J897" s="99"/>
      <c r="K897" s="99">
        <f>IFERROR(GETPIVOTDATA("Value",TD_WEAP_RAW!$A$3,"Variable",K$2,"Escenario",K$1,"Branch","Demand Sites and Catchments\"&amp;$D897),0)</f>
        <v>0</v>
      </c>
      <c r="L897" s="99">
        <f>IFERROR(GETPIVOTDATA("Value",TD_WEAP_RAW!$A$3,"Variable",L$2,"Escenario",L$1,"Branch","Demand Sites and Catchments\"&amp;$D897),0)</f>
        <v>0</v>
      </c>
    </row>
    <row r="898" spans="4:12">
      <c r="D898" s="53"/>
      <c r="G898" s="51"/>
      <c r="H898" s="99">
        <f>IFERROR(GETPIVOTDATA("Value",TD_WEAP_RAW!$A$3,"Variable",H$2,"Escenario",H$1,"Branch","Demand Sites and Catchments\"&amp;$D898),0)</f>
        <v>0</v>
      </c>
      <c r="I898" s="99">
        <f>IFERROR(GETPIVOTDATA("Value",TD_WEAP_RAW!$A$3,"Variable",I$2,"Escenario",I$1,"Branch","Demand Sites and Catchments\"&amp;$D898),0)</f>
        <v>0</v>
      </c>
      <c r="J898" s="99"/>
      <c r="K898" s="99">
        <f>IFERROR(GETPIVOTDATA("Value",TD_WEAP_RAW!$A$3,"Variable",K$2,"Escenario",K$1,"Branch","Demand Sites and Catchments\"&amp;$D898),0)</f>
        <v>0</v>
      </c>
      <c r="L898" s="99">
        <f>IFERROR(GETPIVOTDATA("Value",TD_WEAP_RAW!$A$3,"Variable",L$2,"Escenario",L$1,"Branch","Demand Sites and Catchments\"&amp;$D898),0)</f>
        <v>0</v>
      </c>
    </row>
    <row r="899" spans="4:12">
      <c r="D899" s="53"/>
      <c r="G899" s="51"/>
      <c r="H899" s="99">
        <f>IFERROR(GETPIVOTDATA("Value",TD_WEAP_RAW!$A$3,"Variable",H$2,"Escenario",H$1,"Branch","Demand Sites and Catchments\"&amp;$D899),0)</f>
        <v>0</v>
      </c>
      <c r="I899" s="99">
        <f>IFERROR(GETPIVOTDATA("Value",TD_WEAP_RAW!$A$3,"Variable",I$2,"Escenario",I$1,"Branch","Demand Sites and Catchments\"&amp;$D899),0)</f>
        <v>0</v>
      </c>
      <c r="J899" s="99"/>
      <c r="K899" s="99">
        <f>IFERROR(GETPIVOTDATA("Value",TD_WEAP_RAW!$A$3,"Variable",K$2,"Escenario",K$1,"Branch","Demand Sites and Catchments\"&amp;$D899),0)</f>
        <v>0</v>
      </c>
      <c r="L899" s="99">
        <f>IFERROR(GETPIVOTDATA("Value",TD_WEAP_RAW!$A$3,"Variable",L$2,"Escenario",L$1,"Branch","Demand Sites and Catchments\"&amp;$D899),0)</f>
        <v>0</v>
      </c>
    </row>
    <row r="900" spans="4:12">
      <c r="D900" s="53"/>
      <c r="G900" s="51"/>
      <c r="H900" s="99">
        <f>IFERROR(GETPIVOTDATA("Value",TD_WEAP_RAW!$A$3,"Variable",H$2,"Escenario",H$1,"Branch","Demand Sites and Catchments\"&amp;$D900),0)</f>
        <v>0</v>
      </c>
      <c r="I900" s="99">
        <f>IFERROR(GETPIVOTDATA("Value",TD_WEAP_RAW!$A$3,"Variable",I$2,"Escenario",I$1,"Branch","Demand Sites and Catchments\"&amp;$D900),0)</f>
        <v>0</v>
      </c>
      <c r="J900" s="99"/>
      <c r="K900" s="99">
        <f>IFERROR(GETPIVOTDATA("Value",TD_WEAP_RAW!$A$3,"Variable",K$2,"Escenario",K$1,"Branch","Demand Sites and Catchments\"&amp;$D900),0)</f>
        <v>0</v>
      </c>
      <c r="L900" s="99">
        <f>IFERROR(GETPIVOTDATA("Value",TD_WEAP_RAW!$A$3,"Variable",L$2,"Escenario",L$1,"Branch","Demand Sites and Catchments\"&amp;$D900),0)</f>
        <v>0</v>
      </c>
    </row>
    <row r="901" spans="4:12">
      <c r="D901" s="53"/>
      <c r="G901" s="51"/>
      <c r="H901" s="99">
        <f>IFERROR(GETPIVOTDATA("Value",TD_WEAP_RAW!$A$3,"Variable",H$2,"Escenario",H$1,"Branch","Demand Sites and Catchments\"&amp;$D901),0)</f>
        <v>0</v>
      </c>
      <c r="I901" s="99">
        <f>IFERROR(GETPIVOTDATA("Value",TD_WEAP_RAW!$A$3,"Variable",I$2,"Escenario",I$1,"Branch","Demand Sites and Catchments\"&amp;$D901),0)</f>
        <v>0</v>
      </c>
      <c r="J901" s="99"/>
      <c r="K901" s="99">
        <f>IFERROR(GETPIVOTDATA("Value",TD_WEAP_RAW!$A$3,"Variable",K$2,"Escenario",K$1,"Branch","Demand Sites and Catchments\"&amp;$D901),0)</f>
        <v>0</v>
      </c>
      <c r="L901" s="99">
        <f>IFERROR(GETPIVOTDATA("Value",TD_WEAP_RAW!$A$3,"Variable",L$2,"Escenario",L$1,"Branch","Demand Sites and Catchments\"&amp;$D901),0)</f>
        <v>0</v>
      </c>
    </row>
    <row r="902" spans="4:12">
      <c r="D902" s="53"/>
      <c r="G902" s="51"/>
      <c r="H902" s="99">
        <f>IFERROR(GETPIVOTDATA("Value",TD_WEAP_RAW!$A$3,"Variable",H$2,"Escenario",H$1,"Branch","Demand Sites and Catchments\"&amp;$D902),0)</f>
        <v>0</v>
      </c>
      <c r="I902" s="99">
        <f>IFERROR(GETPIVOTDATA("Value",TD_WEAP_RAW!$A$3,"Variable",I$2,"Escenario",I$1,"Branch","Demand Sites and Catchments\"&amp;$D902),0)</f>
        <v>0</v>
      </c>
      <c r="J902" s="99"/>
      <c r="K902" s="99">
        <f>IFERROR(GETPIVOTDATA("Value",TD_WEAP_RAW!$A$3,"Variable",K$2,"Escenario",K$1,"Branch","Demand Sites and Catchments\"&amp;$D902),0)</f>
        <v>0</v>
      </c>
      <c r="L902" s="99">
        <f>IFERROR(GETPIVOTDATA("Value",TD_WEAP_RAW!$A$3,"Variable",L$2,"Escenario",L$1,"Branch","Demand Sites and Catchments\"&amp;$D902),0)</f>
        <v>0</v>
      </c>
    </row>
    <row r="903" spans="4:12">
      <c r="D903" s="53"/>
      <c r="G903" s="51"/>
      <c r="H903" s="99">
        <f>IFERROR(GETPIVOTDATA("Value",TD_WEAP_RAW!$A$3,"Variable",H$2,"Escenario",H$1,"Branch","Demand Sites and Catchments\"&amp;$D903),0)</f>
        <v>0</v>
      </c>
      <c r="I903" s="99">
        <f>IFERROR(GETPIVOTDATA("Value",TD_WEAP_RAW!$A$3,"Variable",I$2,"Escenario",I$1,"Branch","Demand Sites and Catchments\"&amp;$D903),0)</f>
        <v>0</v>
      </c>
      <c r="J903" s="99"/>
      <c r="K903" s="99">
        <f>IFERROR(GETPIVOTDATA("Value",TD_WEAP_RAW!$A$3,"Variable",K$2,"Escenario",K$1,"Branch","Demand Sites and Catchments\"&amp;$D903),0)</f>
        <v>0</v>
      </c>
      <c r="L903" s="99">
        <f>IFERROR(GETPIVOTDATA("Value",TD_WEAP_RAW!$A$3,"Variable",L$2,"Escenario",L$1,"Branch","Demand Sites and Catchments\"&amp;$D903),0)</f>
        <v>0</v>
      </c>
    </row>
    <row r="904" spans="4:12">
      <c r="D904" s="53"/>
      <c r="G904" s="51"/>
      <c r="H904" s="99">
        <f>IFERROR(GETPIVOTDATA("Value",TD_WEAP_RAW!$A$3,"Variable",H$2,"Escenario",H$1,"Branch","Demand Sites and Catchments\"&amp;$D904),0)</f>
        <v>0</v>
      </c>
      <c r="I904" s="99">
        <f>IFERROR(GETPIVOTDATA("Value",TD_WEAP_RAW!$A$3,"Variable",I$2,"Escenario",I$1,"Branch","Demand Sites and Catchments\"&amp;$D904),0)</f>
        <v>0</v>
      </c>
      <c r="J904" s="99"/>
      <c r="K904" s="99">
        <f>IFERROR(GETPIVOTDATA("Value",TD_WEAP_RAW!$A$3,"Variable",K$2,"Escenario",K$1,"Branch","Demand Sites and Catchments\"&amp;$D904),0)</f>
        <v>0</v>
      </c>
      <c r="L904" s="99">
        <f>IFERROR(GETPIVOTDATA("Value",TD_WEAP_RAW!$A$3,"Variable",L$2,"Escenario",L$1,"Branch","Demand Sites and Catchments\"&amp;$D904),0)</f>
        <v>0</v>
      </c>
    </row>
    <row r="905" spans="4:12">
      <c r="D905" s="53"/>
      <c r="G905" s="51"/>
      <c r="H905" s="99">
        <f>IFERROR(GETPIVOTDATA("Value",TD_WEAP_RAW!$A$3,"Variable",H$2,"Escenario",H$1,"Branch","Demand Sites and Catchments\"&amp;$D905),0)</f>
        <v>0</v>
      </c>
      <c r="I905" s="99">
        <f>IFERROR(GETPIVOTDATA("Value",TD_WEAP_RAW!$A$3,"Variable",I$2,"Escenario",I$1,"Branch","Demand Sites and Catchments\"&amp;$D905),0)</f>
        <v>0</v>
      </c>
      <c r="J905" s="99"/>
      <c r="K905" s="99">
        <f>IFERROR(GETPIVOTDATA("Value",TD_WEAP_RAW!$A$3,"Variable",K$2,"Escenario",K$1,"Branch","Demand Sites and Catchments\"&amp;$D905),0)</f>
        <v>0</v>
      </c>
      <c r="L905" s="99">
        <f>IFERROR(GETPIVOTDATA("Value",TD_WEAP_RAW!$A$3,"Variable",L$2,"Escenario",L$1,"Branch","Demand Sites and Catchments\"&amp;$D905),0)</f>
        <v>0</v>
      </c>
    </row>
    <row r="906" spans="4:12">
      <c r="D906" s="53"/>
      <c r="G906" s="51"/>
      <c r="H906" s="99">
        <f>IFERROR(GETPIVOTDATA("Value",TD_WEAP_RAW!$A$3,"Variable",H$2,"Escenario",H$1,"Branch","Demand Sites and Catchments\"&amp;$D906),0)</f>
        <v>0</v>
      </c>
      <c r="I906" s="99">
        <f>IFERROR(GETPIVOTDATA("Value",TD_WEAP_RAW!$A$3,"Variable",I$2,"Escenario",I$1,"Branch","Demand Sites and Catchments\"&amp;$D906),0)</f>
        <v>0</v>
      </c>
      <c r="J906" s="99"/>
      <c r="K906" s="99">
        <f>IFERROR(GETPIVOTDATA("Value",TD_WEAP_RAW!$A$3,"Variable",K$2,"Escenario",K$1,"Branch","Demand Sites and Catchments\"&amp;$D906),0)</f>
        <v>0</v>
      </c>
      <c r="L906" s="99">
        <f>IFERROR(GETPIVOTDATA("Value",TD_WEAP_RAW!$A$3,"Variable",L$2,"Escenario",L$1,"Branch","Demand Sites and Catchments\"&amp;$D906),0)</f>
        <v>0</v>
      </c>
    </row>
    <row r="907" spans="4:12">
      <c r="D907" s="53"/>
      <c r="G907" s="51"/>
      <c r="H907" s="99">
        <f>IFERROR(GETPIVOTDATA("Value",TD_WEAP_RAW!$A$3,"Variable",H$2,"Escenario",H$1,"Branch","Demand Sites and Catchments\"&amp;$D907),0)</f>
        <v>0</v>
      </c>
      <c r="I907" s="99">
        <f>IFERROR(GETPIVOTDATA("Value",TD_WEAP_RAW!$A$3,"Variable",I$2,"Escenario",I$1,"Branch","Demand Sites and Catchments\"&amp;$D907),0)</f>
        <v>0</v>
      </c>
      <c r="J907" s="99"/>
      <c r="K907" s="99">
        <f>IFERROR(GETPIVOTDATA("Value",TD_WEAP_RAW!$A$3,"Variable",K$2,"Escenario",K$1,"Branch","Demand Sites and Catchments\"&amp;$D907),0)</f>
        <v>0</v>
      </c>
      <c r="L907" s="99">
        <f>IFERROR(GETPIVOTDATA("Value",TD_WEAP_RAW!$A$3,"Variable",L$2,"Escenario",L$1,"Branch","Demand Sites and Catchments\"&amp;$D907),0)</f>
        <v>0</v>
      </c>
    </row>
    <row r="908" spans="4:12">
      <c r="D908" s="53"/>
      <c r="G908" s="51"/>
      <c r="H908" s="99">
        <f>IFERROR(GETPIVOTDATA("Value",TD_WEAP_RAW!$A$3,"Variable",H$2,"Escenario",H$1,"Branch","Demand Sites and Catchments\"&amp;$D908),0)</f>
        <v>0</v>
      </c>
      <c r="I908" s="99">
        <f>IFERROR(GETPIVOTDATA("Value",TD_WEAP_RAW!$A$3,"Variable",I$2,"Escenario",I$1,"Branch","Demand Sites and Catchments\"&amp;$D908),0)</f>
        <v>0</v>
      </c>
      <c r="J908" s="99"/>
      <c r="K908" s="99">
        <f>IFERROR(GETPIVOTDATA("Value",TD_WEAP_RAW!$A$3,"Variable",K$2,"Escenario",K$1,"Branch","Demand Sites and Catchments\"&amp;$D908),0)</f>
        <v>0</v>
      </c>
      <c r="L908" s="99">
        <f>IFERROR(GETPIVOTDATA("Value",TD_WEAP_RAW!$A$3,"Variable",L$2,"Escenario",L$1,"Branch","Demand Sites and Catchments\"&amp;$D908),0)</f>
        <v>0</v>
      </c>
    </row>
    <row r="909" spans="4:12">
      <c r="D909" s="53"/>
      <c r="G909" s="51"/>
      <c r="H909" s="99">
        <f>IFERROR(GETPIVOTDATA("Value",TD_WEAP_RAW!$A$3,"Variable",H$2,"Escenario",H$1,"Branch","Demand Sites and Catchments\"&amp;$D909),0)</f>
        <v>0</v>
      </c>
      <c r="I909" s="99">
        <f>IFERROR(GETPIVOTDATA("Value",TD_WEAP_RAW!$A$3,"Variable",I$2,"Escenario",I$1,"Branch","Demand Sites and Catchments\"&amp;$D909),0)</f>
        <v>0</v>
      </c>
      <c r="J909" s="99"/>
      <c r="K909" s="99">
        <f>IFERROR(GETPIVOTDATA("Value",TD_WEAP_RAW!$A$3,"Variable",K$2,"Escenario",K$1,"Branch","Demand Sites and Catchments\"&amp;$D909),0)</f>
        <v>0</v>
      </c>
      <c r="L909" s="99">
        <f>IFERROR(GETPIVOTDATA("Value",TD_WEAP_RAW!$A$3,"Variable",L$2,"Escenario",L$1,"Branch","Demand Sites and Catchments\"&amp;$D909),0)</f>
        <v>0</v>
      </c>
    </row>
    <row r="910" spans="4:12">
      <c r="D910" s="53"/>
      <c r="G910" s="51"/>
      <c r="H910" s="99">
        <f>IFERROR(GETPIVOTDATA("Value",TD_WEAP_RAW!$A$3,"Variable",H$2,"Escenario",H$1,"Branch","Demand Sites and Catchments\"&amp;$D910),0)</f>
        <v>0</v>
      </c>
      <c r="I910" s="99">
        <f>IFERROR(GETPIVOTDATA("Value",TD_WEAP_RAW!$A$3,"Variable",I$2,"Escenario",I$1,"Branch","Demand Sites and Catchments\"&amp;$D910),0)</f>
        <v>0</v>
      </c>
      <c r="J910" s="99"/>
      <c r="K910" s="99">
        <f>IFERROR(GETPIVOTDATA("Value",TD_WEAP_RAW!$A$3,"Variable",K$2,"Escenario",K$1,"Branch","Demand Sites and Catchments\"&amp;$D910),0)</f>
        <v>0</v>
      </c>
      <c r="L910" s="99">
        <f>IFERROR(GETPIVOTDATA("Value",TD_WEAP_RAW!$A$3,"Variable",L$2,"Escenario",L$1,"Branch","Demand Sites and Catchments\"&amp;$D910),0)</f>
        <v>0</v>
      </c>
    </row>
    <row r="911" spans="4:12">
      <c r="D911" s="53"/>
      <c r="G911" s="51"/>
      <c r="H911" s="99">
        <f>IFERROR(GETPIVOTDATA("Value",TD_WEAP_RAW!$A$3,"Variable",H$2,"Escenario",H$1,"Branch","Demand Sites and Catchments\"&amp;$D911),0)</f>
        <v>0</v>
      </c>
      <c r="I911" s="99">
        <f>IFERROR(GETPIVOTDATA("Value",TD_WEAP_RAW!$A$3,"Variable",I$2,"Escenario",I$1,"Branch","Demand Sites and Catchments\"&amp;$D911),0)</f>
        <v>0</v>
      </c>
      <c r="J911" s="99"/>
      <c r="K911" s="99">
        <f>IFERROR(GETPIVOTDATA("Value",TD_WEAP_RAW!$A$3,"Variable",K$2,"Escenario",K$1,"Branch","Demand Sites and Catchments\"&amp;$D911),0)</f>
        <v>0</v>
      </c>
      <c r="L911" s="99">
        <f>IFERROR(GETPIVOTDATA("Value",TD_WEAP_RAW!$A$3,"Variable",L$2,"Escenario",L$1,"Branch","Demand Sites and Catchments\"&amp;$D911),0)</f>
        <v>0</v>
      </c>
    </row>
    <row r="912" spans="4:12">
      <c r="D912" s="53"/>
      <c r="G912" s="51"/>
      <c r="H912" s="99">
        <f>IFERROR(GETPIVOTDATA("Value",TD_WEAP_RAW!$A$3,"Variable",H$2,"Escenario",H$1,"Branch","Demand Sites and Catchments\"&amp;$D912),0)</f>
        <v>0</v>
      </c>
      <c r="I912" s="99">
        <f>IFERROR(GETPIVOTDATA("Value",TD_WEAP_RAW!$A$3,"Variable",I$2,"Escenario",I$1,"Branch","Demand Sites and Catchments\"&amp;$D912),0)</f>
        <v>0</v>
      </c>
      <c r="J912" s="99"/>
      <c r="K912" s="99">
        <f>IFERROR(GETPIVOTDATA("Value",TD_WEAP_RAW!$A$3,"Variable",K$2,"Escenario",K$1,"Branch","Demand Sites and Catchments\"&amp;$D912),0)</f>
        <v>0</v>
      </c>
      <c r="L912" s="99">
        <f>IFERROR(GETPIVOTDATA("Value",TD_WEAP_RAW!$A$3,"Variable",L$2,"Escenario",L$1,"Branch","Demand Sites and Catchments\"&amp;$D912),0)</f>
        <v>0</v>
      </c>
    </row>
    <row r="913" spans="4:12">
      <c r="D913" s="53"/>
      <c r="G913" s="51"/>
      <c r="H913" s="99">
        <f>IFERROR(GETPIVOTDATA("Value",TD_WEAP_RAW!$A$3,"Variable",H$2,"Escenario",H$1,"Branch","Demand Sites and Catchments\"&amp;$D913),0)</f>
        <v>0</v>
      </c>
      <c r="I913" s="99">
        <f>IFERROR(GETPIVOTDATA("Value",TD_WEAP_RAW!$A$3,"Variable",I$2,"Escenario",I$1,"Branch","Demand Sites and Catchments\"&amp;$D913),0)</f>
        <v>0</v>
      </c>
      <c r="J913" s="99"/>
      <c r="K913" s="99">
        <f>IFERROR(GETPIVOTDATA("Value",TD_WEAP_RAW!$A$3,"Variable",K$2,"Escenario",K$1,"Branch","Demand Sites and Catchments\"&amp;$D913),0)</f>
        <v>0</v>
      </c>
      <c r="L913" s="99">
        <f>IFERROR(GETPIVOTDATA("Value",TD_WEAP_RAW!$A$3,"Variable",L$2,"Escenario",L$1,"Branch","Demand Sites and Catchments\"&amp;$D913),0)</f>
        <v>0</v>
      </c>
    </row>
    <row r="914" spans="4:12">
      <c r="D914" s="53"/>
      <c r="G914" s="51"/>
      <c r="H914" s="99">
        <f>IFERROR(GETPIVOTDATA("Value",TD_WEAP_RAW!$A$3,"Variable",H$2,"Escenario",H$1,"Branch","Demand Sites and Catchments\"&amp;$D914),0)</f>
        <v>0</v>
      </c>
      <c r="I914" s="99">
        <f>IFERROR(GETPIVOTDATA("Value",TD_WEAP_RAW!$A$3,"Variable",I$2,"Escenario",I$1,"Branch","Demand Sites and Catchments\"&amp;$D914),0)</f>
        <v>0</v>
      </c>
      <c r="J914" s="99"/>
      <c r="K914" s="99">
        <f>IFERROR(GETPIVOTDATA("Value",TD_WEAP_RAW!$A$3,"Variable",K$2,"Escenario",K$1,"Branch","Demand Sites and Catchments\"&amp;$D914),0)</f>
        <v>0</v>
      </c>
      <c r="L914" s="99">
        <f>IFERROR(GETPIVOTDATA("Value",TD_WEAP_RAW!$A$3,"Variable",L$2,"Escenario",L$1,"Branch","Demand Sites and Catchments\"&amp;$D914),0)</f>
        <v>0</v>
      </c>
    </row>
    <row r="915" spans="4:12">
      <c r="D915" s="53"/>
      <c r="G915" s="51"/>
      <c r="H915" s="99">
        <f>IFERROR(GETPIVOTDATA("Value",TD_WEAP_RAW!$A$3,"Variable",H$2,"Escenario",H$1,"Branch","Demand Sites and Catchments\"&amp;$D915),0)</f>
        <v>0</v>
      </c>
      <c r="I915" s="99">
        <f>IFERROR(GETPIVOTDATA("Value",TD_WEAP_RAW!$A$3,"Variable",I$2,"Escenario",I$1,"Branch","Demand Sites and Catchments\"&amp;$D915),0)</f>
        <v>0</v>
      </c>
      <c r="J915" s="99"/>
      <c r="K915" s="99">
        <f>IFERROR(GETPIVOTDATA("Value",TD_WEAP_RAW!$A$3,"Variable",K$2,"Escenario",K$1,"Branch","Demand Sites and Catchments\"&amp;$D915),0)</f>
        <v>0</v>
      </c>
      <c r="L915" s="99">
        <f>IFERROR(GETPIVOTDATA("Value",TD_WEAP_RAW!$A$3,"Variable",L$2,"Escenario",L$1,"Branch","Demand Sites and Catchments\"&amp;$D915),0)</f>
        <v>0</v>
      </c>
    </row>
    <row r="916" spans="4:12">
      <c r="D916" s="53"/>
      <c r="G916" s="51"/>
      <c r="H916" s="99">
        <f>IFERROR(GETPIVOTDATA("Value",TD_WEAP_RAW!$A$3,"Variable",H$2,"Escenario",H$1,"Branch","Demand Sites and Catchments\"&amp;$D916),0)</f>
        <v>0</v>
      </c>
      <c r="I916" s="99">
        <f>IFERROR(GETPIVOTDATA("Value",TD_WEAP_RAW!$A$3,"Variable",I$2,"Escenario",I$1,"Branch","Demand Sites and Catchments\"&amp;$D916),0)</f>
        <v>0</v>
      </c>
      <c r="J916" s="99"/>
      <c r="K916" s="99">
        <f>IFERROR(GETPIVOTDATA("Value",TD_WEAP_RAW!$A$3,"Variable",K$2,"Escenario",K$1,"Branch","Demand Sites and Catchments\"&amp;$D916),0)</f>
        <v>0</v>
      </c>
      <c r="L916" s="99">
        <f>IFERROR(GETPIVOTDATA("Value",TD_WEAP_RAW!$A$3,"Variable",L$2,"Escenario",L$1,"Branch","Demand Sites and Catchments\"&amp;$D916),0)</f>
        <v>0</v>
      </c>
    </row>
    <row r="917" spans="4:12">
      <c r="D917" s="53"/>
      <c r="G917" s="51"/>
      <c r="H917" s="99">
        <f>IFERROR(GETPIVOTDATA("Value",TD_WEAP_RAW!$A$3,"Variable",H$2,"Escenario",H$1,"Branch","Demand Sites and Catchments\"&amp;$D917),0)</f>
        <v>0</v>
      </c>
      <c r="I917" s="99">
        <f>IFERROR(GETPIVOTDATA("Value",TD_WEAP_RAW!$A$3,"Variable",I$2,"Escenario",I$1,"Branch","Demand Sites and Catchments\"&amp;$D917),0)</f>
        <v>0</v>
      </c>
      <c r="J917" s="99"/>
      <c r="K917" s="99">
        <f>IFERROR(GETPIVOTDATA("Value",TD_WEAP_RAW!$A$3,"Variable",K$2,"Escenario",K$1,"Branch","Demand Sites and Catchments\"&amp;$D917),0)</f>
        <v>0</v>
      </c>
      <c r="L917" s="99">
        <f>IFERROR(GETPIVOTDATA("Value",TD_WEAP_RAW!$A$3,"Variable",L$2,"Escenario",L$1,"Branch","Demand Sites and Catchments\"&amp;$D917),0)</f>
        <v>0</v>
      </c>
    </row>
    <row r="918" spans="4:12">
      <c r="D918" s="53"/>
      <c r="G918" s="51"/>
      <c r="H918" s="99">
        <f>IFERROR(GETPIVOTDATA("Value",TD_WEAP_RAW!$A$3,"Variable",H$2,"Escenario",H$1,"Branch","Demand Sites and Catchments\"&amp;$D918),0)</f>
        <v>0</v>
      </c>
      <c r="I918" s="99">
        <f>IFERROR(GETPIVOTDATA("Value",TD_WEAP_RAW!$A$3,"Variable",I$2,"Escenario",I$1,"Branch","Demand Sites and Catchments\"&amp;$D918),0)</f>
        <v>0</v>
      </c>
      <c r="J918" s="99"/>
      <c r="K918" s="99">
        <f>IFERROR(GETPIVOTDATA("Value",TD_WEAP_RAW!$A$3,"Variable",K$2,"Escenario",K$1,"Branch","Demand Sites and Catchments\"&amp;$D918),0)</f>
        <v>0</v>
      </c>
      <c r="L918" s="99">
        <f>IFERROR(GETPIVOTDATA("Value",TD_WEAP_RAW!$A$3,"Variable",L$2,"Escenario",L$1,"Branch","Demand Sites and Catchments\"&amp;$D918),0)</f>
        <v>0</v>
      </c>
    </row>
    <row r="919" spans="4:12">
      <c r="D919" s="53"/>
      <c r="G919" s="51"/>
      <c r="H919" s="99">
        <f>IFERROR(GETPIVOTDATA("Value",TD_WEAP_RAW!$A$3,"Variable",H$2,"Escenario",H$1,"Branch","Demand Sites and Catchments\"&amp;$D919),0)</f>
        <v>0</v>
      </c>
      <c r="I919" s="99">
        <f>IFERROR(GETPIVOTDATA("Value",TD_WEAP_RAW!$A$3,"Variable",I$2,"Escenario",I$1,"Branch","Demand Sites and Catchments\"&amp;$D919),0)</f>
        <v>0</v>
      </c>
      <c r="J919" s="99"/>
      <c r="K919" s="99">
        <f>IFERROR(GETPIVOTDATA("Value",TD_WEAP_RAW!$A$3,"Variable",K$2,"Escenario",K$1,"Branch","Demand Sites and Catchments\"&amp;$D919),0)</f>
        <v>0</v>
      </c>
      <c r="L919" s="99">
        <f>IFERROR(GETPIVOTDATA("Value",TD_WEAP_RAW!$A$3,"Variable",L$2,"Escenario",L$1,"Branch","Demand Sites and Catchments\"&amp;$D919),0)</f>
        <v>0</v>
      </c>
    </row>
    <row r="920" spans="4:12">
      <c r="D920" s="53"/>
      <c r="G920" s="51"/>
      <c r="H920" s="99">
        <f>IFERROR(GETPIVOTDATA("Value",TD_WEAP_RAW!$A$3,"Variable",H$2,"Escenario",H$1,"Branch","Demand Sites and Catchments\"&amp;$D920),0)</f>
        <v>0</v>
      </c>
      <c r="I920" s="99">
        <f>IFERROR(GETPIVOTDATA("Value",TD_WEAP_RAW!$A$3,"Variable",I$2,"Escenario",I$1,"Branch","Demand Sites and Catchments\"&amp;$D920),0)</f>
        <v>0</v>
      </c>
      <c r="J920" s="99"/>
      <c r="K920" s="99">
        <f>IFERROR(GETPIVOTDATA("Value",TD_WEAP_RAW!$A$3,"Variable",K$2,"Escenario",K$1,"Branch","Demand Sites and Catchments\"&amp;$D920),0)</f>
        <v>0</v>
      </c>
      <c r="L920" s="99">
        <f>IFERROR(GETPIVOTDATA("Value",TD_WEAP_RAW!$A$3,"Variable",L$2,"Escenario",L$1,"Branch","Demand Sites and Catchments\"&amp;$D920),0)</f>
        <v>0</v>
      </c>
    </row>
    <row r="921" spans="4:12">
      <c r="D921" s="53"/>
      <c r="G921" s="51"/>
      <c r="H921" s="99">
        <f>IFERROR(GETPIVOTDATA("Value",TD_WEAP_RAW!$A$3,"Variable",H$2,"Escenario",H$1,"Branch","Demand Sites and Catchments\"&amp;$D921),0)</f>
        <v>0</v>
      </c>
      <c r="I921" s="99">
        <f>IFERROR(GETPIVOTDATA("Value",TD_WEAP_RAW!$A$3,"Variable",I$2,"Escenario",I$1,"Branch","Demand Sites and Catchments\"&amp;$D921),0)</f>
        <v>0</v>
      </c>
      <c r="J921" s="99"/>
      <c r="K921" s="99">
        <f>IFERROR(GETPIVOTDATA("Value",TD_WEAP_RAW!$A$3,"Variable",K$2,"Escenario",K$1,"Branch","Demand Sites and Catchments\"&amp;$D921),0)</f>
        <v>0</v>
      </c>
      <c r="L921" s="99">
        <f>IFERROR(GETPIVOTDATA("Value",TD_WEAP_RAW!$A$3,"Variable",L$2,"Escenario",L$1,"Branch","Demand Sites and Catchments\"&amp;$D921),0)</f>
        <v>0</v>
      </c>
    </row>
    <row r="922" spans="4:12">
      <c r="D922" s="53"/>
      <c r="G922" s="51"/>
      <c r="H922" s="99">
        <f>IFERROR(GETPIVOTDATA("Value",TD_WEAP_RAW!$A$3,"Variable",H$2,"Escenario",H$1,"Branch","Demand Sites and Catchments\"&amp;$D922),0)</f>
        <v>0</v>
      </c>
      <c r="I922" s="99">
        <f>IFERROR(GETPIVOTDATA("Value",TD_WEAP_RAW!$A$3,"Variable",I$2,"Escenario",I$1,"Branch","Demand Sites and Catchments\"&amp;$D922),0)</f>
        <v>0</v>
      </c>
      <c r="J922" s="99"/>
      <c r="K922" s="99">
        <f>IFERROR(GETPIVOTDATA("Value",TD_WEAP_RAW!$A$3,"Variable",K$2,"Escenario",K$1,"Branch","Demand Sites and Catchments\"&amp;$D922),0)</f>
        <v>0</v>
      </c>
      <c r="L922" s="99">
        <f>IFERROR(GETPIVOTDATA("Value",TD_WEAP_RAW!$A$3,"Variable",L$2,"Escenario",L$1,"Branch","Demand Sites and Catchments\"&amp;$D922),0)</f>
        <v>0</v>
      </c>
    </row>
    <row r="923" spans="4:12">
      <c r="D923" s="53"/>
      <c r="G923" s="51"/>
      <c r="H923" s="99">
        <f>IFERROR(GETPIVOTDATA("Value",TD_WEAP_RAW!$A$3,"Variable",H$2,"Escenario",H$1,"Branch","Demand Sites and Catchments\"&amp;$D923),0)</f>
        <v>0</v>
      </c>
      <c r="I923" s="99">
        <f>IFERROR(GETPIVOTDATA("Value",TD_WEAP_RAW!$A$3,"Variable",I$2,"Escenario",I$1,"Branch","Demand Sites and Catchments\"&amp;$D923),0)</f>
        <v>0</v>
      </c>
      <c r="J923" s="99"/>
      <c r="K923" s="99">
        <f>IFERROR(GETPIVOTDATA("Value",TD_WEAP_RAW!$A$3,"Variable",K$2,"Escenario",K$1,"Branch","Demand Sites and Catchments\"&amp;$D923),0)</f>
        <v>0</v>
      </c>
      <c r="L923" s="99">
        <f>IFERROR(GETPIVOTDATA("Value",TD_WEAP_RAW!$A$3,"Variable",L$2,"Escenario",L$1,"Branch","Demand Sites and Catchments\"&amp;$D923),0)</f>
        <v>0</v>
      </c>
    </row>
    <row r="924" spans="4:12">
      <c r="D924" s="53"/>
      <c r="G924" s="51"/>
      <c r="H924" s="99">
        <f>IFERROR(GETPIVOTDATA("Value",TD_WEAP_RAW!$A$3,"Variable",H$2,"Escenario",H$1,"Branch","Demand Sites and Catchments\"&amp;$D924),0)</f>
        <v>0</v>
      </c>
      <c r="I924" s="99">
        <f>IFERROR(GETPIVOTDATA("Value",TD_WEAP_RAW!$A$3,"Variable",I$2,"Escenario",I$1,"Branch","Demand Sites and Catchments\"&amp;$D924),0)</f>
        <v>0</v>
      </c>
      <c r="J924" s="99"/>
      <c r="K924" s="99">
        <f>IFERROR(GETPIVOTDATA("Value",TD_WEAP_RAW!$A$3,"Variable",K$2,"Escenario",K$1,"Branch","Demand Sites and Catchments\"&amp;$D924),0)</f>
        <v>0</v>
      </c>
      <c r="L924" s="99">
        <f>IFERROR(GETPIVOTDATA("Value",TD_WEAP_RAW!$A$3,"Variable",L$2,"Escenario",L$1,"Branch","Demand Sites and Catchments\"&amp;$D924),0)</f>
        <v>0</v>
      </c>
    </row>
    <row r="925" spans="4:12">
      <c r="D925" s="53"/>
      <c r="G925" s="51"/>
      <c r="H925" s="99">
        <f>IFERROR(GETPIVOTDATA("Value",TD_WEAP_RAW!$A$3,"Variable",H$2,"Escenario",H$1,"Branch","Demand Sites and Catchments\"&amp;$D925),0)</f>
        <v>0</v>
      </c>
      <c r="I925" s="99">
        <f>IFERROR(GETPIVOTDATA("Value",TD_WEAP_RAW!$A$3,"Variable",I$2,"Escenario",I$1,"Branch","Demand Sites and Catchments\"&amp;$D925),0)</f>
        <v>0</v>
      </c>
      <c r="J925" s="99"/>
      <c r="K925" s="99">
        <f>IFERROR(GETPIVOTDATA("Value",TD_WEAP_RAW!$A$3,"Variable",K$2,"Escenario",K$1,"Branch","Demand Sites and Catchments\"&amp;$D925),0)</f>
        <v>0</v>
      </c>
      <c r="L925" s="99">
        <f>IFERROR(GETPIVOTDATA("Value",TD_WEAP_RAW!$A$3,"Variable",L$2,"Escenario",L$1,"Branch","Demand Sites and Catchments\"&amp;$D925),0)</f>
        <v>0</v>
      </c>
    </row>
    <row r="926" spans="4:12">
      <c r="D926" s="53"/>
      <c r="G926" s="51"/>
      <c r="H926" s="99">
        <f>IFERROR(GETPIVOTDATA("Value",TD_WEAP_RAW!$A$3,"Variable",H$2,"Escenario",H$1,"Branch","Demand Sites and Catchments\"&amp;$D926),0)</f>
        <v>0</v>
      </c>
      <c r="I926" s="99">
        <f>IFERROR(GETPIVOTDATA("Value",TD_WEAP_RAW!$A$3,"Variable",I$2,"Escenario",I$1,"Branch","Demand Sites and Catchments\"&amp;$D926),0)</f>
        <v>0</v>
      </c>
      <c r="J926" s="99"/>
      <c r="K926" s="99">
        <f>IFERROR(GETPIVOTDATA("Value",TD_WEAP_RAW!$A$3,"Variable",K$2,"Escenario",K$1,"Branch","Demand Sites and Catchments\"&amp;$D926),0)</f>
        <v>0</v>
      </c>
      <c r="L926" s="99">
        <f>IFERROR(GETPIVOTDATA("Value",TD_WEAP_RAW!$A$3,"Variable",L$2,"Escenario",L$1,"Branch","Demand Sites and Catchments\"&amp;$D926),0)</f>
        <v>0</v>
      </c>
    </row>
    <row r="927" spans="4:12">
      <c r="D927" s="53"/>
      <c r="G927" s="51"/>
      <c r="H927" s="99">
        <f>IFERROR(GETPIVOTDATA("Value",TD_WEAP_RAW!$A$3,"Variable",H$2,"Escenario",H$1,"Branch","Demand Sites and Catchments\"&amp;$D927),0)</f>
        <v>0</v>
      </c>
      <c r="I927" s="99">
        <f>IFERROR(GETPIVOTDATA("Value",TD_WEAP_RAW!$A$3,"Variable",I$2,"Escenario",I$1,"Branch","Demand Sites and Catchments\"&amp;$D927),0)</f>
        <v>0</v>
      </c>
      <c r="J927" s="99"/>
      <c r="K927" s="99">
        <f>IFERROR(GETPIVOTDATA("Value",TD_WEAP_RAW!$A$3,"Variable",K$2,"Escenario",K$1,"Branch","Demand Sites and Catchments\"&amp;$D927),0)</f>
        <v>0</v>
      </c>
      <c r="L927" s="99">
        <f>IFERROR(GETPIVOTDATA("Value",TD_WEAP_RAW!$A$3,"Variable",L$2,"Escenario",L$1,"Branch","Demand Sites and Catchments\"&amp;$D927),0)</f>
        <v>0</v>
      </c>
    </row>
    <row r="928" spans="4:12">
      <c r="D928" s="53"/>
      <c r="G928" s="51"/>
      <c r="H928" s="99">
        <f>IFERROR(GETPIVOTDATA("Value",TD_WEAP_RAW!$A$3,"Variable",H$2,"Escenario",H$1,"Branch","Demand Sites and Catchments\"&amp;$D928),0)</f>
        <v>0</v>
      </c>
      <c r="I928" s="99">
        <f>IFERROR(GETPIVOTDATA("Value",TD_WEAP_RAW!$A$3,"Variable",I$2,"Escenario",I$1,"Branch","Demand Sites and Catchments\"&amp;$D928),0)</f>
        <v>0</v>
      </c>
      <c r="J928" s="99"/>
      <c r="K928" s="99">
        <f>IFERROR(GETPIVOTDATA("Value",TD_WEAP_RAW!$A$3,"Variable",K$2,"Escenario",K$1,"Branch","Demand Sites and Catchments\"&amp;$D928),0)</f>
        <v>0</v>
      </c>
      <c r="L928" s="99">
        <f>IFERROR(GETPIVOTDATA("Value",TD_WEAP_RAW!$A$3,"Variable",L$2,"Escenario",L$1,"Branch","Demand Sites and Catchments\"&amp;$D928),0)</f>
        <v>0</v>
      </c>
    </row>
    <row r="929" spans="4:12">
      <c r="D929" s="53"/>
      <c r="G929" s="51"/>
      <c r="H929" s="99">
        <f>IFERROR(GETPIVOTDATA("Value",TD_WEAP_RAW!$A$3,"Variable",H$2,"Escenario",H$1,"Branch","Demand Sites and Catchments\"&amp;$D929),0)</f>
        <v>0</v>
      </c>
      <c r="I929" s="99">
        <f>IFERROR(GETPIVOTDATA("Value",TD_WEAP_RAW!$A$3,"Variable",I$2,"Escenario",I$1,"Branch","Demand Sites and Catchments\"&amp;$D929),0)</f>
        <v>0</v>
      </c>
      <c r="J929" s="99"/>
      <c r="K929" s="99">
        <f>IFERROR(GETPIVOTDATA("Value",TD_WEAP_RAW!$A$3,"Variable",K$2,"Escenario",K$1,"Branch","Demand Sites and Catchments\"&amp;$D929),0)</f>
        <v>0</v>
      </c>
      <c r="L929" s="99">
        <f>IFERROR(GETPIVOTDATA("Value",TD_WEAP_RAW!$A$3,"Variable",L$2,"Escenario",L$1,"Branch","Demand Sites and Catchments\"&amp;$D929),0)</f>
        <v>0</v>
      </c>
    </row>
    <row r="930" spans="4:12">
      <c r="D930" s="53"/>
      <c r="G930" s="51"/>
      <c r="H930" s="99">
        <f>IFERROR(GETPIVOTDATA("Value",TD_WEAP_RAW!$A$3,"Variable",H$2,"Escenario",H$1,"Branch","Demand Sites and Catchments\"&amp;$D930),0)</f>
        <v>0</v>
      </c>
      <c r="I930" s="99">
        <f>IFERROR(GETPIVOTDATA("Value",TD_WEAP_RAW!$A$3,"Variable",I$2,"Escenario",I$1,"Branch","Demand Sites and Catchments\"&amp;$D930),0)</f>
        <v>0</v>
      </c>
      <c r="J930" s="99"/>
      <c r="K930" s="99">
        <f>IFERROR(GETPIVOTDATA("Value",TD_WEAP_RAW!$A$3,"Variable",K$2,"Escenario",K$1,"Branch","Demand Sites and Catchments\"&amp;$D930),0)</f>
        <v>0</v>
      </c>
      <c r="L930" s="99">
        <f>IFERROR(GETPIVOTDATA("Value",TD_WEAP_RAW!$A$3,"Variable",L$2,"Escenario",L$1,"Branch","Demand Sites and Catchments\"&amp;$D930),0)</f>
        <v>0</v>
      </c>
    </row>
    <row r="931" spans="4:12">
      <c r="D931" s="53"/>
      <c r="G931" s="51"/>
      <c r="H931" s="99">
        <f>IFERROR(GETPIVOTDATA("Value",TD_WEAP_RAW!$A$3,"Variable",H$2,"Escenario",H$1,"Branch","Demand Sites and Catchments\"&amp;$D931),0)</f>
        <v>0</v>
      </c>
      <c r="I931" s="99">
        <f>IFERROR(GETPIVOTDATA("Value",TD_WEAP_RAW!$A$3,"Variable",I$2,"Escenario",I$1,"Branch","Demand Sites and Catchments\"&amp;$D931),0)</f>
        <v>0</v>
      </c>
      <c r="J931" s="99"/>
      <c r="K931" s="99">
        <f>IFERROR(GETPIVOTDATA("Value",TD_WEAP_RAW!$A$3,"Variable",K$2,"Escenario",K$1,"Branch","Demand Sites and Catchments\"&amp;$D931),0)</f>
        <v>0</v>
      </c>
      <c r="L931" s="99">
        <f>IFERROR(GETPIVOTDATA("Value",TD_WEAP_RAW!$A$3,"Variable",L$2,"Escenario",L$1,"Branch","Demand Sites and Catchments\"&amp;$D931),0)</f>
        <v>0</v>
      </c>
    </row>
    <row r="932" spans="4:12">
      <c r="D932" s="53"/>
      <c r="G932" s="51"/>
      <c r="H932" s="99">
        <f>IFERROR(GETPIVOTDATA("Value",TD_WEAP_RAW!$A$3,"Variable",H$2,"Escenario",H$1,"Branch","Demand Sites and Catchments\"&amp;$D932),0)</f>
        <v>0</v>
      </c>
      <c r="I932" s="99">
        <f>IFERROR(GETPIVOTDATA("Value",TD_WEAP_RAW!$A$3,"Variable",I$2,"Escenario",I$1,"Branch","Demand Sites and Catchments\"&amp;$D932),0)</f>
        <v>0</v>
      </c>
      <c r="J932" s="99"/>
      <c r="K932" s="99">
        <f>IFERROR(GETPIVOTDATA("Value",TD_WEAP_RAW!$A$3,"Variable",K$2,"Escenario",K$1,"Branch","Demand Sites and Catchments\"&amp;$D932),0)</f>
        <v>0</v>
      </c>
      <c r="L932" s="99">
        <f>IFERROR(GETPIVOTDATA("Value",TD_WEAP_RAW!$A$3,"Variable",L$2,"Escenario",L$1,"Branch","Demand Sites and Catchments\"&amp;$D932),0)</f>
        <v>0</v>
      </c>
    </row>
    <row r="933" spans="4:12">
      <c r="D933" s="53"/>
      <c r="G933" s="51"/>
      <c r="H933" s="99">
        <f>IFERROR(GETPIVOTDATA("Value",TD_WEAP_RAW!$A$3,"Variable",H$2,"Escenario",H$1,"Branch","Demand Sites and Catchments\"&amp;$D933),0)</f>
        <v>0</v>
      </c>
      <c r="I933" s="99">
        <f>IFERROR(GETPIVOTDATA("Value",TD_WEAP_RAW!$A$3,"Variable",I$2,"Escenario",I$1,"Branch","Demand Sites and Catchments\"&amp;$D933),0)</f>
        <v>0</v>
      </c>
      <c r="J933" s="99"/>
      <c r="K933" s="99">
        <f>IFERROR(GETPIVOTDATA("Value",TD_WEAP_RAW!$A$3,"Variable",K$2,"Escenario",K$1,"Branch","Demand Sites and Catchments\"&amp;$D933),0)</f>
        <v>0</v>
      </c>
      <c r="L933" s="99">
        <f>IFERROR(GETPIVOTDATA("Value",TD_WEAP_RAW!$A$3,"Variable",L$2,"Escenario",L$1,"Branch","Demand Sites and Catchments\"&amp;$D933),0)</f>
        <v>0</v>
      </c>
    </row>
    <row r="934" spans="4:12">
      <c r="D934" s="53"/>
      <c r="G934" s="51"/>
      <c r="H934" s="99">
        <f>IFERROR(GETPIVOTDATA("Value",TD_WEAP_RAW!$A$3,"Variable",H$2,"Escenario",H$1,"Branch","Demand Sites and Catchments\"&amp;$D934),0)</f>
        <v>0</v>
      </c>
      <c r="I934" s="99">
        <f>IFERROR(GETPIVOTDATA("Value",TD_WEAP_RAW!$A$3,"Variable",I$2,"Escenario",I$1,"Branch","Demand Sites and Catchments\"&amp;$D934),0)</f>
        <v>0</v>
      </c>
      <c r="J934" s="99"/>
      <c r="K934" s="99">
        <f>IFERROR(GETPIVOTDATA("Value",TD_WEAP_RAW!$A$3,"Variable",K$2,"Escenario",K$1,"Branch","Demand Sites and Catchments\"&amp;$D934),0)</f>
        <v>0</v>
      </c>
      <c r="L934" s="99">
        <f>IFERROR(GETPIVOTDATA("Value",TD_WEAP_RAW!$A$3,"Variable",L$2,"Escenario",L$1,"Branch","Demand Sites and Catchments\"&amp;$D934),0)</f>
        <v>0</v>
      </c>
    </row>
    <row r="935" spans="4:12">
      <c r="D935" s="53"/>
      <c r="G935" s="51"/>
      <c r="H935" s="99">
        <f>IFERROR(GETPIVOTDATA("Value",TD_WEAP_RAW!$A$3,"Variable",H$2,"Escenario",H$1,"Branch","Demand Sites and Catchments\"&amp;$D935),0)</f>
        <v>0</v>
      </c>
      <c r="I935" s="99">
        <f>IFERROR(GETPIVOTDATA("Value",TD_WEAP_RAW!$A$3,"Variable",I$2,"Escenario",I$1,"Branch","Demand Sites and Catchments\"&amp;$D935),0)</f>
        <v>0</v>
      </c>
      <c r="J935" s="99"/>
      <c r="K935" s="99">
        <f>IFERROR(GETPIVOTDATA("Value",TD_WEAP_RAW!$A$3,"Variable",K$2,"Escenario",K$1,"Branch","Demand Sites and Catchments\"&amp;$D935),0)</f>
        <v>0</v>
      </c>
      <c r="L935" s="99">
        <f>IFERROR(GETPIVOTDATA("Value",TD_WEAP_RAW!$A$3,"Variable",L$2,"Escenario",L$1,"Branch","Demand Sites and Catchments\"&amp;$D935),0)</f>
        <v>0</v>
      </c>
    </row>
    <row r="936" spans="4:12">
      <c r="D936" s="53"/>
      <c r="G936" s="51"/>
      <c r="H936" s="99">
        <f>IFERROR(GETPIVOTDATA("Value",TD_WEAP_RAW!$A$3,"Variable",H$2,"Escenario",H$1,"Branch","Demand Sites and Catchments\"&amp;$D936),0)</f>
        <v>0</v>
      </c>
      <c r="I936" s="99">
        <f>IFERROR(GETPIVOTDATA("Value",TD_WEAP_RAW!$A$3,"Variable",I$2,"Escenario",I$1,"Branch","Demand Sites and Catchments\"&amp;$D936),0)</f>
        <v>0</v>
      </c>
      <c r="J936" s="99"/>
      <c r="K936" s="99">
        <f>IFERROR(GETPIVOTDATA("Value",TD_WEAP_RAW!$A$3,"Variable",K$2,"Escenario",K$1,"Branch","Demand Sites and Catchments\"&amp;$D936),0)</f>
        <v>0</v>
      </c>
      <c r="L936" s="99">
        <f>IFERROR(GETPIVOTDATA("Value",TD_WEAP_RAW!$A$3,"Variable",L$2,"Escenario",L$1,"Branch","Demand Sites and Catchments\"&amp;$D936),0)</f>
        <v>0</v>
      </c>
    </row>
    <row r="937" spans="4:12">
      <c r="D937" s="53"/>
      <c r="G937" s="51"/>
      <c r="H937" s="99">
        <f>IFERROR(GETPIVOTDATA("Value",TD_WEAP_RAW!$A$3,"Variable",H$2,"Escenario",H$1,"Branch","Demand Sites and Catchments\"&amp;$D937),0)</f>
        <v>0</v>
      </c>
      <c r="I937" s="99">
        <f>IFERROR(GETPIVOTDATA("Value",TD_WEAP_RAW!$A$3,"Variable",I$2,"Escenario",I$1,"Branch","Demand Sites and Catchments\"&amp;$D937),0)</f>
        <v>0</v>
      </c>
      <c r="J937" s="99"/>
      <c r="K937" s="99">
        <f>IFERROR(GETPIVOTDATA("Value",TD_WEAP_RAW!$A$3,"Variable",K$2,"Escenario",K$1,"Branch","Demand Sites and Catchments\"&amp;$D937),0)</f>
        <v>0</v>
      </c>
      <c r="L937" s="99">
        <f>IFERROR(GETPIVOTDATA("Value",TD_WEAP_RAW!$A$3,"Variable",L$2,"Escenario",L$1,"Branch","Demand Sites and Catchments\"&amp;$D937),0)</f>
        <v>0</v>
      </c>
    </row>
    <row r="938" spans="4:12">
      <c r="D938" s="53"/>
      <c r="G938" s="51"/>
      <c r="H938" s="99">
        <f>IFERROR(GETPIVOTDATA("Value",TD_WEAP_RAW!$A$3,"Variable",H$2,"Escenario",H$1,"Branch","Demand Sites and Catchments\"&amp;$D938),0)</f>
        <v>0</v>
      </c>
      <c r="I938" s="99">
        <f>IFERROR(GETPIVOTDATA("Value",TD_WEAP_RAW!$A$3,"Variable",I$2,"Escenario",I$1,"Branch","Demand Sites and Catchments\"&amp;$D938),0)</f>
        <v>0</v>
      </c>
      <c r="J938" s="99"/>
      <c r="K938" s="99">
        <f>IFERROR(GETPIVOTDATA("Value",TD_WEAP_RAW!$A$3,"Variable",K$2,"Escenario",K$1,"Branch","Demand Sites and Catchments\"&amp;$D938),0)</f>
        <v>0</v>
      </c>
      <c r="L938" s="99">
        <f>IFERROR(GETPIVOTDATA("Value",TD_WEAP_RAW!$A$3,"Variable",L$2,"Escenario",L$1,"Branch","Demand Sites and Catchments\"&amp;$D938),0)</f>
        <v>0</v>
      </c>
    </row>
    <row r="939" spans="4:12">
      <c r="D939" s="53"/>
      <c r="G939" s="51"/>
      <c r="H939" s="99">
        <f>IFERROR(GETPIVOTDATA("Value",TD_WEAP_RAW!$A$3,"Variable",H$2,"Escenario",H$1,"Branch","Demand Sites and Catchments\"&amp;$D939),0)</f>
        <v>0</v>
      </c>
      <c r="I939" s="99">
        <f>IFERROR(GETPIVOTDATA("Value",TD_WEAP_RAW!$A$3,"Variable",I$2,"Escenario",I$1,"Branch","Demand Sites and Catchments\"&amp;$D939),0)</f>
        <v>0</v>
      </c>
      <c r="J939" s="99"/>
      <c r="K939" s="99">
        <f>IFERROR(GETPIVOTDATA("Value",TD_WEAP_RAW!$A$3,"Variable",K$2,"Escenario",K$1,"Branch","Demand Sites and Catchments\"&amp;$D939),0)</f>
        <v>0</v>
      </c>
      <c r="L939" s="99">
        <f>IFERROR(GETPIVOTDATA("Value",TD_WEAP_RAW!$A$3,"Variable",L$2,"Escenario",L$1,"Branch","Demand Sites and Catchments\"&amp;$D939),0)</f>
        <v>0</v>
      </c>
    </row>
    <row r="940" spans="4:12">
      <c r="D940" s="53"/>
      <c r="G940" s="51"/>
      <c r="H940" s="99">
        <f>IFERROR(GETPIVOTDATA("Value",TD_WEAP_RAW!$A$3,"Variable",H$2,"Escenario",H$1,"Branch","Demand Sites and Catchments\"&amp;$D940),0)</f>
        <v>0</v>
      </c>
      <c r="I940" s="99">
        <f>IFERROR(GETPIVOTDATA("Value",TD_WEAP_RAW!$A$3,"Variable",I$2,"Escenario",I$1,"Branch","Demand Sites and Catchments\"&amp;$D940),0)</f>
        <v>0</v>
      </c>
      <c r="J940" s="99"/>
      <c r="K940" s="99">
        <f>IFERROR(GETPIVOTDATA("Value",TD_WEAP_RAW!$A$3,"Variable",K$2,"Escenario",K$1,"Branch","Demand Sites and Catchments\"&amp;$D940),0)</f>
        <v>0</v>
      </c>
      <c r="L940" s="99">
        <f>IFERROR(GETPIVOTDATA("Value",TD_WEAP_RAW!$A$3,"Variable",L$2,"Escenario",L$1,"Branch","Demand Sites and Catchments\"&amp;$D940),0)</f>
        <v>0</v>
      </c>
    </row>
    <row r="941" spans="4:12">
      <c r="D941" s="53"/>
      <c r="G941" s="51"/>
      <c r="H941" s="99">
        <f>IFERROR(GETPIVOTDATA("Value",TD_WEAP_RAW!$A$3,"Variable",H$2,"Escenario",H$1,"Branch","Demand Sites and Catchments\"&amp;$D941),0)</f>
        <v>0</v>
      </c>
      <c r="I941" s="99">
        <f>IFERROR(GETPIVOTDATA("Value",TD_WEAP_RAW!$A$3,"Variable",I$2,"Escenario",I$1,"Branch","Demand Sites and Catchments\"&amp;$D941),0)</f>
        <v>0</v>
      </c>
      <c r="J941" s="99"/>
      <c r="K941" s="99">
        <f>IFERROR(GETPIVOTDATA("Value",TD_WEAP_RAW!$A$3,"Variable",K$2,"Escenario",K$1,"Branch","Demand Sites and Catchments\"&amp;$D941),0)</f>
        <v>0</v>
      </c>
      <c r="L941" s="99">
        <f>IFERROR(GETPIVOTDATA("Value",TD_WEAP_RAW!$A$3,"Variable",L$2,"Escenario",L$1,"Branch","Demand Sites and Catchments\"&amp;$D941),0)</f>
        <v>0</v>
      </c>
    </row>
    <row r="942" spans="4:12">
      <c r="D942" s="53"/>
      <c r="G942" s="51"/>
      <c r="H942" s="99">
        <f>IFERROR(GETPIVOTDATA("Value",TD_WEAP_RAW!$A$3,"Variable",H$2,"Escenario",H$1,"Branch","Demand Sites and Catchments\"&amp;$D942),0)</f>
        <v>0</v>
      </c>
      <c r="I942" s="99">
        <f>IFERROR(GETPIVOTDATA("Value",TD_WEAP_RAW!$A$3,"Variable",I$2,"Escenario",I$1,"Branch","Demand Sites and Catchments\"&amp;$D942),0)</f>
        <v>0</v>
      </c>
      <c r="J942" s="99"/>
      <c r="K942" s="99">
        <f>IFERROR(GETPIVOTDATA("Value",TD_WEAP_RAW!$A$3,"Variable",K$2,"Escenario",K$1,"Branch","Demand Sites and Catchments\"&amp;$D942),0)</f>
        <v>0</v>
      </c>
      <c r="L942" s="99">
        <f>IFERROR(GETPIVOTDATA("Value",TD_WEAP_RAW!$A$3,"Variable",L$2,"Escenario",L$1,"Branch","Demand Sites and Catchments\"&amp;$D942),0)</f>
        <v>0</v>
      </c>
    </row>
    <row r="943" spans="4:12">
      <c r="D943" s="53"/>
      <c r="G943" s="51"/>
      <c r="H943" s="99">
        <f>IFERROR(GETPIVOTDATA("Value",TD_WEAP_RAW!$A$3,"Variable",H$2,"Escenario",H$1,"Branch","Demand Sites and Catchments\"&amp;$D943),0)</f>
        <v>0</v>
      </c>
      <c r="I943" s="99">
        <f>IFERROR(GETPIVOTDATA("Value",TD_WEAP_RAW!$A$3,"Variable",I$2,"Escenario",I$1,"Branch","Demand Sites and Catchments\"&amp;$D943),0)</f>
        <v>0</v>
      </c>
      <c r="J943" s="99"/>
      <c r="K943" s="99">
        <f>IFERROR(GETPIVOTDATA("Value",TD_WEAP_RAW!$A$3,"Variable",K$2,"Escenario",K$1,"Branch","Demand Sites and Catchments\"&amp;$D943),0)</f>
        <v>0</v>
      </c>
      <c r="L943" s="99">
        <f>IFERROR(GETPIVOTDATA("Value",TD_WEAP_RAW!$A$3,"Variable",L$2,"Escenario",L$1,"Branch","Demand Sites and Catchments\"&amp;$D943),0)</f>
        <v>0</v>
      </c>
    </row>
    <row r="944" spans="4:12">
      <c r="D944" s="53"/>
      <c r="G944" s="51"/>
      <c r="H944" s="99">
        <f>IFERROR(GETPIVOTDATA("Value",TD_WEAP_RAW!$A$3,"Variable",H$2,"Escenario",H$1,"Branch","Demand Sites and Catchments\"&amp;$D944),0)</f>
        <v>0</v>
      </c>
      <c r="I944" s="99">
        <f>IFERROR(GETPIVOTDATA("Value",TD_WEAP_RAW!$A$3,"Variable",I$2,"Escenario",I$1,"Branch","Demand Sites and Catchments\"&amp;$D944),0)</f>
        <v>0</v>
      </c>
      <c r="J944" s="99"/>
      <c r="K944" s="99">
        <f>IFERROR(GETPIVOTDATA("Value",TD_WEAP_RAW!$A$3,"Variable",K$2,"Escenario",K$1,"Branch","Demand Sites and Catchments\"&amp;$D944),0)</f>
        <v>0</v>
      </c>
      <c r="L944" s="99">
        <f>IFERROR(GETPIVOTDATA("Value",TD_WEAP_RAW!$A$3,"Variable",L$2,"Escenario",L$1,"Branch","Demand Sites and Catchments\"&amp;$D944),0)</f>
        <v>0</v>
      </c>
    </row>
    <row r="945" spans="4:12">
      <c r="D945" s="53"/>
      <c r="G945" s="51"/>
      <c r="H945" s="99">
        <f>IFERROR(GETPIVOTDATA("Value",TD_WEAP_RAW!$A$3,"Variable",H$2,"Escenario",H$1,"Branch","Demand Sites and Catchments\"&amp;$D945),0)</f>
        <v>0</v>
      </c>
      <c r="I945" s="99">
        <f>IFERROR(GETPIVOTDATA("Value",TD_WEAP_RAW!$A$3,"Variable",I$2,"Escenario",I$1,"Branch","Demand Sites and Catchments\"&amp;$D945),0)</f>
        <v>0</v>
      </c>
      <c r="J945" s="99"/>
      <c r="K945" s="99">
        <f>IFERROR(GETPIVOTDATA("Value",TD_WEAP_RAW!$A$3,"Variable",K$2,"Escenario",K$1,"Branch","Demand Sites and Catchments\"&amp;$D945),0)</f>
        <v>0</v>
      </c>
      <c r="L945" s="99">
        <f>IFERROR(GETPIVOTDATA("Value",TD_WEAP_RAW!$A$3,"Variable",L$2,"Escenario",L$1,"Branch","Demand Sites and Catchments\"&amp;$D945),0)</f>
        <v>0</v>
      </c>
    </row>
    <row r="946" spans="4:12">
      <c r="D946" s="53"/>
      <c r="G946" s="51"/>
      <c r="H946" s="99">
        <f>IFERROR(GETPIVOTDATA("Value",TD_WEAP_RAW!$A$3,"Variable",H$2,"Escenario",H$1,"Branch","Demand Sites and Catchments\"&amp;$D946),0)</f>
        <v>0</v>
      </c>
      <c r="I946" s="99">
        <f>IFERROR(GETPIVOTDATA("Value",TD_WEAP_RAW!$A$3,"Variable",I$2,"Escenario",I$1,"Branch","Demand Sites and Catchments\"&amp;$D946),0)</f>
        <v>0</v>
      </c>
      <c r="J946" s="99"/>
      <c r="K946" s="99">
        <f>IFERROR(GETPIVOTDATA("Value",TD_WEAP_RAW!$A$3,"Variable",K$2,"Escenario",K$1,"Branch","Demand Sites and Catchments\"&amp;$D946),0)</f>
        <v>0</v>
      </c>
      <c r="L946" s="99">
        <f>IFERROR(GETPIVOTDATA("Value",TD_WEAP_RAW!$A$3,"Variable",L$2,"Escenario",L$1,"Branch","Demand Sites and Catchments\"&amp;$D946),0)</f>
        <v>0</v>
      </c>
    </row>
    <row r="947" spans="4:12">
      <c r="D947" s="53"/>
      <c r="G947" s="51"/>
      <c r="H947" s="99">
        <f>IFERROR(GETPIVOTDATA("Value",TD_WEAP_RAW!$A$3,"Variable",H$2,"Escenario",H$1,"Branch","Demand Sites and Catchments\"&amp;$D947),0)</f>
        <v>0</v>
      </c>
      <c r="I947" s="99">
        <f>IFERROR(GETPIVOTDATA("Value",TD_WEAP_RAW!$A$3,"Variable",I$2,"Escenario",I$1,"Branch","Demand Sites and Catchments\"&amp;$D947),0)</f>
        <v>0</v>
      </c>
      <c r="J947" s="99"/>
      <c r="K947" s="99">
        <f>IFERROR(GETPIVOTDATA("Value",TD_WEAP_RAW!$A$3,"Variable",K$2,"Escenario",K$1,"Branch","Demand Sites and Catchments\"&amp;$D947),0)</f>
        <v>0</v>
      </c>
      <c r="L947" s="99">
        <f>IFERROR(GETPIVOTDATA("Value",TD_WEAP_RAW!$A$3,"Variable",L$2,"Escenario",L$1,"Branch","Demand Sites and Catchments\"&amp;$D947),0)</f>
        <v>0</v>
      </c>
    </row>
    <row r="948" spans="4:12">
      <c r="D948" s="53"/>
      <c r="G948" s="51"/>
      <c r="H948" s="99">
        <f>IFERROR(GETPIVOTDATA("Value",TD_WEAP_RAW!$A$3,"Variable",H$2,"Escenario",H$1,"Branch","Demand Sites and Catchments\"&amp;$D948),0)</f>
        <v>0</v>
      </c>
      <c r="I948" s="99">
        <f>IFERROR(GETPIVOTDATA("Value",TD_WEAP_RAW!$A$3,"Variable",I$2,"Escenario",I$1,"Branch","Demand Sites and Catchments\"&amp;$D948),0)</f>
        <v>0</v>
      </c>
      <c r="J948" s="99"/>
      <c r="K948" s="99">
        <f>IFERROR(GETPIVOTDATA("Value",TD_WEAP_RAW!$A$3,"Variable",K$2,"Escenario",K$1,"Branch","Demand Sites and Catchments\"&amp;$D948),0)</f>
        <v>0</v>
      </c>
      <c r="L948" s="99">
        <f>IFERROR(GETPIVOTDATA("Value",TD_WEAP_RAW!$A$3,"Variable",L$2,"Escenario",L$1,"Branch","Demand Sites and Catchments\"&amp;$D948),0)</f>
        <v>0</v>
      </c>
    </row>
    <row r="949" spans="4:12">
      <c r="D949" s="53"/>
      <c r="G949" s="51"/>
      <c r="H949" s="99">
        <f>IFERROR(GETPIVOTDATA("Value",TD_WEAP_RAW!$A$3,"Variable",H$2,"Escenario",H$1,"Branch","Demand Sites and Catchments\"&amp;$D949),0)</f>
        <v>0</v>
      </c>
      <c r="I949" s="99">
        <f>IFERROR(GETPIVOTDATA("Value",TD_WEAP_RAW!$A$3,"Variable",I$2,"Escenario",I$1,"Branch","Demand Sites and Catchments\"&amp;$D949),0)</f>
        <v>0</v>
      </c>
      <c r="J949" s="99"/>
      <c r="K949" s="99">
        <f>IFERROR(GETPIVOTDATA("Value",TD_WEAP_RAW!$A$3,"Variable",K$2,"Escenario",K$1,"Branch","Demand Sites and Catchments\"&amp;$D949),0)</f>
        <v>0</v>
      </c>
      <c r="L949" s="99">
        <f>IFERROR(GETPIVOTDATA("Value",TD_WEAP_RAW!$A$3,"Variable",L$2,"Escenario",L$1,"Branch","Demand Sites and Catchments\"&amp;$D949),0)</f>
        <v>0</v>
      </c>
    </row>
    <row r="950" spans="4:12">
      <c r="D950" s="53"/>
      <c r="G950" s="51"/>
      <c r="H950" s="99">
        <f>IFERROR(GETPIVOTDATA("Value",TD_WEAP_RAW!$A$3,"Variable",H$2,"Escenario",H$1,"Branch","Demand Sites and Catchments\"&amp;$D950),0)</f>
        <v>0</v>
      </c>
      <c r="I950" s="99">
        <f>IFERROR(GETPIVOTDATA("Value",TD_WEAP_RAW!$A$3,"Variable",I$2,"Escenario",I$1,"Branch","Demand Sites and Catchments\"&amp;$D950),0)</f>
        <v>0</v>
      </c>
      <c r="J950" s="99"/>
      <c r="K950" s="99">
        <f>IFERROR(GETPIVOTDATA("Value",TD_WEAP_RAW!$A$3,"Variable",K$2,"Escenario",K$1,"Branch","Demand Sites and Catchments\"&amp;$D950),0)</f>
        <v>0</v>
      </c>
      <c r="L950" s="99">
        <f>IFERROR(GETPIVOTDATA("Value",TD_WEAP_RAW!$A$3,"Variable",L$2,"Escenario",L$1,"Branch","Demand Sites and Catchments\"&amp;$D950),0)</f>
        <v>0</v>
      </c>
    </row>
    <row r="951" spans="4:12">
      <c r="D951" s="53"/>
      <c r="G951" s="51"/>
      <c r="H951" s="99">
        <f>IFERROR(GETPIVOTDATA("Value",TD_WEAP_RAW!$A$3,"Variable",H$2,"Escenario",H$1,"Branch","Demand Sites and Catchments\"&amp;$D951),0)</f>
        <v>0</v>
      </c>
      <c r="I951" s="99">
        <f>IFERROR(GETPIVOTDATA("Value",TD_WEAP_RAW!$A$3,"Variable",I$2,"Escenario",I$1,"Branch","Demand Sites and Catchments\"&amp;$D951),0)</f>
        <v>0</v>
      </c>
      <c r="J951" s="99"/>
      <c r="K951" s="99">
        <f>IFERROR(GETPIVOTDATA("Value",TD_WEAP_RAW!$A$3,"Variable",K$2,"Escenario",K$1,"Branch","Demand Sites and Catchments\"&amp;$D951),0)</f>
        <v>0</v>
      </c>
      <c r="L951" s="99">
        <f>IFERROR(GETPIVOTDATA("Value",TD_WEAP_RAW!$A$3,"Variable",L$2,"Escenario",L$1,"Branch","Demand Sites and Catchments\"&amp;$D951),0)</f>
        <v>0</v>
      </c>
    </row>
    <row r="952" spans="4:12">
      <c r="D952" s="53"/>
      <c r="G952" s="51"/>
      <c r="H952" s="99">
        <f>IFERROR(GETPIVOTDATA("Value",TD_WEAP_RAW!$A$3,"Variable",H$2,"Escenario",H$1,"Branch","Demand Sites and Catchments\"&amp;$D952),0)</f>
        <v>0</v>
      </c>
      <c r="I952" s="99">
        <f>IFERROR(GETPIVOTDATA("Value",TD_WEAP_RAW!$A$3,"Variable",I$2,"Escenario",I$1,"Branch","Demand Sites and Catchments\"&amp;$D952),0)</f>
        <v>0</v>
      </c>
      <c r="J952" s="99"/>
      <c r="K952" s="99">
        <f>IFERROR(GETPIVOTDATA("Value",TD_WEAP_RAW!$A$3,"Variable",K$2,"Escenario",K$1,"Branch","Demand Sites and Catchments\"&amp;$D952),0)</f>
        <v>0</v>
      </c>
      <c r="L952" s="99">
        <f>IFERROR(GETPIVOTDATA("Value",TD_WEAP_RAW!$A$3,"Variable",L$2,"Escenario",L$1,"Branch","Demand Sites and Catchments\"&amp;$D952),0)</f>
        <v>0</v>
      </c>
    </row>
    <row r="953" spans="4:12">
      <c r="D953" s="53"/>
      <c r="G953" s="51"/>
      <c r="H953" s="99">
        <f>IFERROR(GETPIVOTDATA("Value",TD_WEAP_RAW!$A$3,"Variable",H$2,"Escenario",H$1,"Branch","Demand Sites and Catchments\"&amp;$D953),0)</f>
        <v>0</v>
      </c>
      <c r="I953" s="99">
        <f>IFERROR(GETPIVOTDATA("Value",TD_WEAP_RAW!$A$3,"Variable",I$2,"Escenario",I$1,"Branch","Demand Sites and Catchments\"&amp;$D953),0)</f>
        <v>0</v>
      </c>
      <c r="J953" s="99"/>
      <c r="K953" s="99">
        <f>IFERROR(GETPIVOTDATA("Value",TD_WEAP_RAW!$A$3,"Variable",K$2,"Escenario",K$1,"Branch","Demand Sites and Catchments\"&amp;$D953),0)</f>
        <v>0</v>
      </c>
      <c r="L953" s="99">
        <f>IFERROR(GETPIVOTDATA("Value",TD_WEAP_RAW!$A$3,"Variable",L$2,"Escenario",L$1,"Branch","Demand Sites and Catchments\"&amp;$D953),0)</f>
        <v>0</v>
      </c>
    </row>
    <row r="954" spans="4:12">
      <c r="D954" s="53"/>
      <c r="G954" s="51"/>
      <c r="H954" s="99">
        <f>IFERROR(GETPIVOTDATA("Value",TD_WEAP_RAW!$A$3,"Variable",H$2,"Escenario",H$1,"Branch","Demand Sites and Catchments\"&amp;$D954),0)</f>
        <v>0</v>
      </c>
      <c r="I954" s="99">
        <f>IFERROR(GETPIVOTDATA("Value",TD_WEAP_RAW!$A$3,"Variable",I$2,"Escenario",I$1,"Branch","Demand Sites and Catchments\"&amp;$D954),0)</f>
        <v>0</v>
      </c>
      <c r="J954" s="99"/>
      <c r="K954" s="99">
        <f>IFERROR(GETPIVOTDATA("Value",TD_WEAP_RAW!$A$3,"Variable",K$2,"Escenario",K$1,"Branch","Demand Sites and Catchments\"&amp;$D954),0)</f>
        <v>0</v>
      </c>
      <c r="L954" s="99">
        <f>IFERROR(GETPIVOTDATA("Value",TD_WEAP_RAW!$A$3,"Variable",L$2,"Escenario",L$1,"Branch","Demand Sites and Catchments\"&amp;$D954),0)</f>
        <v>0</v>
      </c>
    </row>
    <row r="955" spans="4:12">
      <c r="D955" s="53"/>
      <c r="G955" s="51"/>
      <c r="H955" s="99">
        <f>IFERROR(GETPIVOTDATA("Value",TD_WEAP_RAW!$A$3,"Variable",H$2,"Escenario",H$1,"Branch","Demand Sites and Catchments\"&amp;$D955),0)</f>
        <v>0</v>
      </c>
      <c r="I955" s="99">
        <f>IFERROR(GETPIVOTDATA("Value",TD_WEAP_RAW!$A$3,"Variable",I$2,"Escenario",I$1,"Branch","Demand Sites and Catchments\"&amp;$D955),0)</f>
        <v>0</v>
      </c>
      <c r="J955" s="99"/>
      <c r="K955" s="99">
        <f>IFERROR(GETPIVOTDATA("Value",TD_WEAP_RAW!$A$3,"Variable",K$2,"Escenario",K$1,"Branch","Demand Sites and Catchments\"&amp;$D955),0)</f>
        <v>0</v>
      </c>
      <c r="L955" s="99">
        <f>IFERROR(GETPIVOTDATA("Value",TD_WEAP_RAW!$A$3,"Variable",L$2,"Escenario",L$1,"Branch","Demand Sites and Catchments\"&amp;$D955),0)</f>
        <v>0</v>
      </c>
    </row>
    <row r="956" spans="4:12">
      <c r="D956" s="53"/>
      <c r="G956" s="51"/>
      <c r="H956" s="99">
        <f>IFERROR(GETPIVOTDATA("Value",TD_WEAP_RAW!$A$3,"Variable",H$2,"Escenario",H$1,"Branch","Demand Sites and Catchments\"&amp;$D956),0)</f>
        <v>0</v>
      </c>
      <c r="I956" s="99">
        <f>IFERROR(GETPIVOTDATA("Value",TD_WEAP_RAW!$A$3,"Variable",I$2,"Escenario",I$1,"Branch","Demand Sites and Catchments\"&amp;$D956),0)</f>
        <v>0</v>
      </c>
      <c r="J956" s="99"/>
      <c r="K956" s="99">
        <f>IFERROR(GETPIVOTDATA("Value",TD_WEAP_RAW!$A$3,"Variable",K$2,"Escenario",K$1,"Branch","Demand Sites and Catchments\"&amp;$D956),0)</f>
        <v>0</v>
      </c>
      <c r="L956" s="99">
        <f>IFERROR(GETPIVOTDATA("Value",TD_WEAP_RAW!$A$3,"Variable",L$2,"Escenario",L$1,"Branch","Demand Sites and Catchments\"&amp;$D956),0)</f>
        <v>0</v>
      </c>
    </row>
    <row r="957" spans="4:12">
      <c r="D957" s="53"/>
      <c r="G957" s="51"/>
      <c r="H957" s="99">
        <f>IFERROR(GETPIVOTDATA("Value",TD_WEAP_RAW!$A$3,"Variable",H$2,"Escenario",H$1,"Branch","Demand Sites and Catchments\"&amp;$D957),0)</f>
        <v>0</v>
      </c>
      <c r="I957" s="99">
        <f>IFERROR(GETPIVOTDATA("Value",TD_WEAP_RAW!$A$3,"Variable",I$2,"Escenario",I$1,"Branch","Demand Sites and Catchments\"&amp;$D957),0)</f>
        <v>0</v>
      </c>
      <c r="J957" s="99"/>
      <c r="K957" s="99">
        <f>IFERROR(GETPIVOTDATA("Value",TD_WEAP_RAW!$A$3,"Variable",K$2,"Escenario",K$1,"Branch","Demand Sites and Catchments\"&amp;$D957),0)</f>
        <v>0</v>
      </c>
      <c r="L957" s="99">
        <f>IFERROR(GETPIVOTDATA("Value",TD_WEAP_RAW!$A$3,"Variable",L$2,"Escenario",L$1,"Branch","Demand Sites and Catchments\"&amp;$D957),0)</f>
        <v>0</v>
      </c>
    </row>
    <row r="958" spans="4:12">
      <c r="D958" s="53"/>
      <c r="G958" s="51"/>
      <c r="H958" s="99">
        <f>IFERROR(GETPIVOTDATA("Value",TD_WEAP_RAW!$A$3,"Variable",H$2,"Escenario",H$1,"Branch","Demand Sites and Catchments\"&amp;$D958),0)</f>
        <v>0</v>
      </c>
      <c r="I958" s="99">
        <f>IFERROR(GETPIVOTDATA("Value",TD_WEAP_RAW!$A$3,"Variable",I$2,"Escenario",I$1,"Branch","Demand Sites and Catchments\"&amp;$D958),0)</f>
        <v>0</v>
      </c>
      <c r="J958" s="99"/>
      <c r="K958" s="99">
        <f>IFERROR(GETPIVOTDATA("Value",TD_WEAP_RAW!$A$3,"Variable",K$2,"Escenario",K$1,"Branch","Demand Sites and Catchments\"&amp;$D958),0)</f>
        <v>0</v>
      </c>
      <c r="L958" s="99">
        <f>IFERROR(GETPIVOTDATA("Value",TD_WEAP_RAW!$A$3,"Variable",L$2,"Escenario",L$1,"Branch","Demand Sites and Catchments\"&amp;$D958),0)</f>
        <v>0</v>
      </c>
    </row>
    <row r="959" spans="4:12">
      <c r="D959" s="53"/>
      <c r="G959" s="51"/>
      <c r="H959" s="99">
        <f>IFERROR(GETPIVOTDATA("Value",TD_WEAP_RAW!$A$3,"Variable",H$2,"Escenario",H$1,"Branch","Demand Sites and Catchments\"&amp;$D959),0)</f>
        <v>0</v>
      </c>
      <c r="I959" s="99">
        <f>IFERROR(GETPIVOTDATA("Value",TD_WEAP_RAW!$A$3,"Variable",I$2,"Escenario",I$1,"Branch","Demand Sites and Catchments\"&amp;$D959),0)</f>
        <v>0</v>
      </c>
      <c r="J959" s="99"/>
      <c r="K959" s="99">
        <f>IFERROR(GETPIVOTDATA("Value",TD_WEAP_RAW!$A$3,"Variable",K$2,"Escenario",K$1,"Branch","Demand Sites and Catchments\"&amp;$D959),0)</f>
        <v>0</v>
      </c>
      <c r="L959" s="99">
        <f>IFERROR(GETPIVOTDATA("Value",TD_WEAP_RAW!$A$3,"Variable",L$2,"Escenario",L$1,"Branch","Demand Sites and Catchments\"&amp;$D959),0)</f>
        <v>0</v>
      </c>
    </row>
    <row r="960" spans="4:12">
      <c r="D960" s="53"/>
      <c r="G960" s="51"/>
      <c r="H960" s="99">
        <f>IFERROR(GETPIVOTDATA("Value",TD_WEAP_RAW!$A$3,"Variable",H$2,"Escenario",H$1,"Branch","Demand Sites and Catchments\"&amp;$D960),0)</f>
        <v>0</v>
      </c>
      <c r="I960" s="99">
        <f>IFERROR(GETPIVOTDATA("Value",TD_WEAP_RAW!$A$3,"Variable",I$2,"Escenario",I$1,"Branch","Demand Sites and Catchments\"&amp;$D960),0)</f>
        <v>0</v>
      </c>
      <c r="J960" s="99"/>
      <c r="K960" s="99">
        <f>IFERROR(GETPIVOTDATA("Value",TD_WEAP_RAW!$A$3,"Variable",K$2,"Escenario",K$1,"Branch","Demand Sites and Catchments\"&amp;$D960),0)</f>
        <v>0</v>
      </c>
      <c r="L960" s="99">
        <f>IFERROR(GETPIVOTDATA("Value",TD_WEAP_RAW!$A$3,"Variable",L$2,"Escenario",L$1,"Branch","Demand Sites and Catchments\"&amp;$D960),0)</f>
        <v>0</v>
      </c>
    </row>
    <row r="961" spans="4:12">
      <c r="D961" s="53"/>
      <c r="G961" s="51"/>
      <c r="H961" s="99">
        <f>IFERROR(GETPIVOTDATA("Value",TD_WEAP_RAW!$A$3,"Variable",H$2,"Escenario",H$1,"Branch","Demand Sites and Catchments\"&amp;$D961),0)</f>
        <v>0</v>
      </c>
      <c r="I961" s="99">
        <f>IFERROR(GETPIVOTDATA("Value",TD_WEAP_RAW!$A$3,"Variable",I$2,"Escenario",I$1,"Branch","Demand Sites and Catchments\"&amp;$D961),0)</f>
        <v>0</v>
      </c>
      <c r="J961" s="99"/>
      <c r="K961" s="99">
        <f>IFERROR(GETPIVOTDATA("Value",TD_WEAP_RAW!$A$3,"Variable",K$2,"Escenario",K$1,"Branch","Demand Sites and Catchments\"&amp;$D961),0)</f>
        <v>0</v>
      </c>
      <c r="L961" s="99">
        <f>IFERROR(GETPIVOTDATA("Value",TD_WEAP_RAW!$A$3,"Variable",L$2,"Escenario",L$1,"Branch","Demand Sites and Catchments\"&amp;$D961),0)</f>
        <v>0</v>
      </c>
    </row>
    <row r="962" spans="4:12">
      <c r="D962" s="53"/>
      <c r="G962" s="51"/>
      <c r="H962" s="99">
        <f>IFERROR(GETPIVOTDATA("Value",TD_WEAP_RAW!$A$3,"Variable",H$2,"Escenario",H$1,"Branch","Demand Sites and Catchments\"&amp;$D962),0)</f>
        <v>0</v>
      </c>
      <c r="I962" s="99">
        <f>IFERROR(GETPIVOTDATA("Value",TD_WEAP_RAW!$A$3,"Variable",I$2,"Escenario",I$1,"Branch","Demand Sites and Catchments\"&amp;$D962),0)</f>
        <v>0</v>
      </c>
      <c r="J962" s="99"/>
      <c r="K962" s="99">
        <f>IFERROR(GETPIVOTDATA("Value",TD_WEAP_RAW!$A$3,"Variable",K$2,"Escenario",K$1,"Branch","Demand Sites and Catchments\"&amp;$D962),0)</f>
        <v>0</v>
      </c>
      <c r="L962" s="99">
        <f>IFERROR(GETPIVOTDATA("Value",TD_WEAP_RAW!$A$3,"Variable",L$2,"Escenario",L$1,"Branch","Demand Sites and Catchments\"&amp;$D962),0)</f>
        <v>0</v>
      </c>
    </row>
    <row r="963" spans="4:12">
      <c r="D963" s="53"/>
      <c r="G963" s="51"/>
      <c r="H963" s="99">
        <f>IFERROR(GETPIVOTDATA("Value",TD_WEAP_RAW!$A$3,"Variable",H$2,"Escenario",H$1,"Branch","Demand Sites and Catchments\"&amp;$D963),0)</f>
        <v>0</v>
      </c>
      <c r="I963" s="99">
        <f>IFERROR(GETPIVOTDATA("Value",TD_WEAP_RAW!$A$3,"Variable",I$2,"Escenario",I$1,"Branch","Demand Sites and Catchments\"&amp;$D963),0)</f>
        <v>0</v>
      </c>
      <c r="J963" s="99"/>
      <c r="K963" s="99">
        <f>IFERROR(GETPIVOTDATA("Value",TD_WEAP_RAW!$A$3,"Variable",K$2,"Escenario",K$1,"Branch","Demand Sites and Catchments\"&amp;$D963),0)</f>
        <v>0</v>
      </c>
      <c r="L963" s="99">
        <f>IFERROR(GETPIVOTDATA("Value",TD_WEAP_RAW!$A$3,"Variable",L$2,"Escenario",L$1,"Branch","Demand Sites and Catchments\"&amp;$D963),0)</f>
        <v>0</v>
      </c>
    </row>
    <row r="964" spans="4:12">
      <c r="D964" s="53"/>
      <c r="G964" s="51"/>
      <c r="H964" s="99">
        <f>IFERROR(GETPIVOTDATA("Value",TD_WEAP_RAW!$A$3,"Variable",H$2,"Escenario",H$1,"Branch","Demand Sites and Catchments\"&amp;$D964),0)</f>
        <v>0</v>
      </c>
      <c r="I964" s="99">
        <f>IFERROR(GETPIVOTDATA("Value",TD_WEAP_RAW!$A$3,"Variable",I$2,"Escenario",I$1,"Branch","Demand Sites and Catchments\"&amp;$D964),0)</f>
        <v>0</v>
      </c>
      <c r="J964" s="99"/>
      <c r="K964" s="99">
        <f>IFERROR(GETPIVOTDATA("Value",TD_WEAP_RAW!$A$3,"Variable",K$2,"Escenario",K$1,"Branch","Demand Sites and Catchments\"&amp;$D964),0)</f>
        <v>0</v>
      </c>
      <c r="L964" s="99">
        <f>IFERROR(GETPIVOTDATA("Value",TD_WEAP_RAW!$A$3,"Variable",L$2,"Escenario",L$1,"Branch","Demand Sites and Catchments\"&amp;$D964),0)</f>
        <v>0</v>
      </c>
    </row>
    <row r="965" spans="4:12">
      <c r="D965" s="53"/>
      <c r="G965" s="51"/>
      <c r="H965" s="99">
        <f>IFERROR(GETPIVOTDATA("Value",TD_WEAP_RAW!$A$3,"Variable",H$2,"Escenario",H$1,"Branch","Demand Sites and Catchments\"&amp;$D965),0)</f>
        <v>0</v>
      </c>
      <c r="I965" s="99">
        <f>IFERROR(GETPIVOTDATA("Value",TD_WEAP_RAW!$A$3,"Variable",I$2,"Escenario",I$1,"Branch","Demand Sites and Catchments\"&amp;$D965),0)</f>
        <v>0</v>
      </c>
      <c r="J965" s="99"/>
      <c r="K965" s="99">
        <f>IFERROR(GETPIVOTDATA("Value",TD_WEAP_RAW!$A$3,"Variable",K$2,"Escenario",K$1,"Branch","Demand Sites and Catchments\"&amp;$D965),0)</f>
        <v>0</v>
      </c>
      <c r="L965" s="99">
        <f>IFERROR(GETPIVOTDATA("Value",TD_WEAP_RAW!$A$3,"Variable",L$2,"Escenario",L$1,"Branch","Demand Sites and Catchments\"&amp;$D965),0)</f>
        <v>0</v>
      </c>
    </row>
    <row r="966" spans="4:12">
      <c r="D966" s="53"/>
      <c r="G966" s="51"/>
      <c r="H966" s="99">
        <f>IFERROR(GETPIVOTDATA("Value",TD_WEAP_RAW!$A$3,"Variable",H$2,"Escenario",H$1,"Branch","Demand Sites and Catchments\"&amp;$D966),0)</f>
        <v>0</v>
      </c>
      <c r="I966" s="99">
        <f>IFERROR(GETPIVOTDATA("Value",TD_WEAP_RAW!$A$3,"Variable",I$2,"Escenario",I$1,"Branch","Demand Sites and Catchments\"&amp;$D966),0)</f>
        <v>0</v>
      </c>
      <c r="J966" s="99"/>
      <c r="K966" s="99">
        <f>IFERROR(GETPIVOTDATA("Value",TD_WEAP_RAW!$A$3,"Variable",K$2,"Escenario",K$1,"Branch","Demand Sites and Catchments\"&amp;$D966),0)</f>
        <v>0</v>
      </c>
      <c r="L966" s="99">
        <f>IFERROR(GETPIVOTDATA("Value",TD_WEAP_RAW!$A$3,"Variable",L$2,"Escenario",L$1,"Branch","Demand Sites and Catchments\"&amp;$D966),0)</f>
        <v>0</v>
      </c>
    </row>
    <row r="967" spans="4:12">
      <c r="D967" s="53"/>
      <c r="G967" s="51"/>
      <c r="H967" s="99">
        <f>IFERROR(GETPIVOTDATA("Value",TD_WEAP_RAW!$A$3,"Variable",H$2,"Escenario",H$1,"Branch","Demand Sites and Catchments\"&amp;$D967),0)</f>
        <v>0</v>
      </c>
      <c r="I967" s="99">
        <f>IFERROR(GETPIVOTDATA("Value",TD_WEAP_RAW!$A$3,"Variable",I$2,"Escenario",I$1,"Branch","Demand Sites and Catchments\"&amp;$D967),0)</f>
        <v>0</v>
      </c>
      <c r="J967" s="99"/>
      <c r="K967" s="99">
        <f>IFERROR(GETPIVOTDATA("Value",TD_WEAP_RAW!$A$3,"Variable",K$2,"Escenario",K$1,"Branch","Demand Sites and Catchments\"&amp;$D967),0)</f>
        <v>0</v>
      </c>
      <c r="L967" s="99">
        <f>IFERROR(GETPIVOTDATA("Value",TD_WEAP_RAW!$A$3,"Variable",L$2,"Escenario",L$1,"Branch","Demand Sites and Catchments\"&amp;$D967),0)</f>
        <v>0</v>
      </c>
    </row>
    <row r="968" spans="4:12">
      <c r="D968" s="53"/>
      <c r="G968" s="51"/>
      <c r="H968" s="99">
        <f>IFERROR(GETPIVOTDATA("Value",TD_WEAP_RAW!$A$3,"Variable",H$2,"Escenario",H$1,"Branch","Demand Sites and Catchments\"&amp;$D968),0)</f>
        <v>0</v>
      </c>
      <c r="I968" s="99">
        <f>IFERROR(GETPIVOTDATA("Value",TD_WEAP_RAW!$A$3,"Variable",I$2,"Escenario",I$1,"Branch","Demand Sites and Catchments\"&amp;$D968),0)</f>
        <v>0</v>
      </c>
      <c r="J968" s="99"/>
      <c r="K968" s="99">
        <f>IFERROR(GETPIVOTDATA("Value",TD_WEAP_RAW!$A$3,"Variable",K$2,"Escenario",K$1,"Branch","Demand Sites and Catchments\"&amp;$D968),0)</f>
        <v>0</v>
      </c>
      <c r="L968" s="99">
        <f>IFERROR(GETPIVOTDATA("Value",TD_WEAP_RAW!$A$3,"Variable",L$2,"Escenario",L$1,"Branch","Demand Sites and Catchments\"&amp;$D968),0)</f>
        <v>0</v>
      </c>
    </row>
    <row r="969" spans="4:12">
      <c r="D969" s="53"/>
      <c r="G969" s="51"/>
      <c r="H969" s="99">
        <f>IFERROR(GETPIVOTDATA("Value",TD_WEAP_RAW!$A$3,"Variable",H$2,"Escenario",H$1,"Branch","Demand Sites and Catchments\"&amp;$D969),0)</f>
        <v>0</v>
      </c>
      <c r="I969" s="99">
        <f>IFERROR(GETPIVOTDATA("Value",TD_WEAP_RAW!$A$3,"Variable",I$2,"Escenario",I$1,"Branch","Demand Sites and Catchments\"&amp;$D969),0)</f>
        <v>0</v>
      </c>
      <c r="J969" s="99"/>
      <c r="K969" s="99">
        <f>IFERROR(GETPIVOTDATA("Value",TD_WEAP_RAW!$A$3,"Variable",K$2,"Escenario",K$1,"Branch","Demand Sites and Catchments\"&amp;$D969),0)</f>
        <v>0</v>
      </c>
      <c r="L969" s="99">
        <f>IFERROR(GETPIVOTDATA("Value",TD_WEAP_RAW!$A$3,"Variable",L$2,"Escenario",L$1,"Branch","Demand Sites and Catchments\"&amp;$D969),0)</f>
        <v>0</v>
      </c>
    </row>
    <row r="970" spans="4:12">
      <c r="D970" s="53"/>
      <c r="G970" s="51"/>
      <c r="H970" s="99">
        <f>IFERROR(GETPIVOTDATA("Value",TD_WEAP_RAW!$A$3,"Variable",H$2,"Escenario",H$1,"Branch","Demand Sites and Catchments\"&amp;$D970),0)</f>
        <v>0</v>
      </c>
      <c r="I970" s="99">
        <f>IFERROR(GETPIVOTDATA("Value",TD_WEAP_RAW!$A$3,"Variable",I$2,"Escenario",I$1,"Branch","Demand Sites and Catchments\"&amp;$D970),0)</f>
        <v>0</v>
      </c>
      <c r="J970" s="99"/>
      <c r="K970" s="99">
        <f>IFERROR(GETPIVOTDATA("Value",TD_WEAP_RAW!$A$3,"Variable",K$2,"Escenario",K$1,"Branch","Demand Sites and Catchments\"&amp;$D970),0)</f>
        <v>0</v>
      </c>
      <c r="L970" s="99">
        <f>IFERROR(GETPIVOTDATA("Value",TD_WEAP_RAW!$A$3,"Variable",L$2,"Escenario",L$1,"Branch","Demand Sites and Catchments\"&amp;$D970),0)</f>
        <v>0</v>
      </c>
    </row>
    <row r="971" spans="4:12">
      <c r="D971" s="53"/>
      <c r="G971" s="51"/>
      <c r="H971" s="99">
        <f>IFERROR(GETPIVOTDATA("Value",TD_WEAP_RAW!$A$3,"Variable",H$2,"Escenario",H$1,"Branch","Demand Sites and Catchments\"&amp;$D971),0)</f>
        <v>0</v>
      </c>
      <c r="I971" s="99">
        <f>IFERROR(GETPIVOTDATA("Value",TD_WEAP_RAW!$A$3,"Variable",I$2,"Escenario",I$1,"Branch","Demand Sites and Catchments\"&amp;$D971),0)</f>
        <v>0</v>
      </c>
      <c r="J971" s="99"/>
      <c r="K971" s="99">
        <f>IFERROR(GETPIVOTDATA("Value",TD_WEAP_RAW!$A$3,"Variable",K$2,"Escenario",K$1,"Branch","Demand Sites and Catchments\"&amp;$D971),0)</f>
        <v>0</v>
      </c>
      <c r="L971" s="99">
        <f>IFERROR(GETPIVOTDATA("Value",TD_WEAP_RAW!$A$3,"Variable",L$2,"Escenario",L$1,"Branch","Demand Sites and Catchments\"&amp;$D971),0)</f>
        <v>0</v>
      </c>
    </row>
    <row r="972" spans="4:12">
      <c r="D972" s="53"/>
      <c r="G972" s="51"/>
      <c r="H972" s="99">
        <f>IFERROR(GETPIVOTDATA("Value",TD_WEAP_RAW!$A$3,"Variable",H$2,"Escenario",H$1,"Branch","Demand Sites and Catchments\"&amp;$D972),0)</f>
        <v>0</v>
      </c>
      <c r="I972" s="99">
        <f>IFERROR(GETPIVOTDATA("Value",TD_WEAP_RAW!$A$3,"Variable",I$2,"Escenario",I$1,"Branch","Demand Sites and Catchments\"&amp;$D972),0)</f>
        <v>0</v>
      </c>
      <c r="J972" s="99"/>
      <c r="K972" s="99">
        <f>IFERROR(GETPIVOTDATA("Value",TD_WEAP_RAW!$A$3,"Variable",K$2,"Escenario",K$1,"Branch","Demand Sites and Catchments\"&amp;$D972),0)</f>
        <v>0</v>
      </c>
      <c r="L972" s="99">
        <f>IFERROR(GETPIVOTDATA("Value",TD_WEAP_RAW!$A$3,"Variable",L$2,"Escenario",L$1,"Branch","Demand Sites and Catchments\"&amp;$D972),0)</f>
        <v>0</v>
      </c>
    </row>
    <row r="973" spans="4:12">
      <c r="D973" s="53"/>
      <c r="G973" s="51"/>
      <c r="H973" s="99">
        <f>IFERROR(GETPIVOTDATA("Value",TD_WEAP_RAW!$A$3,"Variable",H$2,"Escenario",H$1,"Branch","Demand Sites and Catchments\"&amp;$D973),0)</f>
        <v>0</v>
      </c>
      <c r="I973" s="99">
        <f>IFERROR(GETPIVOTDATA("Value",TD_WEAP_RAW!$A$3,"Variable",I$2,"Escenario",I$1,"Branch","Demand Sites and Catchments\"&amp;$D973),0)</f>
        <v>0</v>
      </c>
      <c r="J973" s="99"/>
      <c r="K973" s="99">
        <f>IFERROR(GETPIVOTDATA("Value",TD_WEAP_RAW!$A$3,"Variable",K$2,"Escenario",K$1,"Branch","Demand Sites and Catchments\"&amp;$D973),0)</f>
        <v>0</v>
      </c>
      <c r="L973" s="99">
        <f>IFERROR(GETPIVOTDATA("Value",TD_WEAP_RAW!$A$3,"Variable",L$2,"Escenario",L$1,"Branch","Demand Sites and Catchments\"&amp;$D973),0)</f>
        <v>0</v>
      </c>
    </row>
    <row r="974" spans="4:12">
      <c r="D974" s="53"/>
      <c r="G974" s="51"/>
      <c r="H974" s="99">
        <f>IFERROR(GETPIVOTDATA("Value",TD_WEAP_RAW!$A$3,"Variable",H$2,"Escenario",H$1,"Branch","Demand Sites and Catchments\"&amp;$D974),0)</f>
        <v>0</v>
      </c>
      <c r="I974" s="99">
        <f>IFERROR(GETPIVOTDATA("Value",TD_WEAP_RAW!$A$3,"Variable",I$2,"Escenario",I$1,"Branch","Demand Sites and Catchments\"&amp;$D974),0)</f>
        <v>0</v>
      </c>
      <c r="J974" s="99"/>
      <c r="K974" s="99">
        <f>IFERROR(GETPIVOTDATA("Value",TD_WEAP_RAW!$A$3,"Variable",K$2,"Escenario",K$1,"Branch","Demand Sites and Catchments\"&amp;$D974),0)</f>
        <v>0</v>
      </c>
      <c r="L974" s="99">
        <f>IFERROR(GETPIVOTDATA("Value",TD_WEAP_RAW!$A$3,"Variable",L$2,"Escenario",L$1,"Branch","Demand Sites and Catchments\"&amp;$D974),0)</f>
        <v>0</v>
      </c>
    </row>
    <row r="975" spans="4:12">
      <c r="D975" s="53"/>
      <c r="G975" s="51"/>
      <c r="H975" s="99">
        <f>IFERROR(GETPIVOTDATA("Value",TD_WEAP_RAW!$A$3,"Variable",H$2,"Escenario",H$1,"Branch","Demand Sites and Catchments\"&amp;$D975),0)</f>
        <v>0</v>
      </c>
      <c r="I975" s="99">
        <f>IFERROR(GETPIVOTDATA("Value",TD_WEAP_RAW!$A$3,"Variable",I$2,"Escenario",I$1,"Branch","Demand Sites and Catchments\"&amp;$D975),0)</f>
        <v>0</v>
      </c>
      <c r="J975" s="99"/>
      <c r="K975" s="99">
        <f>IFERROR(GETPIVOTDATA("Value",TD_WEAP_RAW!$A$3,"Variable",K$2,"Escenario",K$1,"Branch","Demand Sites and Catchments\"&amp;$D975),0)</f>
        <v>0</v>
      </c>
      <c r="L975" s="99">
        <f>IFERROR(GETPIVOTDATA("Value",TD_WEAP_RAW!$A$3,"Variable",L$2,"Escenario",L$1,"Branch","Demand Sites and Catchments\"&amp;$D975),0)</f>
        <v>0</v>
      </c>
    </row>
    <row r="976" spans="4:12">
      <c r="D976" s="53"/>
      <c r="G976" s="51"/>
      <c r="H976" s="99">
        <f>IFERROR(GETPIVOTDATA("Value",TD_WEAP_RAW!$A$3,"Variable",H$2,"Escenario",H$1,"Branch","Demand Sites and Catchments\"&amp;$D976),0)</f>
        <v>0</v>
      </c>
      <c r="I976" s="99">
        <f>IFERROR(GETPIVOTDATA("Value",TD_WEAP_RAW!$A$3,"Variable",I$2,"Escenario",I$1,"Branch","Demand Sites and Catchments\"&amp;$D976),0)</f>
        <v>0</v>
      </c>
      <c r="J976" s="99"/>
      <c r="K976" s="99">
        <f>IFERROR(GETPIVOTDATA("Value",TD_WEAP_RAW!$A$3,"Variable",K$2,"Escenario",K$1,"Branch","Demand Sites and Catchments\"&amp;$D976),0)</f>
        <v>0</v>
      </c>
      <c r="L976" s="99">
        <f>IFERROR(GETPIVOTDATA("Value",TD_WEAP_RAW!$A$3,"Variable",L$2,"Escenario",L$1,"Branch","Demand Sites and Catchments\"&amp;$D976),0)</f>
        <v>0</v>
      </c>
    </row>
    <row r="977" spans="4:12">
      <c r="D977" s="53"/>
      <c r="G977" s="51"/>
      <c r="H977" s="99">
        <f>IFERROR(GETPIVOTDATA("Value",TD_WEAP_RAW!$A$3,"Variable",H$2,"Escenario",H$1,"Branch","Demand Sites and Catchments\"&amp;$D977),0)</f>
        <v>0</v>
      </c>
      <c r="I977" s="99">
        <f>IFERROR(GETPIVOTDATA("Value",TD_WEAP_RAW!$A$3,"Variable",I$2,"Escenario",I$1,"Branch","Demand Sites and Catchments\"&amp;$D977),0)</f>
        <v>0</v>
      </c>
      <c r="J977" s="99"/>
      <c r="K977" s="99">
        <f>IFERROR(GETPIVOTDATA("Value",TD_WEAP_RAW!$A$3,"Variable",K$2,"Escenario",K$1,"Branch","Demand Sites and Catchments\"&amp;$D977),0)</f>
        <v>0</v>
      </c>
      <c r="L977" s="99">
        <f>IFERROR(GETPIVOTDATA("Value",TD_WEAP_RAW!$A$3,"Variable",L$2,"Escenario",L$1,"Branch","Demand Sites and Catchments\"&amp;$D977),0)</f>
        <v>0</v>
      </c>
    </row>
    <row r="978" spans="4:12">
      <c r="D978" s="53"/>
      <c r="G978" s="51"/>
      <c r="H978" s="99">
        <f>IFERROR(GETPIVOTDATA("Value",TD_WEAP_RAW!$A$3,"Variable",H$2,"Escenario",H$1,"Branch","Demand Sites and Catchments\"&amp;$D978),0)</f>
        <v>0</v>
      </c>
      <c r="I978" s="99">
        <f>IFERROR(GETPIVOTDATA("Value",TD_WEAP_RAW!$A$3,"Variable",I$2,"Escenario",I$1,"Branch","Demand Sites and Catchments\"&amp;$D978),0)</f>
        <v>0</v>
      </c>
      <c r="J978" s="99"/>
      <c r="K978" s="99">
        <f>IFERROR(GETPIVOTDATA("Value",TD_WEAP_RAW!$A$3,"Variable",K$2,"Escenario",K$1,"Branch","Demand Sites and Catchments\"&amp;$D978),0)</f>
        <v>0</v>
      </c>
      <c r="L978" s="99">
        <f>IFERROR(GETPIVOTDATA("Value",TD_WEAP_RAW!$A$3,"Variable",L$2,"Escenario",L$1,"Branch","Demand Sites and Catchments\"&amp;$D978),0)</f>
        <v>0</v>
      </c>
    </row>
    <row r="979" spans="4:12">
      <c r="D979" s="53"/>
      <c r="G979" s="51"/>
      <c r="H979" s="99">
        <f>IFERROR(GETPIVOTDATA("Value",TD_WEAP_RAW!$A$3,"Variable",H$2,"Escenario",H$1,"Branch","Demand Sites and Catchments\"&amp;$D979),0)</f>
        <v>0</v>
      </c>
      <c r="I979" s="99">
        <f>IFERROR(GETPIVOTDATA("Value",TD_WEAP_RAW!$A$3,"Variable",I$2,"Escenario",I$1,"Branch","Demand Sites and Catchments\"&amp;$D979),0)</f>
        <v>0</v>
      </c>
      <c r="J979" s="99"/>
      <c r="K979" s="99">
        <f>IFERROR(GETPIVOTDATA("Value",TD_WEAP_RAW!$A$3,"Variable",K$2,"Escenario",K$1,"Branch","Demand Sites and Catchments\"&amp;$D979),0)</f>
        <v>0</v>
      </c>
      <c r="L979" s="99">
        <f>IFERROR(GETPIVOTDATA("Value",TD_WEAP_RAW!$A$3,"Variable",L$2,"Escenario",L$1,"Branch","Demand Sites and Catchments\"&amp;$D979),0)</f>
        <v>0</v>
      </c>
    </row>
    <row r="980" spans="4:12">
      <c r="D980" s="53"/>
      <c r="G980" s="51"/>
      <c r="H980" s="99">
        <f>IFERROR(GETPIVOTDATA("Value",TD_WEAP_RAW!$A$3,"Variable",H$2,"Escenario",H$1,"Branch","Demand Sites and Catchments\"&amp;$D980),0)</f>
        <v>0</v>
      </c>
      <c r="I980" s="99">
        <f>IFERROR(GETPIVOTDATA("Value",TD_WEAP_RAW!$A$3,"Variable",I$2,"Escenario",I$1,"Branch","Demand Sites and Catchments\"&amp;$D980),0)</f>
        <v>0</v>
      </c>
      <c r="J980" s="99"/>
      <c r="K980" s="99">
        <f>IFERROR(GETPIVOTDATA("Value",TD_WEAP_RAW!$A$3,"Variable",K$2,"Escenario",K$1,"Branch","Demand Sites and Catchments\"&amp;$D980),0)</f>
        <v>0</v>
      </c>
      <c r="L980" s="99">
        <f>IFERROR(GETPIVOTDATA("Value",TD_WEAP_RAW!$A$3,"Variable",L$2,"Escenario",L$1,"Branch","Demand Sites and Catchments\"&amp;$D980),0)</f>
        <v>0</v>
      </c>
    </row>
    <row r="981" spans="4:12">
      <c r="D981" s="53"/>
      <c r="G981" s="51"/>
      <c r="H981" s="99">
        <f>IFERROR(GETPIVOTDATA("Value",TD_WEAP_RAW!$A$3,"Variable",H$2,"Escenario",H$1,"Branch","Demand Sites and Catchments\"&amp;$D981),0)</f>
        <v>0</v>
      </c>
      <c r="I981" s="99">
        <f>IFERROR(GETPIVOTDATA("Value",TD_WEAP_RAW!$A$3,"Variable",I$2,"Escenario",I$1,"Branch","Demand Sites and Catchments\"&amp;$D981),0)</f>
        <v>0</v>
      </c>
      <c r="J981" s="99"/>
      <c r="K981" s="99">
        <f>IFERROR(GETPIVOTDATA("Value",TD_WEAP_RAW!$A$3,"Variable",K$2,"Escenario",K$1,"Branch","Demand Sites and Catchments\"&amp;$D981),0)</f>
        <v>0</v>
      </c>
      <c r="L981" s="99">
        <f>IFERROR(GETPIVOTDATA("Value",TD_WEAP_RAW!$A$3,"Variable",L$2,"Escenario",L$1,"Branch","Demand Sites and Catchments\"&amp;$D981),0)</f>
        <v>0</v>
      </c>
    </row>
    <row r="982" spans="4:12">
      <c r="D982" s="53"/>
      <c r="G982" s="51"/>
      <c r="H982" s="99">
        <f>IFERROR(GETPIVOTDATA("Value",TD_WEAP_RAW!$A$3,"Variable",H$2,"Escenario",H$1,"Branch","Demand Sites and Catchments\"&amp;$D982),0)</f>
        <v>0</v>
      </c>
      <c r="I982" s="99">
        <f>IFERROR(GETPIVOTDATA("Value",TD_WEAP_RAW!$A$3,"Variable",I$2,"Escenario",I$1,"Branch","Demand Sites and Catchments\"&amp;$D982),0)</f>
        <v>0</v>
      </c>
      <c r="J982" s="99"/>
      <c r="K982" s="99">
        <f>IFERROR(GETPIVOTDATA("Value",TD_WEAP_RAW!$A$3,"Variable",K$2,"Escenario",K$1,"Branch","Demand Sites and Catchments\"&amp;$D982),0)</f>
        <v>0</v>
      </c>
      <c r="L982" s="99">
        <f>IFERROR(GETPIVOTDATA("Value",TD_WEAP_RAW!$A$3,"Variable",L$2,"Escenario",L$1,"Branch","Demand Sites and Catchments\"&amp;$D982),0)</f>
        <v>0</v>
      </c>
    </row>
    <row r="983" spans="4:12">
      <c r="D983" s="53"/>
      <c r="G983" s="51"/>
      <c r="H983" s="99">
        <f>IFERROR(GETPIVOTDATA("Value",TD_WEAP_RAW!$A$3,"Variable",H$2,"Escenario",H$1,"Branch","Demand Sites and Catchments\"&amp;$D983),0)</f>
        <v>0</v>
      </c>
      <c r="I983" s="99">
        <f>IFERROR(GETPIVOTDATA("Value",TD_WEAP_RAW!$A$3,"Variable",I$2,"Escenario",I$1,"Branch","Demand Sites and Catchments\"&amp;$D983),0)</f>
        <v>0</v>
      </c>
      <c r="J983" s="99"/>
      <c r="K983" s="99">
        <f>IFERROR(GETPIVOTDATA("Value",TD_WEAP_RAW!$A$3,"Variable",K$2,"Escenario",K$1,"Branch","Demand Sites and Catchments\"&amp;$D983),0)</f>
        <v>0</v>
      </c>
      <c r="L983" s="99">
        <f>IFERROR(GETPIVOTDATA("Value",TD_WEAP_RAW!$A$3,"Variable",L$2,"Escenario",L$1,"Branch","Demand Sites and Catchments\"&amp;$D983),0)</f>
        <v>0</v>
      </c>
    </row>
    <row r="984" spans="4:12">
      <c r="D984" s="53"/>
      <c r="G984" s="51"/>
      <c r="H984" s="99">
        <f>IFERROR(GETPIVOTDATA("Value",TD_WEAP_RAW!$A$3,"Variable",H$2,"Escenario",H$1,"Branch","Demand Sites and Catchments\"&amp;$D984),0)</f>
        <v>0</v>
      </c>
      <c r="I984" s="99">
        <f>IFERROR(GETPIVOTDATA("Value",TD_WEAP_RAW!$A$3,"Variable",I$2,"Escenario",I$1,"Branch","Demand Sites and Catchments\"&amp;$D984),0)</f>
        <v>0</v>
      </c>
      <c r="J984" s="99"/>
      <c r="K984" s="99">
        <f>IFERROR(GETPIVOTDATA("Value",TD_WEAP_RAW!$A$3,"Variable",K$2,"Escenario",K$1,"Branch","Demand Sites and Catchments\"&amp;$D984),0)</f>
        <v>0</v>
      </c>
      <c r="L984" s="99">
        <f>IFERROR(GETPIVOTDATA("Value",TD_WEAP_RAW!$A$3,"Variable",L$2,"Escenario",L$1,"Branch","Demand Sites and Catchments\"&amp;$D984),0)</f>
        <v>0</v>
      </c>
    </row>
    <row r="985" spans="4:12">
      <c r="D985" s="53"/>
      <c r="G985" s="51"/>
      <c r="H985" s="99">
        <f>IFERROR(GETPIVOTDATA("Value",TD_WEAP_RAW!$A$3,"Variable",H$2,"Escenario",H$1,"Branch","Demand Sites and Catchments\"&amp;$D985),0)</f>
        <v>0</v>
      </c>
      <c r="I985" s="99">
        <f>IFERROR(GETPIVOTDATA("Value",TD_WEAP_RAW!$A$3,"Variable",I$2,"Escenario",I$1,"Branch","Demand Sites and Catchments\"&amp;$D985),0)</f>
        <v>0</v>
      </c>
      <c r="J985" s="99"/>
      <c r="K985" s="99">
        <f>IFERROR(GETPIVOTDATA("Value",TD_WEAP_RAW!$A$3,"Variable",K$2,"Escenario",K$1,"Branch","Demand Sites and Catchments\"&amp;$D985),0)</f>
        <v>0</v>
      </c>
      <c r="L985" s="99">
        <f>IFERROR(GETPIVOTDATA("Value",TD_WEAP_RAW!$A$3,"Variable",L$2,"Escenario",L$1,"Branch","Demand Sites and Catchments\"&amp;$D985),0)</f>
        <v>0</v>
      </c>
    </row>
    <row r="986" spans="4:12">
      <c r="D986" s="53"/>
      <c r="G986" s="51"/>
      <c r="H986" s="99">
        <f>IFERROR(GETPIVOTDATA("Value",TD_WEAP_RAW!$A$3,"Variable",H$2,"Escenario",H$1,"Branch","Demand Sites and Catchments\"&amp;$D986),0)</f>
        <v>0</v>
      </c>
      <c r="I986" s="99">
        <f>IFERROR(GETPIVOTDATA("Value",TD_WEAP_RAW!$A$3,"Variable",I$2,"Escenario",I$1,"Branch","Demand Sites and Catchments\"&amp;$D986),0)</f>
        <v>0</v>
      </c>
      <c r="J986" s="99"/>
      <c r="K986" s="99">
        <f>IFERROR(GETPIVOTDATA("Value",TD_WEAP_RAW!$A$3,"Variable",K$2,"Escenario",K$1,"Branch","Demand Sites and Catchments\"&amp;$D986),0)</f>
        <v>0</v>
      </c>
      <c r="L986" s="99">
        <f>IFERROR(GETPIVOTDATA("Value",TD_WEAP_RAW!$A$3,"Variable",L$2,"Escenario",L$1,"Branch","Demand Sites and Catchments\"&amp;$D986),0)</f>
        <v>0</v>
      </c>
    </row>
    <row r="987" spans="4:12">
      <c r="D987" s="53"/>
      <c r="G987" s="51"/>
      <c r="H987" s="99">
        <f>IFERROR(GETPIVOTDATA("Value",TD_WEAP_RAW!$A$3,"Variable",H$2,"Escenario",H$1,"Branch","Demand Sites and Catchments\"&amp;$D987),0)</f>
        <v>0</v>
      </c>
      <c r="I987" s="99">
        <f>IFERROR(GETPIVOTDATA("Value",TD_WEAP_RAW!$A$3,"Variable",I$2,"Escenario",I$1,"Branch","Demand Sites and Catchments\"&amp;$D987),0)</f>
        <v>0</v>
      </c>
      <c r="J987" s="99"/>
      <c r="K987" s="99">
        <f>IFERROR(GETPIVOTDATA("Value",TD_WEAP_RAW!$A$3,"Variable",K$2,"Escenario",K$1,"Branch","Demand Sites and Catchments\"&amp;$D987),0)</f>
        <v>0</v>
      </c>
      <c r="L987" s="99">
        <f>IFERROR(GETPIVOTDATA("Value",TD_WEAP_RAW!$A$3,"Variable",L$2,"Escenario",L$1,"Branch","Demand Sites and Catchments\"&amp;$D987),0)</f>
        <v>0</v>
      </c>
    </row>
    <row r="988" spans="4:12">
      <c r="D988" s="53"/>
      <c r="G988" s="51"/>
      <c r="H988" s="99">
        <f>IFERROR(GETPIVOTDATA("Value",TD_WEAP_RAW!$A$3,"Variable",H$2,"Escenario",H$1,"Branch","Demand Sites and Catchments\"&amp;$D988),0)</f>
        <v>0</v>
      </c>
      <c r="I988" s="99">
        <f>IFERROR(GETPIVOTDATA("Value",TD_WEAP_RAW!$A$3,"Variable",I$2,"Escenario",I$1,"Branch","Demand Sites and Catchments\"&amp;$D988),0)</f>
        <v>0</v>
      </c>
      <c r="J988" s="99"/>
      <c r="K988" s="99">
        <f>IFERROR(GETPIVOTDATA("Value",TD_WEAP_RAW!$A$3,"Variable",K$2,"Escenario",K$1,"Branch","Demand Sites and Catchments\"&amp;$D988),0)</f>
        <v>0</v>
      </c>
      <c r="L988" s="99">
        <f>IFERROR(GETPIVOTDATA("Value",TD_WEAP_RAW!$A$3,"Variable",L$2,"Escenario",L$1,"Branch","Demand Sites and Catchments\"&amp;$D988),0)</f>
        <v>0</v>
      </c>
    </row>
    <row r="989" spans="4:12">
      <c r="D989" s="53"/>
      <c r="G989" s="51"/>
      <c r="H989" s="99">
        <f>IFERROR(GETPIVOTDATA("Value",TD_WEAP_RAW!$A$3,"Variable",H$2,"Escenario",H$1,"Branch","Demand Sites and Catchments\"&amp;$D989),0)</f>
        <v>0</v>
      </c>
      <c r="I989" s="99">
        <f>IFERROR(GETPIVOTDATA("Value",TD_WEAP_RAW!$A$3,"Variable",I$2,"Escenario",I$1,"Branch","Demand Sites and Catchments\"&amp;$D989),0)</f>
        <v>0</v>
      </c>
      <c r="J989" s="99"/>
      <c r="K989" s="99">
        <f>IFERROR(GETPIVOTDATA("Value",TD_WEAP_RAW!$A$3,"Variable",K$2,"Escenario",K$1,"Branch","Demand Sites and Catchments\"&amp;$D989),0)</f>
        <v>0</v>
      </c>
      <c r="L989" s="99">
        <f>IFERROR(GETPIVOTDATA("Value",TD_WEAP_RAW!$A$3,"Variable",L$2,"Escenario",L$1,"Branch","Demand Sites and Catchments\"&amp;$D989),0)</f>
        <v>0</v>
      </c>
    </row>
    <row r="990" spans="4:12">
      <c r="D990" s="53"/>
      <c r="G990" s="51"/>
      <c r="H990" s="99">
        <f>IFERROR(GETPIVOTDATA("Value",TD_WEAP_RAW!$A$3,"Variable",H$2,"Escenario",H$1,"Branch","Demand Sites and Catchments\"&amp;$D990),0)</f>
        <v>0</v>
      </c>
      <c r="I990" s="99">
        <f>IFERROR(GETPIVOTDATA("Value",TD_WEAP_RAW!$A$3,"Variable",I$2,"Escenario",I$1,"Branch","Demand Sites and Catchments\"&amp;$D990),0)</f>
        <v>0</v>
      </c>
      <c r="J990" s="99"/>
      <c r="K990" s="99">
        <f>IFERROR(GETPIVOTDATA("Value",TD_WEAP_RAW!$A$3,"Variable",K$2,"Escenario",K$1,"Branch","Demand Sites and Catchments\"&amp;$D990),0)</f>
        <v>0</v>
      </c>
      <c r="L990" s="99">
        <f>IFERROR(GETPIVOTDATA("Value",TD_WEAP_RAW!$A$3,"Variable",L$2,"Escenario",L$1,"Branch","Demand Sites and Catchments\"&amp;$D990),0)</f>
        <v>0</v>
      </c>
    </row>
    <row r="991" spans="4:12">
      <c r="D991" s="53"/>
      <c r="G991" s="51"/>
      <c r="H991" s="99">
        <f>IFERROR(GETPIVOTDATA("Value",TD_WEAP_RAW!$A$3,"Variable",H$2,"Escenario",H$1,"Branch","Demand Sites and Catchments\"&amp;$D991),0)</f>
        <v>0</v>
      </c>
      <c r="I991" s="99">
        <f>IFERROR(GETPIVOTDATA("Value",TD_WEAP_RAW!$A$3,"Variable",I$2,"Escenario",I$1,"Branch","Demand Sites and Catchments\"&amp;$D991),0)</f>
        <v>0</v>
      </c>
      <c r="J991" s="99"/>
      <c r="K991" s="99">
        <f>IFERROR(GETPIVOTDATA("Value",TD_WEAP_RAW!$A$3,"Variable",K$2,"Escenario",K$1,"Branch","Demand Sites and Catchments\"&amp;$D991),0)</f>
        <v>0</v>
      </c>
      <c r="L991" s="99">
        <f>IFERROR(GETPIVOTDATA("Value",TD_WEAP_RAW!$A$3,"Variable",L$2,"Escenario",L$1,"Branch","Demand Sites and Catchments\"&amp;$D991),0)</f>
        <v>0</v>
      </c>
    </row>
    <row r="992" spans="4:12">
      <c r="D992" s="53"/>
      <c r="G992" s="51"/>
      <c r="H992" s="99">
        <f>IFERROR(GETPIVOTDATA("Value",TD_WEAP_RAW!$A$3,"Variable",H$2,"Escenario",H$1,"Branch","Demand Sites and Catchments\"&amp;$D992),0)</f>
        <v>0</v>
      </c>
      <c r="I992" s="99">
        <f>IFERROR(GETPIVOTDATA("Value",TD_WEAP_RAW!$A$3,"Variable",I$2,"Escenario",I$1,"Branch","Demand Sites and Catchments\"&amp;$D992),0)</f>
        <v>0</v>
      </c>
      <c r="J992" s="99"/>
      <c r="K992" s="99">
        <f>IFERROR(GETPIVOTDATA("Value",TD_WEAP_RAW!$A$3,"Variable",K$2,"Escenario",K$1,"Branch","Demand Sites and Catchments\"&amp;$D992),0)</f>
        <v>0</v>
      </c>
      <c r="L992" s="99">
        <f>IFERROR(GETPIVOTDATA("Value",TD_WEAP_RAW!$A$3,"Variable",L$2,"Escenario",L$1,"Branch","Demand Sites and Catchments\"&amp;$D992),0)</f>
        <v>0</v>
      </c>
    </row>
    <row r="993" spans="4:12">
      <c r="D993" s="53"/>
      <c r="G993" s="51"/>
      <c r="H993" s="99">
        <f>IFERROR(GETPIVOTDATA("Value",TD_WEAP_RAW!$A$3,"Variable",H$2,"Escenario",H$1,"Branch","Demand Sites and Catchments\"&amp;$D993),0)</f>
        <v>0</v>
      </c>
      <c r="I993" s="99">
        <f>IFERROR(GETPIVOTDATA("Value",TD_WEAP_RAW!$A$3,"Variable",I$2,"Escenario",I$1,"Branch","Demand Sites and Catchments\"&amp;$D993),0)</f>
        <v>0</v>
      </c>
      <c r="J993" s="99"/>
      <c r="K993" s="99">
        <f>IFERROR(GETPIVOTDATA("Value",TD_WEAP_RAW!$A$3,"Variable",K$2,"Escenario",K$1,"Branch","Demand Sites and Catchments\"&amp;$D993),0)</f>
        <v>0</v>
      </c>
      <c r="L993" s="99">
        <f>IFERROR(GETPIVOTDATA("Value",TD_WEAP_RAW!$A$3,"Variable",L$2,"Escenario",L$1,"Branch","Demand Sites and Catchments\"&amp;$D993),0)</f>
        <v>0</v>
      </c>
    </row>
    <row r="994" spans="4:12">
      <c r="D994" s="53"/>
      <c r="G994" s="51"/>
      <c r="H994" s="99">
        <f>IFERROR(GETPIVOTDATA("Value",TD_WEAP_RAW!$A$3,"Variable",H$2,"Escenario",H$1,"Branch","Demand Sites and Catchments\"&amp;$D994),0)</f>
        <v>0</v>
      </c>
      <c r="I994" s="99">
        <f>IFERROR(GETPIVOTDATA("Value",TD_WEAP_RAW!$A$3,"Variable",I$2,"Escenario",I$1,"Branch","Demand Sites and Catchments\"&amp;$D994),0)</f>
        <v>0</v>
      </c>
      <c r="J994" s="99"/>
      <c r="K994" s="99">
        <f>IFERROR(GETPIVOTDATA("Value",TD_WEAP_RAW!$A$3,"Variable",K$2,"Escenario",K$1,"Branch","Demand Sites and Catchments\"&amp;$D994),0)</f>
        <v>0</v>
      </c>
      <c r="L994" s="99">
        <f>IFERROR(GETPIVOTDATA("Value",TD_WEAP_RAW!$A$3,"Variable",L$2,"Escenario",L$1,"Branch","Demand Sites and Catchments\"&amp;$D994),0)</f>
        <v>0</v>
      </c>
    </row>
    <row r="995" spans="4:12">
      <c r="D995" s="53"/>
      <c r="G995" s="51"/>
      <c r="H995" s="99">
        <f>IFERROR(GETPIVOTDATA("Value",TD_WEAP_RAW!$A$3,"Variable",H$2,"Escenario",H$1,"Branch","Demand Sites and Catchments\"&amp;$D995),0)</f>
        <v>0</v>
      </c>
      <c r="I995" s="99">
        <f>IFERROR(GETPIVOTDATA("Value",TD_WEAP_RAW!$A$3,"Variable",I$2,"Escenario",I$1,"Branch","Demand Sites and Catchments\"&amp;$D995),0)</f>
        <v>0</v>
      </c>
      <c r="J995" s="99"/>
      <c r="K995" s="99">
        <f>IFERROR(GETPIVOTDATA("Value",TD_WEAP_RAW!$A$3,"Variable",K$2,"Escenario",K$1,"Branch","Demand Sites and Catchments\"&amp;$D995),0)</f>
        <v>0</v>
      </c>
      <c r="L995" s="99">
        <f>IFERROR(GETPIVOTDATA("Value",TD_WEAP_RAW!$A$3,"Variable",L$2,"Escenario",L$1,"Branch","Demand Sites and Catchments\"&amp;$D995),0)</f>
        <v>0</v>
      </c>
    </row>
    <row r="996" spans="4:12">
      <c r="D996" s="53"/>
      <c r="G996" s="51"/>
      <c r="H996" s="99">
        <f>IFERROR(GETPIVOTDATA("Value",TD_WEAP_RAW!$A$3,"Variable",H$2,"Escenario",H$1,"Branch","Demand Sites and Catchments\"&amp;$D996),0)</f>
        <v>0</v>
      </c>
      <c r="I996" s="99">
        <f>IFERROR(GETPIVOTDATA("Value",TD_WEAP_RAW!$A$3,"Variable",I$2,"Escenario",I$1,"Branch","Demand Sites and Catchments\"&amp;$D996),0)</f>
        <v>0</v>
      </c>
      <c r="J996" s="99"/>
      <c r="K996" s="99">
        <f>IFERROR(GETPIVOTDATA("Value",TD_WEAP_RAW!$A$3,"Variable",K$2,"Escenario",K$1,"Branch","Demand Sites and Catchments\"&amp;$D996),0)</f>
        <v>0</v>
      </c>
      <c r="L996" s="99">
        <f>IFERROR(GETPIVOTDATA("Value",TD_WEAP_RAW!$A$3,"Variable",L$2,"Escenario",L$1,"Branch","Demand Sites and Catchments\"&amp;$D996),0)</f>
        <v>0</v>
      </c>
    </row>
    <row r="997" spans="4:12">
      <c r="D997" s="53"/>
      <c r="G997" s="51"/>
      <c r="H997" s="99">
        <f>IFERROR(GETPIVOTDATA("Value",TD_WEAP_RAW!$A$3,"Variable",H$2,"Escenario",H$1,"Branch","Demand Sites and Catchments\"&amp;$D997),0)</f>
        <v>0</v>
      </c>
      <c r="I997" s="99">
        <f>IFERROR(GETPIVOTDATA("Value",TD_WEAP_RAW!$A$3,"Variable",I$2,"Escenario",I$1,"Branch","Demand Sites and Catchments\"&amp;$D997),0)</f>
        <v>0</v>
      </c>
      <c r="J997" s="99"/>
      <c r="K997" s="99">
        <f>IFERROR(GETPIVOTDATA("Value",TD_WEAP_RAW!$A$3,"Variable",K$2,"Escenario",K$1,"Branch","Demand Sites and Catchments\"&amp;$D997),0)</f>
        <v>0</v>
      </c>
      <c r="L997" s="99">
        <f>IFERROR(GETPIVOTDATA("Value",TD_WEAP_RAW!$A$3,"Variable",L$2,"Escenario",L$1,"Branch","Demand Sites and Catchments\"&amp;$D997),0)</f>
        <v>0</v>
      </c>
    </row>
    <row r="998" spans="4:12">
      <c r="D998" s="53"/>
      <c r="G998" s="51"/>
      <c r="H998" s="99">
        <f>IFERROR(GETPIVOTDATA("Value",TD_WEAP_RAW!$A$3,"Variable",H$2,"Escenario",H$1,"Branch","Demand Sites and Catchments\"&amp;$D998),0)</f>
        <v>0</v>
      </c>
      <c r="I998" s="99">
        <f>IFERROR(GETPIVOTDATA("Value",TD_WEAP_RAW!$A$3,"Variable",I$2,"Escenario",I$1,"Branch","Demand Sites and Catchments\"&amp;$D998),0)</f>
        <v>0</v>
      </c>
      <c r="J998" s="99"/>
      <c r="K998" s="99">
        <f>IFERROR(GETPIVOTDATA("Value",TD_WEAP_RAW!$A$3,"Variable",K$2,"Escenario",K$1,"Branch","Demand Sites and Catchments\"&amp;$D998),0)</f>
        <v>0</v>
      </c>
      <c r="L998" s="99">
        <f>IFERROR(GETPIVOTDATA("Value",TD_WEAP_RAW!$A$3,"Variable",L$2,"Escenario",L$1,"Branch","Demand Sites and Catchments\"&amp;$D998),0)</f>
        <v>0</v>
      </c>
    </row>
    <row r="999" spans="4:12">
      <c r="D999" s="53"/>
      <c r="G999" s="51"/>
      <c r="H999" s="99">
        <f>IFERROR(GETPIVOTDATA("Value",TD_WEAP_RAW!$A$3,"Variable",H$2,"Escenario",H$1,"Branch","Demand Sites and Catchments\"&amp;$D999),0)</f>
        <v>0</v>
      </c>
      <c r="I999" s="99">
        <f>IFERROR(GETPIVOTDATA("Value",TD_WEAP_RAW!$A$3,"Variable",I$2,"Escenario",I$1,"Branch","Demand Sites and Catchments\"&amp;$D999),0)</f>
        <v>0</v>
      </c>
      <c r="J999" s="99"/>
      <c r="K999" s="99">
        <f>IFERROR(GETPIVOTDATA("Value",TD_WEAP_RAW!$A$3,"Variable",K$2,"Escenario",K$1,"Branch","Demand Sites and Catchments\"&amp;$D999),0)</f>
        <v>0</v>
      </c>
      <c r="L999" s="99">
        <f>IFERROR(GETPIVOTDATA("Value",TD_WEAP_RAW!$A$3,"Variable",L$2,"Escenario",L$1,"Branch","Demand Sites and Catchments\"&amp;$D999),0)</f>
        <v>0</v>
      </c>
    </row>
    <row r="1000" spans="4:12">
      <c r="D1000" s="53"/>
      <c r="G1000" s="51"/>
      <c r="H1000" s="99">
        <f>IFERROR(GETPIVOTDATA("Value",TD_WEAP_RAW!$A$3,"Variable",H$2,"Escenario",H$1,"Branch","Demand Sites and Catchments\"&amp;$D1000),0)</f>
        <v>0</v>
      </c>
      <c r="I1000" s="99">
        <f>IFERROR(GETPIVOTDATA("Value",TD_WEAP_RAW!$A$3,"Variable",I$2,"Escenario",I$1,"Branch","Demand Sites and Catchments\"&amp;$D1000),0)</f>
        <v>0</v>
      </c>
      <c r="J1000" s="99"/>
      <c r="K1000" s="99">
        <f>IFERROR(GETPIVOTDATA("Value",TD_WEAP_RAW!$A$3,"Variable",K$2,"Escenario",K$1,"Branch","Demand Sites and Catchments\"&amp;$D1000),0)</f>
        <v>0</v>
      </c>
      <c r="L1000" s="99">
        <f>IFERROR(GETPIVOTDATA("Value",TD_WEAP_RAW!$A$3,"Variable",L$2,"Escenario",L$1,"Branch","Demand Sites and Catchments\"&amp;$D1000),0)</f>
        <v>0</v>
      </c>
    </row>
    <row r="1001" spans="4:12">
      <c r="D1001" s="53"/>
      <c r="G1001" s="51"/>
      <c r="H1001" s="99">
        <f>IFERROR(GETPIVOTDATA("Value",TD_WEAP_RAW!$A$3,"Variable",H$2,"Escenario",H$1,"Branch","Demand Sites and Catchments\"&amp;$D1001),0)</f>
        <v>0</v>
      </c>
      <c r="I1001" s="99">
        <f>IFERROR(GETPIVOTDATA("Value",TD_WEAP_RAW!$A$3,"Variable",I$2,"Escenario",I$1,"Branch","Demand Sites and Catchments\"&amp;$D1001),0)</f>
        <v>0</v>
      </c>
      <c r="J1001" s="99"/>
      <c r="K1001" s="99">
        <f>IFERROR(GETPIVOTDATA("Value",TD_WEAP_RAW!$A$3,"Variable",K$2,"Escenario",K$1,"Branch","Demand Sites and Catchments\"&amp;$D1001),0)</f>
        <v>0</v>
      </c>
      <c r="L1001" s="99">
        <f>IFERROR(GETPIVOTDATA("Value",TD_WEAP_RAW!$A$3,"Variable",L$2,"Escenario",L$1,"Branch","Demand Sites and Catchments\"&amp;$D1001),0)</f>
        <v>0</v>
      </c>
    </row>
    <row r="1002" spans="4:12">
      <c r="D1002" s="53"/>
      <c r="G1002" s="51"/>
      <c r="H1002" s="99">
        <f>IFERROR(GETPIVOTDATA("Value",TD_WEAP_RAW!$A$3,"Variable",H$2,"Escenario",H$1,"Branch","Demand Sites and Catchments\"&amp;$D1002),0)</f>
        <v>0</v>
      </c>
      <c r="I1002" s="99">
        <f>IFERROR(GETPIVOTDATA("Value",TD_WEAP_RAW!$A$3,"Variable",I$2,"Escenario",I$1,"Branch","Demand Sites and Catchments\"&amp;$D1002),0)</f>
        <v>0</v>
      </c>
      <c r="J1002" s="99"/>
      <c r="K1002" s="99">
        <f>IFERROR(GETPIVOTDATA("Value",TD_WEAP_RAW!$A$3,"Variable",K$2,"Escenario",K$1,"Branch","Demand Sites and Catchments\"&amp;$D1002),0)</f>
        <v>0</v>
      </c>
      <c r="L1002" s="99">
        <f>IFERROR(GETPIVOTDATA("Value",TD_WEAP_RAW!$A$3,"Variable",L$2,"Escenario",L$1,"Branch","Demand Sites and Catchments\"&amp;$D1002),0)</f>
        <v>0</v>
      </c>
    </row>
    <row r="1003" spans="4:12">
      <c r="D1003" s="53"/>
      <c r="G1003" s="51"/>
      <c r="H1003" s="99">
        <f>IFERROR(GETPIVOTDATA("Value",TD_WEAP_RAW!$A$3,"Variable",H$2,"Escenario",H$1,"Branch","Demand Sites and Catchments\"&amp;$D1003),0)</f>
        <v>0</v>
      </c>
      <c r="I1003" s="99">
        <f>IFERROR(GETPIVOTDATA("Value",TD_WEAP_RAW!$A$3,"Variable",I$2,"Escenario",I$1,"Branch","Demand Sites and Catchments\"&amp;$D1003),0)</f>
        <v>0</v>
      </c>
      <c r="J1003" s="99"/>
      <c r="K1003" s="99">
        <f>IFERROR(GETPIVOTDATA("Value",TD_WEAP_RAW!$A$3,"Variable",K$2,"Escenario",K$1,"Branch","Demand Sites and Catchments\"&amp;$D1003),0)</f>
        <v>0</v>
      </c>
      <c r="L1003" s="99">
        <f>IFERROR(GETPIVOTDATA("Value",TD_WEAP_RAW!$A$3,"Variable",L$2,"Escenario",L$1,"Branch","Demand Sites and Catchments\"&amp;$D1003),0)</f>
        <v>0</v>
      </c>
    </row>
    <row r="1004" spans="4:12">
      <c r="D1004" s="53"/>
      <c r="G1004" s="51"/>
      <c r="H1004" s="99">
        <f>IFERROR(GETPIVOTDATA("Value",TD_WEAP_RAW!$A$3,"Variable",H$2,"Escenario",H$1,"Branch","Demand Sites and Catchments\"&amp;$D1004),0)</f>
        <v>0</v>
      </c>
      <c r="I1004" s="99">
        <f>IFERROR(GETPIVOTDATA("Value",TD_WEAP_RAW!$A$3,"Variable",I$2,"Escenario",I$1,"Branch","Demand Sites and Catchments\"&amp;$D1004),0)</f>
        <v>0</v>
      </c>
      <c r="J1004" s="99"/>
      <c r="K1004" s="99">
        <f>IFERROR(GETPIVOTDATA("Value",TD_WEAP_RAW!$A$3,"Variable",K$2,"Escenario",K$1,"Branch","Demand Sites and Catchments\"&amp;$D1004),0)</f>
        <v>0</v>
      </c>
      <c r="L1004" s="99">
        <f>IFERROR(GETPIVOTDATA("Value",TD_WEAP_RAW!$A$3,"Variable",L$2,"Escenario",L$1,"Branch","Demand Sites and Catchments\"&amp;$D1004),0)</f>
        <v>0</v>
      </c>
    </row>
    <row r="1005" spans="4:12">
      <c r="D1005" s="53"/>
      <c r="G1005" s="51"/>
      <c r="H1005" s="99">
        <f>IFERROR(GETPIVOTDATA("Value",TD_WEAP_RAW!$A$3,"Variable",H$2,"Escenario",H$1,"Branch","Demand Sites and Catchments\"&amp;$D1005),0)</f>
        <v>0</v>
      </c>
      <c r="I1005" s="99">
        <f>IFERROR(GETPIVOTDATA("Value",TD_WEAP_RAW!$A$3,"Variable",I$2,"Escenario",I$1,"Branch","Demand Sites and Catchments\"&amp;$D1005),0)</f>
        <v>0</v>
      </c>
      <c r="J1005" s="99"/>
      <c r="K1005" s="99">
        <f>IFERROR(GETPIVOTDATA("Value",TD_WEAP_RAW!$A$3,"Variable",K$2,"Escenario",K$1,"Branch","Demand Sites and Catchments\"&amp;$D1005),0)</f>
        <v>0</v>
      </c>
      <c r="L1005" s="99">
        <f>IFERROR(GETPIVOTDATA("Value",TD_WEAP_RAW!$A$3,"Variable",L$2,"Escenario",L$1,"Branch","Demand Sites and Catchments\"&amp;$D1005),0)</f>
        <v>0</v>
      </c>
    </row>
    <row r="1006" spans="4:12">
      <c r="D1006" s="53"/>
      <c r="G1006" s="51"/>
      <c r="H1006" s="99">
        <f>IFERROR(GETPIVOTDATA("Value",TD_WEAP_RAW!$A$3,"Variable",H$2,"Escenario",H$1,"Branch","Demand Sites and Catchments\"&amp;$D1006),0)</f>
        <v>0</v>
      </c>
      <c r="I1006" s="99">
        <f>IFERROR(GETPIVOTDATA("Value",TD_WEAP_RAW!$A$3,"Variable",I$2,"Escenario",I$1,"Branch","Demand Sites and Catchments\"&amp;$D1006),0)</f>
        <v>0</v>
      </c>
      <c r="J1006" s="99"/>
      <c r="K1006" s="99">
        <f>IFERROR(GETPIVOTDATA("Value",TD_WEAP_RAW!$A$3,"Variable",K$2,"Escenario",K$1,"Branch","Demand Sites and Catchments\"&amp;$D1006),0)</f>
        <v>0</v>
      </c>
      <c r="L1006" s="99">
        <f>IFERROR(GETPIVOTDATA("Value",TD_WEAP_RAW!$A$3,"Variable",L$2,"Escenario",L$1,"Branch","Demand Sites and Catchments\"&amp;$D1006),0)</f>
        <v>0</v>
      </c>
    </row>
    <row r="1007" spans="4:12">
      <c r="D1007" s="53"/>
      <c r="G1007" s="51"/>
      <c r="H1007" s="99">
        <f>IFERROR(GETPIVOTDATA("Value",TD_WEAP_RAW!$A$3,"Variable",H$2,"Escenario",H$1,"Branch","Demand Sites and Catchments\"&amp;$D1007),0)</f>
        <v>0</v>
      </c>
      <c r="I1007" s="99">
        <f>IFERROR(GETPIVOTDATA("Value",TD_WEAP_RAW!$A$3,"Variable",I$2,"Escenario",I$1,"Branch","Demand Sites and Catchments\"&amp;$D1007),0)</f>
        <v>0</v>
      </c>
      <c r="J1007" s="99"/>
      <c r="K1007" s="99">
        <f>IFERROR(GETPIVOTDATA("Value",TD_WEAP_RAW!$A$3,"Variable",K$2,"Escenario",K$1,"Branch","Demand Sites and Catchments\"&amp;$D1007),0)</f>
        <v>0</v>
      </c>
      <c r="L1007" s="99">
        <f>IFERROR(GETPIVOTDATA("Value",TD_WEAP_RAW!$A$3,"Variable",L$2,"Escenario",L$1,"Branch","Demand Sites and Catchments\"&amp;$D1007),0)</f>
        <v>0</v>
      </c>
    </row>
    <row r="1008" spans="4:12">
      <c r="D1008" s="53"/>
      <c r="G1008" s="51"/>
      <c r="H1008" s="99">
        <f>IFERROR(GETPIVOTDATA("Value",TD_WEAP_RAW!$A$3,"Variable",H$2,"Escenario",H$1,"Branch","Demand Sites and Catchments\"&amp;$D1008),0)</f>
        <v>0</v>
      </c>
      <c r="I1008" s="99">
        <f>IFERROR(GETPIVOTDATA("Value",TD_WEAP_RAW!$A$3,"Variable",I$2,"Escenario",I$1,"Branch","Demand Sites and Catchments\"&amp;$D1008),0)</f>
        <v>0</v>
      </c>
      <c r="J1008" s="99"/>
      <c r="K1008" s="99">
        <f>IFERROR(GETPIVOTDATA("Value",TD_WEAP_RAW!$A$3,"Variable",K$2,"Escenario",K$1,"Branch","Demand Sites and Catchments\"&amp;$D1008),0)</f>
        <v>0</v>
      </c>
      <c r="L1008" s="99">
        <f>IFERROR(GETPIVOTDATA("Value",TD_WEAP_RAW!$A$3,"Variable",L$2,"Escenario",L$1,"Branch","Demand Sites and Catchments\"&amp;$D1008),0)</f>
        <v>0</v>
      </c>
    </row>
    <row r="1009" spans="4:12">
      <c r="D1009" s="53"/>
      <c r="G1009" s="51"/>
      <c r="H1009" s="99">
        <f>IFERROR(GETPIVOTDATA("Value",TD_WEAP_RAW!$A$3,"Variable",H$2,"Escenario",H$1,"Branch","Demand Sites and Catchments\"&amp;$D1009),0)</f>
        <v>0</v>
      </c>
      <c r="I1009" s="99">
        <f>IFERROR(GETPIVOTDATA("Value",TD_WEAP_RAW!$A$3,"Variable",I$2,"Escenario",I$1,"Branch","Demand Sites and Catchments\"&amp;$D1009),0)</f>
        <v>0</v>
      </c>
      <c r="J1009" s="99"/>
      <c r="K1009" s="99">
        <f>IFERROR(GETPIVOTDATA("Value",TD_WEAP_RAW!$A$3,"Variable",K$2,"Escenario",K$1,"Branch","Demand Sites and Catchments\"&amp;$D1009),0)</f>
        <v>0</v>
      </c>
      <c r="L1009" s="99">
        <f>IFERROR(GETPIVOTDATA("Value",TD_WEAP_RAW!$A$3,"Variable",L$2,"Escenario",L$1,"Branch","Demand Sites and Catchments\"&amp;$D1009),0)</f>
        <v>0</v>
      </c>
    </row>
    <row r="1010" spans="4:12">
      <c r="D1010" s="53"/>
      <c r="G1010" s="51"/>
      <c r="H1010" s="99">
        <f>IFERROR(GETPIVOTDATA("Value",TD_WEAP_RAW!$A$3,"Variable",H$2,"Escenario",H$1,"Branch","Demand Sites and Catchments\"&amp;$D1010),0)</f>
        <v>0</v>
      </c>
      <c r="I1010" s="99">
        <f>IFERROR(GETPIVOTDATA("Value",TD_WEAP_RAW!$A$3,"Variable",I$2,"Escenario",I$1,"Branch","Demand Sites and Catchments\"&amp;$D1010),0)</f>
        <v>0</v>
      </c>
      <c r="J1010" s="99"/>
      <c r="K1010" s="99">
        <f>IFERROR(GETPIVOTDATA("Value",TD_WEAP_RAW!$A$3,"Variable",K$2,"Escenario",K$1,"Branch","Demand Sites and Catchments\"&amp;$D1010),0)</f>
        <v>0</v>
      </c>
      <c r="L1010" s="99">
        <f>IFERROR(GETPIVOTDATA("Value",TD_WEAP_RAW!$A$3,"Variable",L$2,"Escenario",L$1,"Branch","Demand Sites and Catchments\"&amp;$D1010),0)</f>
        <v>0</v>
      </c>
    </row>
    <row r="1011" spans="4:12">
      <c r="D1011" s="53"/>
      <c r="G1011" s="51"/>
      <c r="H1011" s="99">
        <f>IFERROR(GETPIVOTDATA("Value",TD_WEAP_RAW!$A$3,"Variable",H$2,"Escenario",H$1,"Branch","Demand Sites and Catchments\"&amp;$D1011),0)</f>
        <v>0</v>
      </c>
      <c r="I1011" s="99">
        <f>IFERROR(GETPIVOTDATA("Value",TD_WEAP_RAW!$A$3,"Variable",I$2,"Escenario",I$1,"Branch","Demand Sites and Catchments\"&amp;$D1011),0)</f>
        <v>0</v>
      </c>
      <c r="J1011" s="99"/>
      <c r="K1011" s="99">
        <f>IFERROR(GETPIVOTDATA("Value",TD_WEAP_RAW!$A$3,"Variable",K$2,"Escenario",K$1,"Branch","Demand Sites and Catchments\"&amp;$D1011),0)</f>
        <v>0</v>
      </c>
      <c r="L1011" s="99">
        <f>IFERROR(GETPIVOTDATA("Value",TD_WEAP_RAW!$A$3,"Variable",L$2,"Escenario",L$1,"Branch","Demand Sites and Catchments\"&amp;$D1011),0)</f>
        <v>0</v>
      </c>
    </row>
    <row r="1012" spans="4:12">
      <c r="D1012" s="53"/>
      <c r="G1012" s="51"/>
      <c r="H1012" s="99">
        <f>IFERROR(GETPIVOTDATA("Value",TD_WEAP_RAW!$A$3,"Variable",H$2,"Escenario",H$1,"Branch","Demand Sites and Catchments\"&amp;$D1012),0)</f>
        <v>0</v>
      </c>
      <c r="I1012" s="99">
        <f>IFERROR(GETPIVOTDATA("Value",TD_WEAP_RAW!$A$3,"Variable",I$2,"Escenario",I$1,"Branch","Demand Sites and Catchments\"&amp;$D1012),0)</f>
        <v>0</v>
      </c>
      <c r="J1012" s="99"/>
      <c r="K1012" s="99">
        <f>IFERROR(GETPIVOTDATA("Value",TD_WEAP_RAW!$A$3,"Variable",K$2,"Escenario",K$1,"Branch","Demand Sites and Catchments\"&amp;$D1012),0)</f>
        <v>0</v>
      </c>
      <c r="L1012" s="99">
        <f>IFERROR(GETPIVOTDATA("Value",TD_WEAP_RAW!$A$3,"Variable",L$2,"Escenario",L$1,"Branch","Demand Sites and Catchments\"&amp;$D1012),0)</f>
        <v>0</v>
      </c>
    </row>
    <row r="1013" spans="4:12">
      <c r="D1013" s="53"/>
      <c r="G1013" s="51"/>
      <c r="H1013" s="99">
        <f>IFERROR(GETPIVOTDATA("Value",TD_WEAP_RAW!$A$3,"Variable",H$2,"Escenario",H$1,"Branch","Demand Sites and Catchments\"&amp;$D1013),0)</f>
        <v>0</v>
      </c>
      <c r="I1013" s="99">
        <f>IFERROR(GETPIVOTDATA("Value",TD_WEAP_RAW!$A$3,"Variable",I$2,"Escenario",I$1,"Branch","Demand Sites and Catchments\"&amp;$D1013),0)</f>
        <v>0</v>
      </c>
      <c r="J1013" s="99"/>
      <c r="K1013" s="99">
        <f>IFERROR(GETPIVOTDATA("Value",TD_WEAP_RAW!$A$3,"Variable",K$2,"Escenario",K$1,"Branch","Demand Sites and Catchments\"&amp;$D1013),0)</f>
        <v>0</v>
      </c>
      <c r="L1013" s="99">
        <f>IFERROR(GETPIVOTDATA("Value",TD_WEAP_RAW!$A$3,"Variable",L$2,"Escenario",L$1,"Branch","Demand Sites and Catchments\"&amp;$D1013),0)</f>
        <v>0</v>
      </c>
    </row>
    <row r="1014" spans="4:12">
      <c r="D1014" s="53"/>
      <c r="G1014" s="51"/>
      <c r="H1014" s="99">
        <f>IFERROR(GETPIVOTDATA("Value",TD_WEAP_RAW!$A$3,"Variable",H$2,"Escenario",H$1,"Branch","Demand Sites and Catchments\"&amp;$D1014),0)</f>
        <v>0</v>
      </c>
      <c r="I1014" s="99">
        <f>IFERROR(GETPIVOTDATA("Value",TD_WEAP_RAW!$A$3,"Variable",I$2,"Escenario",I$1,"Branch","Demand Sites and Catchments\"&amp;$D1014),0)</f>
        <v>0</v>
      </c>
      <c r="J1014" s="99"/>
      <c r="K1014" s="99">
        <f>IFERROR(GETPIVOTDATA("Value",TD_WEAP_RAW!$A$3,"Variable",K$2,"Escenario",K$1,"Branch","Demand Sites and Catchments\"&amp;$D1014),0)</f>
        <v>0</v>
      </c>
      <c r="L1014" s="99">
        <f>IFERROR(GETPIVOTDATA("Value",TD_WEAP_RAW!$A$3,"Variable",L$2,"Escenario",L$1,"Branch","Demand Sites and Catchments\"&amp;$D1014),0)</f>
        <v>0</v>
      </c>
    </row>
    <row r="1015" spans="4:12">
      <c r="D1015" s="53"/>
      <c r="G1015" s="51"/>
      <c r="H1015" s="99">
        <f>IFERROR(GETPIVOTDATA("Value",TD_WEAP_RAW!$A$3,"Variable",H$2,"Escenario",H$1,"Branch","Demand Sites and Catchments\"&amp;$D1015),0)</f>
        <v>0</v>
      </c>
      <c r="I1015" s="99">
        <f>IFERROR(GETPIVOTDATA("Value",TD_WEAP_RAW!$A$3,"Variable",I$2,"Escenario",I$1,"Branch","Demand Sites and Catchments\"&amp;$D1015),0)</f>
        <v>0</v>
      </c>
      <c r="J1015" s="99"/>
      <c r="K1015" s="99">
        <f>IFERROR(GETPIVOTDATA("Value",TD_WEAP_RAW!$A$3,"Variable",K$2,"Escenario",K$1,"Branch","Demand Sites and Catchments\"&amp;$D1015),0)</f>
        <v>0</v>
      </c>
      <c r="L1015" s="99">
        <f>IFERROR(GETPIVOTDATA("Value",TD_WEAP_RAW!$A$3,"Variable",L$2,"Escenario",L$1,"Branch","Demand Sites and Catchments\"&amp;$D1015),0)</f>
        <v>0</v>
      </c>
    </row>
    <row r="1016" spans="4:12">
      <c r="D1016" s="53"/>
      <c r="G1016" s="51"/>
      <c r="H1016" s="99">
        <f>IFERROR(GETPIVOTDATA("Value",TD_WEAP_RAW!$A$3,"Variable",H$2,"Escenario",H$1,"Branch","Demand Sites and Catchments\"&amp;$D1016),0)</f>
        <v>0</v>
      </c>
      <c r="I1016" s="99">
        <f>IFERROR(GETPIVOTDATA("Value",TD_WEAP_RAW!$A$3,"Variable",I$2,"Escenario",I$1,"Branch","Demand Sites and Catchments\"&amp;$D1016),0)</f>
        <v>0</v>
      </c>
      <c r="J1016" s="99"/>
      <c r="K1016" s="99">
        <f>IFERROR(GETPIVOTDATA("Value",TD_WEAP_RAW!$A$3,"Variable",K$2,"Escenario",K$1,"Branch","Demand Sites and Catchments\"&amp;$D1016),0)</f>
        <v>0</v>
      </c>
      <c r="L1016" s="99">
        <f>IFERROR(GETPIVOTDATA("Value",TD_WEAP_RAW!$A$3,"Variable",L$2,"Escenario",L$1,"Branch","Demand Sites and Catchments\"&amp;$D1016),0)</f>
        <v>0</v>
      </c>
    </row>
    <row r="1017" spans="4:12">
      <c r="D1017" s="53"/>
      <c r="G1017" s="51"/>
      <c r="H1017" s="99">
        <f>IFERROR(GETPIVOTDATA("Value",TD_WEAP_RAW!$A$3,"Variable",H$2,"Escenario",H$1,"Branch","Demand Sites and Catchments\"&amp;$D1017),0)</f>
        <v>0</v>
      </c>
      <c r="I1017" s="99">
        <f>IFERROR(GETPIVOTDATA("Value",TD_WEAP_RAW!$A$3,"Variable",I$2,"Escenario",I$1,"Branch","Demand Sites and Catchments\"&amp;$D1017),0)</f>
        <v>0</v>
      </c>
      <c r="J1017" s="99"/>
      <c r="K1017" s="99">
        <f>IFERROR(GETPIVOTDATA("Value",TD_WEAP_RAW!$A$3,"Variable",K$2,"Escenario",K$1,"Branch","Demand Sites and Catchments\"&amp;$D1017),0)</f>
        <v>0</v>
      </c>
      <c r="L1017" s="99">
        <f>IFERROR(GETPIVOTDATA("Value",TD_WEAP_RAW!$A$3,"Variable",L$2,"Escenario",L$1,"Branch","Demand Sites and Catchments\"&amp;$D1017),0)</f>
        <v>0</v>
      </c>
    </row>
    <row r="1018" spans="4:12">
      <c r="D1018" s="53"/>
      <c r="G1018" s="51"/>
      <c r="H1018" s="99">
        <f>IFERROR(GETPIVOTDATA("Value",TD_WEAP_RAW!$A$3,"Variable",H$2,"Escenario",H$1,"Branch","Demand Sites and Catchments\"&amp;$D1018),0)</f>
        <v>0</v>
      </c>
      <c r="I1018" s="99">
        <f>IFERROR(GETPIVOTDATA("Value",TD_WEAP_RAW!$A$3,"Variable",I$2,"Escenario",I$1,"Branch","Demand Sites and Catchments\"&amp;$D1018),0)</f>
        <v>0</v>
      </c>
      <c r="J1018" s="99"/>
      <c r="K1018" s="99">
        <f>IFERROR(GETPIVOTDATA("Value",TD_WEAP_RAW!$A$3,"Variable",K$2,"Escenario",K$1,"Branch","Demand Sites and Catchments\"&amp;$D1018),0)</f>
        <v>0</v>
      </c>
      <c r="L1018" s="99">
        <f>IFERROR(GETPIVOTDATA("Value",TD_WEAP_RAW!$A$3,"Variable",L$2,"Escenario",L$1,"Branch","Demand Sites and Catchments\"&amp;$D1018),0)</f>
        <v>0</v>
      </c>
    </row>
    <row r="1019" spans="4:12">
      <c r="D1019" s="53"/>
      <c r="G1019" s="51"/>
      <c r="H1019" s="99">
        <f>IFERROR(GETPIVOTDATA("Value",TD_WEAP_RAW!$A$3,"Variable",H$2,"Escenario",H$1,"Branch","Demand Sites and Catchments\"&amp;$D1019),0)</f>
        <v>0</v>
      </c>
      <c r="I1019" s="99">
        <f>IFERROR(GETPIVOTDATA("Value",TD_WEAP_RAW!$A$3,"Variable",I$2,"Escenario",I$1,"Branch","Demand Sites and Catchments\"&amp;$D1019),0)</f>
        <v>0</v>
      </c>
      <c r="J1019" s="99"/>
      <c r="K1019" s="99">
        <f>IFERROR(GETPIVOTDATA("Value",TD_WEAP_RAW!$A$3,"Variable",K$2,"Escenario",K$1,"Branch","Demand Sites and Catchments\"&amp;$D1019),0)</f>
        <v>0</v>
      </c>
      <c r="L1019" s="99">
        <f>IFERROR(GETPIVOTDATA("Value",TD_WEAP_RAW!$A$3,"Variable",L$2,"Escenario",L$1,"Branch","Demand Sites and Catchments\"&amp;$D1019),0)</f>
        <v>0</v>
      </c>
    </row>
    <row r="1020" spans="4:12">
      <c r="D1020" s="53"/>
      <c r="G1020" s="51"/>
      <c r="H1020" s="99">
        <f>IFERROR(GETPIVOTDATA("Value",TD_WEAP_RAW!$A$3,"Variable",H$2,"Escenario",H$1,"Branch","Demand Sites and Catchments\"&amp;$D1020),0)</f>
        <v>0</v>
      </c>
      <c r="I1020" s="99">
        <f>IFERROR(GETPIVOTDATA("Value",TD_WEAP_RAW!$A$3,"Variable",I$2,"Escenario",I$1,"Branch","Demand Sites and Catchments\"&amp;$D1020),0)</f>
        <v>0</v>
      </c>
      <c r="J1020" s="99"/>
      <c r="K1020" s="99">
        <f>IFERROR(GETPIVOTDATA("Value",TD_WEAP_RAW!$A$3,"Variable",K$2,"Escenario",K$1,"Branch","Demand Sites and Catchments\"&amp;$D1020),0)</f>
        <v>0</v>
      </c>
      <c r="L1020" s="99">
        <f>IFERROR(GETPIVOTDATA("Value",TD_WEAP_RAW!$A$3,"Variable",L$2,"Escenario",L$1,"Branch","Demand Sites and Catchments\"&amp;$D1020),0)</f>
        <v>0</v>
      </c>
    </row>
    <row r="1021" spans="4:12">
      <c r="D1021" s="53"/>
      <c r="G1021" s="51"/>
      <c r="H1021" s="99">
        <f>IFERROR(GETPIVOTDATA("Value",TD_WEAP_RAW!$A$3,"Variable",H$2,"Escenario",H$1,"Branch","Demand Sites and Catchments\"&amp;$D1021),0)</f>
        <v>0</v>
      </c>
      <c r="I1021" s="99">
        <f>IFERROR(GETPIVOTDATA("Value",TD_WEAP_RAW!$A$3,"Variable",I$2,"Escenario",I$1,"Branch","Demand Sites and Catchments\"&amp;$D1021),0)</f>
        <v>0</v>
      </c>
      <c r="J1021" s="99"/>
      <c r="K1021" s="99">
        <f>IFERROR(GETPIVOTDATA("Value",TD_WEAP_RAW!$A$3,"Variable",K$2,"Escenario",K$1,"Branch","Demand Sites and Catchments\"&amp;$D1021),0)</f>
        <v>0</v>
      </c>
      <c r="L1021" s="99">
        <f>IFERROR(GETPIVOTDATA("Value",TD_WEAP_RAW!$A$3,"Variable",L$2,"Escenario",L$1,"Branch","Demand Sites and Catchments\"&amp;$D1021),0)</f>
        <v>0</v>
      </c>
    </row>
    <row r="1022" spans="4:12">
      <c r="D1022" s="53"/>
      <c r="G1022" s="51"/>
      <c r="H1022" s="99">
        <f>IFERROR(GETPIVOTDATA("Value",TD_WEAP_RAW!$A$3,"Variable",H$2,"Escenario",H$1,"Branch","Demand Sites and Catchments\"&amp;$D1022),0)</f>
        <v>0</v>
      </c>
      <c r="I1022" s="99">
        <f>IFERROR(GETPIVOTDATA("Value",TD_WEAP_RAW!$A$3,"Variable",I$2,"Escenario",I$1,"Branch","Demand Sites and Catchments\"&amp;$D1022),0)</f>
        <v>0</v>
      </c>
      <c r="J1022" s="99"/>
      <c r="K1022" s="99">
        <f>IFERROR(GETPIVOTDATA("Value",TD_WEAP_RAW!$A$3,"Variable",K$2,"Escenario",K$1,"Branch","Demand Sites and Catchments\"&amp;$D1022),0)</f>
        <v>0</v>
      </c>
      <c r="L1022" s="99">
        <f>IFERROR(GETPIVOTDATA("Value",TD_WEAP_RAW!$A$3,"Variable",L$2,"Escenario",L$1,"Branch","Demand Sites and Catchments\"&amp;$D1022),0)</f>
        <v>0</v>
      </c>
    </row>
    <row r="1023" spans="4:12">
      <c r="D1023" s="53"/>
      <c r="G1023" s="51"/>
      <c r="H1023" s="99">
        <f>IFERROR(GETPIVOTDATA("Value",TD_WEAP_RAW!$A$3,"Variable",H$2,"Escenario",H$1,"Branch","Demand Sites and Catchments\"&amp;$D1023),0)</f>
        <v>0</v>
      </c>
      <c r="I1023" s="99">
        <f>IFERROR(GETPIVOTDATA("Value",TD_WEAP_RAW!$A$3,"Variable",I$2,"Escenario",I$1,"Branch","Demand Sites and Catchments\"&amp;$D1023),0)</f>
        <v>0</v>
      </c>
      <c r="J1023" s="99"/>
      <c r="K1023" s="99">
        <f>IFERROR(GETPIVOTDATA("Value",TD_WEAP_RAW!$A$3,"Variable",K$2,"Escenario",K$1,"Branch","Demand Sites and Catchments\"&amp;$D1023),0)</f>
        <v>0</v>
      </c>
      <c r="L1023" s="99">
        <f>IFERROR(GETPIVOTDATA("Value",TD_WEAP_RAW!$A$3,"Variable",L$2,"Escenario",L$1,"Branch","Demand Sites and Catchments\"&amp;$D1023),0)</f>
        <v>0</v>
      </c>
    </row>
    <row r="1024" spans="4:12">
      <c r="D1024" s="53"/>
      <c r="G1024" s="51"/>
      <c r="H1024" s="99">
        <f>IFERROR(GETPIVOTDATA("Value",TD_WEAP_RAW!$A$3,"Variable",H$2,"Escenario",H$1,"Branch","Demand Sites and Catchments\"&amp;$D1024),0)</f>
        <v>0</v>
      </c>
      <c r="I1024" s="99">
        <f>IFERROR(GETPIVOTDATA("Value",TD_WEAP_RAW!$A$3,"Variable",I$2,"Escenario",I$1,"Branch","Demand Sites and Catchments\"&amp;$D1024),0)</f>
        <v>0</v>
      </c>
      <c r="J1024" s="99"/>
      <c r="K1024" s="99">
        <f>IFERROR(GETPIVOTDATA("Value",TD_WEAP_RAW!$A$3,"Variable",K$2,"Escenario",K$1,"Branch","Demand Sites and Catchments\"&amp;$D1024),0)</f>
        <v>0</v>
      </c>
      <c r="L1024" s="99">
        <f>IFERROR(GETPIVOTDATA("Value",TD_WEAP_RAW!$A$3,"Variable",L$2,"Escenario",L$1,"Branch","Demand Sites and Catchments\"&amp;$D1024),0)</f>
        <v>0</v>
      </c>
    </row>
    <row r="1025" spans="4:12">
      <c r="D1025" s="53"/>
      <c r="G1025" s="51"/>
      <c r="H1025" s="99">
        <f>IFERROR(GETPIVOTDATA("Value",TD_WEAP_RAW!$A$3,"Variable",H$2,"Escenario",H$1,"Branch","Demand Sites and Catchments\"&amp;$D1025),0)</f>
        <v>0</v>
      </c>
      <c r="I1025" s="99">
        <f>IFERROR(GETPIVOTDATA("Value",TD_WEAP_RAW!$A$3,"Variable",I$2,"Escenario",I$1,"Branch","Demand Sites and Catchments\"&amp;$D1025),0)</f>
        <v>0</v>
      </c>
      <c r="J1025" s="99"/>
      <c r="K1025" s="99">
        <f>IFERROR(GETPIVOTDATA("Value",TD_WEAP_RAW!$A$3,"Variable",K$2,"Escenario",K$1,"Branch","Demand Sites and Catchments\"&amp;$D1025),0)</f>
        <v>0</v>
      </c>
      <c r="L1025" s="99">
        <f>IFERROR(GETPIVOTDATA("Value",TD_WEAP_RAW!$A$3,"Variable",L$2,"Escenario",L$1,"Branch","Demand Sites and Catchments\"&amp;$D1025),0)</f>
        <v>0</v>
      </c>
    </row>
    <row r="1026" spans="4:12">
      <c r="D1026" s="53"/>
      <c r="G1026" s="51"/>
      <c r="H1026" s="99">
        <f>IFERROR(GETPIVOTDATA("Value",TD_WEAP_RAW!$A$3,"Variable",H$2,"Escenario",H$1,"Branch","Demand Sites and Catchments\"&amp;$D1026),0)</f>
        <v>0</v>
      </c>
      <c r="I1026" s="99">
        <f>IFERROR(GETPIVOTDATA("Value",TD_WEAP_RAW!$A$3,"Variable",I$2,"Escenario",I$1,"Branch","Demand Sites and Catchments\"&amp;$D1026),0)</f>
        <v>0</v>
      </c>
      <c r="J1026" s="99"/>
      <c r="K1026" s="99">
        <f>IFERROR(GETPIVOTDATA("Value",TD_WEAP_RAW!$A$3,"Variable",K$2,"Escenario",K$1,"Branch","Demand Sites and Catchments\"&amp;$D1026),0)</f>
        <v>0</v>
      </c>
      <c r="L1026" s="99">
        <f>IFERROR(GETPIVOTDATA("Value",TD_WEAP_RAW!$A$3,"Variable",L$2,"Escenario",L$1,"Branch","Demand Sites and Catchments\"&amp;$D1026),0)</f>
        <v>0</v>
      </c>
    </row>
    <row r="1027" spans="4:12">
      <c r="D1027" s="53"/>
      <c r="G1027" s="51"/>
      <c r="H1027" s="99">
        <f>IFERROR(GETPIVOTDATA("Value",TD_WEAP_RAW!$A$3,"Variable",H$2,"Escenario",H$1,"Branch","Demand Sites and Catchments\"&amp;$D1027),0)</f>
        <v>0</v>
      </c>
      <c r="I1027" s="99">
        <f>IFERROR(GETPIVOTDATA("Value",TD_WEAP_RAW!$A$3,"Variable",I$2,"Escenario",I$1,"Branch","Demand Sites and Catchments\"&amp;$D1027),0)</f>
        <v>0</v>
      </c>
      <c r="J1027" s="99"/>
      <c r="K1027" s="99">
        <f>IFERROR(GETPIVOTDATA("Value",TD_WEAP_RAW!$A$3,"Variable",K$2,"Escenario",K$1,"Branch","Demand Sites and Catchments\"&amp;$D1027),0)</f>
        <v>0</v>
      </c>
      <c r="L1027" s="99">
        <f>IFERROR(GETPIVOTDATA("Value",TD_WEAP_RAW!$A$3,"Variable",L$2,"Escenario",L$1,"Branch","Demand Sites and Catchments\"&amp;$D1027),0)</f>
        <v>0</v>
      </c>
    </row>
    <row r="1028" spans="4:12">
      <c r="D1028" s="53"/>
      <c r="G1028" s="51"/>
      <c r="H1028" s="99">
        <f>IFERROR(GETPIVOTDATA("Value",TD_WEAP_RAW!$A$3,"Variable",H$2,"Escenario",H$1,"Branch","Demand Sites and Catchments\"&amp;$D1028),0)</f>
        <v>0</v>
      </c>
      <c r="I1028" s="99">
        <f>IFERROR(GETPIVOTDATA("Value",TD_WEAP_RAW!$A$3,"Variable",I$2,"Escenario",I$1,"Branch","Demand Sites and Catchments\"&amp;$D1028),0)</f>
        <v>0</v>
      </c>
      <c r="J1028" s="99"/>
      <c r="K1028" s="99">
        <f>IFERROR(GETPIVOTDATA("Value",TD_WEAP_RAW!$A$3,"Variable",K$2,"Escenario",K$1,"Branch","Demand Sites and Catchments\"&amp;$D1028),0)</f>
        <v>0</v>
      </c>
      <c r="L1028" s="99">
        <f>IFERROR(GETPIVOTDATA("Value",TD_WEAP_RAW!$A$3,"Variable",L$2,"Escenario",L$1,"Branch","Demand Sites and Catchments\"&amp;$D1028),0)</f>
        <v>0</v>
      </c>
    </row>
    <row r="1029" spans="4:12">
      <c r="D1029" s="53"/>
      <c r="G1029" s="51"/>
      <c r="H1029" s="99">
        <f>IFERROR(GETPIVOTDATA("Value",TD_WEAP_RAW!$A$3,"Variable",H$2,"Escenario",H$1,"Branch","Demand Sites and Catchments\"&amp;$D1029),0)</f>
        <v>0</v>
      </c>
      <c r="I1029" s="99">
        <f>IFERROR(GETPIVOTDATA("Value",TD_WEAP_RAW!$A$3,"Variable",I$2,"Escenario",I$1,"Branch","Demand Sites and Catchments\"&amp;$D1029),0)</f>
        <v>0</v>
      </c>
      <c r="J1029" s="99"/>
      <c r="K1029" s="99">
        <f>IFERROR(GETPIVOTDATA("Value",TD_WEAP_RAW!$A$3,"Variable",K$2,"Escenario",K$1,"Branch","Demand Sites and Catchments\"&amp;$D1029),0)</f>
        <v>0</v>
      </c>
      <c r="L1029" s="99">
        <f>IFERROR(GETPIVOTDATA("Value",TD_WEAP_RAW!$A$3,"Variable",L$2,"Escenario",L$1,"Branch","Demand Sites and Catchments\"&amp;$D1029),0)</f>
        <v>0</v>
      </c>
    </row>
    <row r="1030" spans="4:12">
      <c r="D1030" s="53"/>
      <c r="G1030" s="51"/>
      <c r="H1030" s="99">
        <f>IFERROR(GETPIVOTDATA("Value",TD_WEAP_RAW!$A$3,"Variable",H$2,"Escenario",H$1,"Branch","Demand Sites and Catchments\"&amp;$D1030),0)</f>
        <v>0</v>
      </c>
      <c r="I1030" s="99">
        <f>IFERROR(GETPIVOTDATA("Value",TD_WEAP_RAW!$A$3,"Variable",I$2,"Escenario",I$1,"Branch","Demand Sites and Catchments\"&amp;$D1030),0)</f>
        <v>0</v>
      </c>
      <c r="J1030" s="99"/>
      <c r="K1030" s="99">
        <f>IFERROR(GETPIVOTDATA("Value",TD_WEAP_RAW!$A$3,"Variable",K$2,"Escenario",K$1,"Branch","Demand Sites and Catchments\"&amp;$D1030),0)</f>
        <v>0</v>
      </c>
      <c r="L1030" s="99">
        <f>IFERROR(GETPIVOTDATA("Value",TD_WEAP_RAW!$A$3,"Variable",L$2,"Escenario",L$1,"Branch","Demand Sites and Catchments\"&amp;$D1030),0)</f>
        <v>0</v>
      </c>
    </row>
    <row r="1032" spans="4:12">
      <c r="H1032" s="102"/>
    </row>
  </sheetData>
  <autoFilter ref="A2:D41" xr:uid="{8594F6FF-C298-4FFE-A7C1-96F15959A7E1}"/>
  <phoneticPr fontId="3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6" r:id="rId3" name="Button 2">
              <controlPr defaultSize="0" print="0" autoFill="0" autoPict="0" macro="[0]!Run_WaTT_at_MAIN">
                <anchor moveWithCells="1" sizeWithCells="1">
                  <from>
                    <xdr:col>4</xdr:col>
                    <xdr:colOff>114300</xdr:colOff>
                    <xdr:row>1</xdr:row>
                    <xdr:rowOff>45720</xdr:rowOff>
                  </from>
                  <to>
                    <xdr:col>4</xdr:col>
                    <xdr:colOff>1417320</xdr:colOff>
                    <xdr:row>1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Button 4">
              <controlPr defaultSize="0" print="0" autoFill="0" autoPict="0" macro="[0]!MTDP">
                <anchor moveWithCells="1" sizeWithCells="1">
                  <from>
                    <xdr:col>4</xdr:col>
                    <xdr:colOff>114300</xdr:colOff>
                    <xdr:row>3</xdr:row>
                    <xdr:rowOff>45720</xdr:rowOff>
                  </from>
                  <to>
                    <xdr:col>4</xdr:col>
                    <xdr:colOff>1417320</xdr:colOff>
                    <xdr:row>4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E38DC-6092-4EAB-93C1-46184A407FFB}">
  <sheetPr codeName="Hoja10">
    <tabColor rgb="FFFFC000"/>
  </sheetPr>
  <dimension ref="A1:L947"/>
  <sheetViews>
    <sheetView zoomScale="85" zoomScaleNormal="85" workbookViewId="0">
      <selection sqref="A1:F12"/>
    </sheetView>
  </sheetViews>
  <sheetFormatPr baseColWidth="10" defaultColWidth="11.5546875" defaultRowHeight="14.4"/>
  <cols>
    <col min="1" max="1" width="14.5546875" customWidth="1"/>
    <col min="3" max="3" width="18.77734375" style="5" customWidth="1"/>
    <col min="4" max="4" width="18.44140625" style="5" customWidth="1"/>
    <col min="5" max="5" width="14.109375" style="5" customWidth="1"/>
    <col min="6" max="6" width="14.109375" style="3" customWidth="1"/>
    <col min="7" max="7" width="13.88671875" style="3" bestFit="1" customWidth="1"/>
    <col min="8" max="8" width="14.109375" style="3" customWidth="1"/>
    <col min="9" max="9" width="13.88671875" style="3" bestFit="1" customWidth="1"/>
    <col min="10" max="11" width="14.109375" style="3" customWidth="1"/>
    <col min="12" max="12" width="13.88671875" style="3" bestFit="1" customWidth="1"/>
  </cols>
  <sheetData>
    <row r="1" spans="1:12" s="49" customFormat="1" ht="60" customHeight="1">
      <c r="A1" s="75" t="s">
        <v>13</v>
      </c>
      <c r="B1" s="75" t="s">
        <v>532</v>
      </c>
      <c r="C1" s="76" t="s">
        <v>954</v>
      </c>
      <c r="D1" s="76" t="s">
        <v>955</v>
      </c>
      <c r="E1" s="76" t="s">
        <v>956</v>
      </c>
      <c r="F1" s="77" t="s">
        <v>957</v>
      </c>
      <c r="G1" s="77"/>
      <c r="H1" s="77"/>
      <c r="I1" s="77"/>
      <c r="J1" s="77"/>
      <c r="K1" s="77"/>
      <c r="L1" s="77"/>
    </row>
    <row r="2" spans="1:12">
      <c r="A2" s="3">
        <v>66</v>
      </c>
      <c r="B2">
        <v>0</v>
      </c>
      <c r="C2" s="5">
        <v>0</v>
      </c>
      <c r="D2" s="5">
        <v>0</v>
      </c>
      <c r="E2" s="5">
        <v>0</v>
      </c>
      <c r="F2" s="3">
        <v>0</v>
      </c>
    </row>
    <row r="3" spans="1:12">
      <c r="A3" s="3">
        <v>116</v>
      </c>
      <c r="B3">
        <v>0</v>
      </c>
      <c r="C3" s="5">
        <v>606774</v>
      </c>
      <c r="D3" s="5">
        <v>3974328</v>
      </c>
      <c r="E3" s="5">
        <v>118504</v>
      </c>
      <c r="F3" s="3">
        <v>14044712</v>
      </c>
    </row>
    <row r="4" spans="1:12">
      <c r="A4" s="3">
        <v>108</v>
      </c>
      <c r="B4">
        <v>0</v>
      </c>
      <c r="C4" s="5">
        <v>937551</v>
      </c>
      <c r="D4" s="5">
        <v>5951756</v>
      </c>
      <c r="E4" s="5">
        <v>182476.3</v>
      </c>
      <c r="F4" s="3">
        <v>22169748</v>
      </c>
    </row>
    <row r="5" spans="1:12">
      <c r="A5" s="3">
        <v>122</v>
      </c>
      <c r="B5">
        <v>0</v>
      </c>
      <c r="C5" s="5">
        <v>1300203</v>
      </c>
      <c r="D5" s="5">
        <v>8140388</v>
      </c>
      <c r="E5" s="5">
        <v>252858.4</v>
      </c>
      <c r="F5" s="3">
        <v>30972908</v>
      </c>
    </row>
    <row r="6" spans="1:12">
      <c r="A6" s="3">
        <v>87</v>
      </c>
      <c r="B6">
        <v>0</v>
      </c>
      <c r="C6" s="5">
        <v>2514953</v>
      </c>
      <c r="D6" s="5">
        <v>15912193</v>
      </c>
      <c r="E6" s="5">
        <v>491978.4</v>
      </c>
      <c r="F6" s="3">
        <v>58937866</v>
      </c>
    </row>
    <row r="7" spans="1:12">
      <c r="A7" s="3">
        <v>125</v>
      </c>
      <c r="B7">
        <v>0</v>
      </c>
      <c r="C7" s="5">
        <v>2514953</v>
      </c>
      <c r="D7" s="5">
        <v>15912193</v>
      </c>
      <c r="E7" s="5">
        <v>491978.4</v>
      </c>
      <c r="F7" s="3">
        <v>58937866</v>
      </c>
    </row>
    <row r="8" spans="1:12">
      <c r="A8" s="3">
        <v>68</v>
      </c>
      <c r="B8">
        <v>0</v>
      </c>
      <c r="C8" s="5">
        <v>3174829</v>
      </c>
      <c r="D8" s="5">
        <v>20725943</v>
      </c>
      <c r="E8" s="5">
        <v>622078.4</v>
      </c>
      <c r="F8" s="3">
        <v>73059028</v>
      </c>
    </row>
    <row r="9" spans="1:12">
      <c r="A9" s="3">
        <v>85</v>
      </c>
      <c r="B9">
        <v>0</v>
      </c>
      <c r="C9" s="5">
        <v>0</v>
      </c>
      <c r="D9" s="5">
        <v>0</v>
      </c>
      <c r="E9" s="5">
        <v>0</v>
      </c>
      <c r="F9" s="3">
        <v>0</v>
      </c>
    </row>
    <row r="10" spans="1:12">
      <c r="A10" s="3">
        <v>89</v>
      </c>
      <c r="B10">
        <v>0</v>
      </c>
      <c r="C10" s="5">
        <v>1214750</v>
      </c>
      <c r="D10" s="5">
        <v>7771805</v>
      </c>
      <c r="E10" s="5">
        <v>239120</v>
      </c>
      <c r="F10" s="3">
        <v>27964958</v>
      </c>
    </row>
    <row r="11" spans="1:12">
      <c r="A11" s="3">
        <v>106</v>
      </c>
      <c r="B11">
        <v>0</v>
      </c>
      <c r="C11" s="5">
        <v>0</v>
      </c>
      <c r="D11" s="5">
        <v>0</v>
      </c>
      <c r="E11" s="5">
        <v>0</v>
      </c>
      <c r="F11" s="3">
        <v>0</v>
      </c>
    </row>
    <row r="12" spans="1:12">
      <c r="A12" s="3">
        <v>110</v>
      </c>
      <c r="B12">
        <v>0</v>
      </c>
      <c r="C12" s="5">
        <v>330777</v>
      </c>
      <c r="D12" s="5">
        <v>1977428</v>
      </c>
      <c r="E12" s="5">
        <v>63972.3</v>
      </c>
      <c r="F12" s="3">
        <v>8125036</v>
      </c>
    </row>
    <row r="13" spans="1:12">
      <c r="A13" s="3"/>
    </row>
    <row r="14" spans="1:12">
      <c r="A14" s="3"/>
    </row>
    <row r="15" spans="1:12">
      <c r="A15" s="3"/>
    </row>
    <row r="16" spans="1:1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  <row r="184" spans="1:1">
      <c r="A184" s="3"/>
    </row>
    <row r="185" spans="1:1">
      <c r="A185" s="3"/>
    </row>
    <row r="186" spans="1:1">
      <c r="A186" s="3"/>
    </row>
    <row r="187" spans="1:1">
      <c r="A187" s="3"/>
    </row>
    <row r="188" spans="1:1">
      <c r="A188" s="3"/>
    </row>
    <row r="189" spans="1:1">
      <c r="A189" s="3"/>
    </row>
    <row r="190" spans="1:1">
      <c r="A190" s="3"/>
    </row>
    <row r="191" spans="1:1">
      <c r="A191" s="3"/>
    </row>
    <row r="192" spans="1:1">
      <c r="A192" s="3"/>
    </row>
    <row r="193" spans="1:1">
      <c r="A193" s="3"/>
    </row>
    <row r="194" spans="1:1">
      <c r="A194" s="3"/>
    </row>
    <row r="195" spans="1:1">
      <c r="A195" s="3"/>
    </row>
    <row r="196" spans="1:1">
      <c r="A196" s="3"/>
    </row>
    <row r="197" spans="1:1">
      <c r="A197" s="3"/>
    </row>
    <row r="198" spans="1:1">
      <c r="A198" s="3"/>
    </row>
    <row r="199" spans="1:1">
      <c r="A199" s="3"/>
    </row>
    <row r="200" spans="1:1">
      <c r="A200" s="3"/>
    </row>
    <row r="201" spans="1:1">
      <c r="A201" s="3"/>
    </row>
    <row r="202" spans="1:1">
      <c r="A202" s="3"/>
    </row>
    <row r="203" spans="1:1">
      <c r="A203" s="3"/>
    </row>
    <row r="204" spans="1:1">
      <c r="A204" s="3"/>
    </row>
    <row r="205" spans="1:1">
      <c r="A205" s="3"/>
    </row>
    <row r="206" spans="1:1">
      <c r="A206" s="3"/>
    </row>
    <row r="207" spans="1:1">
      <c r="A207" s="3"/>
    </row>
    <row r="208" spans="1:1">
      <c r="A208" s="3"/>
    </row>
    <row r="209" spans="1:1">
      <c r="A209" s="3"/>
    </row>
    <row r="210" spans="1:1">
      <c r="A210" s="3"/>
    </row>
    <row r="211" spans="1:1">
      <c r="A211" s="3"/>
    </row>
    <row r="212" spans="1:1">
      <c r="A212" s="3"/>
    </row>
    <row r="213" spans="1:1">
      <c r="A213" s="3"/>
    </row>
    <row r="214" spans="1:1">
      <c r="A214" s="3"/>
    </row>
    <row r="215" spans="1:1">
      <c r="A215" s="3"/>
    </row>
    <row r="216" spans="1:1">
      <c r="A216" s="3"/>
    </row>
    <row r="217" spans="1:1">
      <c r="A217" s="3"/>
    </row>
    <row r="218" spans="1:1">
      <c r="A218" s="3"/>
    </row>
    <row r="219" spans="1:1">
      <c r="A219" s="3"/>
    </row>
    <row r="220" spans="1:1">
      <c r="A220" s="3"/>
    </row>
    <row r="221" spans="1:1">
      <c r="A221" s="3"/>
    </row>
    <row r="222" spans="1:1">
      <c r="A222" s="3"/>
    </row>
    <row r="223" spans="1:1">
      <c r="A223" s="3"/>
    </row>
    <row r="224" spans="1:1">
      <c r="A224" s="3"/>
    </row>
    <row r="225" spans="1:1">
      <c r="A225" s="3"/>
    </row>
    <row r="226" spans="1:1">
      <c r="A226" s="3"/>
    </row>
    <row r="227" spans="1:1">
      <c r="A227" s="3"/>
    </row>
    <row r="228" spans="1:1">
      <c r="A228" s="3"/>
    </row>
    <row r="229" spans="1:1">
      <c r="A229" s="3"/>
    </row>
    <row r="230" spans="1:1">
      <c r="A230" s="3"/>
    </row>
    <row r="231" spans="1:1">
      <c r="A231" s="3"/>
    </row>
    <row r="232" spans="1:1">
      <c r="A232" s="3"/>
    </row>
    <row r="233" spans="1:1">
      <c r="A233" s="3"/>
    </row>
    <row r="234" spans="1:1">
      <c r="A234" s="3"/>
    </row>
    <row r="235" spans="1:1">
      <c r="A235" s="3"/>
    </row>
    <row r="236" spans="1:1">
      <c r="A236" s="3"/>
    </row>
    <row r="237" spans="1:1">
      <c r="A237" s="3"/>
    </row>
    <row r="238" spans="1:1">
      <c r="A238" s="3"/>
    </row>
    <row r="239" spans="1:1">
      <c r="A239" s="3"/>
    </row>
    <row r="240" spans="1:1">
      <c r="A240" s="3"/>
    </row>
    <row r="241" spans="1:1">
      <c r="A241" s="3"/>
    </row>
    <row r="242" spans="1:1">
      <c r="A242" s="3"/>
    </row>
    <row r="243" spans="1:1">
      <c r="A243" s="3"/>
    </row>
    <row r="244" spans="1:1">
      <c r="A244" s="3"/>
    </row>
    <row r="245" spans="1:1">
      <c r="A245" s="3"/>
    </row>
    <row r="246" spans="1:1">
      <c r="A246" s="3"/>
    </row>
    <row r="247" spans="1:1">
      <c r="A247" s="3"/>
    </row>
    <row r="248" spans="1:1">
      <c r="A248" s="3"/>
    </row>
    <row r="249" spans="1:1">
      <c r="A249" s="3"/>
    </row>
    <row r="250" spans="1:1">
      <c r="A250" s="3"/>
    </row>
    <row r="251" spans="1:1">
      <c r="A251" s="3"/>
    </row>
    <row r="252" spans="1:1">
      <c r="A252" s="3"/>
    </row>
    <row r="253" spans="1:1">
      <c r="A253" s="3"/>
    </row>
    <row r="254" spans="1:1">
      <c r="A254" s="3"/>
    </row>
    <row r="255" spans="1:1">
      <c r="A255" s="3"/>
    </row>
    <row r="256" spans="1:1">
      <c r="A256" s="3"/>
    </row>
    <row r="257" spans="1:1">
      <c r="A257" s="3"/>
    </row>
    <row r="258" spans="1:1">
      <c r="A258" s="3"/>
    </row>
    <row r="259" spans="1:1">
      <c r="A259" s="3"/>
    </row>
    <row r="260" spans="1:1">
      <c r="A260" s="3"/>
    </row>
    <row r="261" spans="1:1">
      <c r="A261" s="3"/>
    </row>
    <row r="262" spans="1:1">
      <c r="A262" s="3"/>
    </row>
    <row r="263" spans="1:1">
      <c r="A263" s="3"/>
    </row>
    <row r="264" spans="1:1">
      <c r="A264" s="3"/>
    </row>
    <row r="265" spans="1:1">
      <c r="A265" s="3"/>
    </row>
    <row r="266" spans="1:1">
      <c r="A266" s="3"/>
    </row>
    <row r="267" spans="1:1">
      <c r="A267" s="3"/>
    </row>
    <row r="268" spans="1:1">
      <c r="A268" s="3"/>
    </row>
    <row r="269" spans="1:1">
      <c r="A269" s="3"/>
    </row>
    <row r="270" spans="1:1">
      <c r="A270" s="3"/>
    </row>
    <row r="271" spans="1:1">
      <c r="A271" s="3"/>
    </row>
    <row r="272" spans="1:1">
      <c r="A272" s="3"/>
    </row>
    <row r="273" spans="1:1">
      <c r="A273" s="3"/>
    </row>
    <row r="274" spans="1:1">
      <c r="A274" s="3"/>
    </row>
    <row r="275" spans="1:1">
      <c r="A275" s="3"/>
    </row>
    <row r="276" spans="1:1">
      <c r="A276" s="3"/>
    </row>
    <row r="277" spans="1:1">
      <c r="A277" s="3"/>
    </row>
    <row r="278" spans="1:1">
      <c r="A278" s="3"/>
    </row>
    <row r="279" spans="1:1">
      <c r="A279" s="3"/>
    </row>
    <row r="280" spans="1:1">
      <c r="A280" s="3"/>
    </row>
    <row r="281" spans="1:1">
      <c r="A281" s="3"/>
    </row>
    <row r="282" spans="1:1">
      <c r="A282" s="3"/>
    </row>
    <row r="283" spans="1:1">
      <c r="A283" s="3"/>
    </row>
    <row r="284" spans="1:1">
      <c r="A284" s="3"/>
    </row>
    <row r="285" spans="1:1">
      <c r="A285" s="3"/>
    </row>
    <row r="286" spans="1:1">
      <c r="A286" s="3"/>
    </row>
    <row r="287" spans="1:1">
      <c r="A287" s="3"/>
    </row>
    <row r="288" spans="1:1">
      <c r="A288" s="3"/>
    </row>
    <row r="289" spans="1:1">
      <c r="A289" s="3"/>
    </row>
    <row r="290" spans="1:1">
      <c r="A290" s="3"/>
    </row>
    <row r="291" spans="1:1">
      <c r="A291" s="3"/>
    </row>
    <row r="292" spans="1:1">
      <c r="A292" s="3"/>
    </row>
    <row r="293" spans="1:1">
      <c r="A293" s="3"/>
    </row>
    <row r="294" spans="1:1">
      <c r="A294" s="3"/>
    </row>
    <row r="295" spans="1:1">
      <c r="A295" s="3"/>
    </row>
    <row r="296" spans="1:1">
      <c r="A296" s="3"/>
    </row>
    <row r="297" spans="1:1">
      <c r="A297" s="3"/>
    </row>
    <row r="298" spans="1:1">
      <c r="A298" s="3"/>
    </row>
    <row r="299" spans="1:1">
      <c r="A299" s="3"/>
    </row>
    <row r="300" spans="1:1">
      <c r="A300" s="3"/>
    </row>
    <row r="301" spans="1:1">
      <c r="A301" s="3"/>
    </row>
    <row r="302" spans="1:1">
      <c r="A302" s="3"/>
    </row>
    <row r="303" spans="1:1">
      <c r="A303" s="3"/>
    </row>
    <row r="304" spans="1:1">
      <c r="A304" s="3"/>
    </row>
    <row r="305" spans="1:1">
      <c r="A305" s="3"/>
    </row>
    <row r="306" spans="1:1">
      <c r="A306" s="3"/>
    </row>
    <row r="307" spans="1:1">
      <c r="A307" s="3"/>
    </row>
    <row r="308" spans="1:1">
      <c r="A308" s="3"/>
    </row>
    <row r="309" spans="1:1">
      <c r="A309" s="3"/>
    </row>
    <row r="310" spans="1:1">
      <c r="A310" s="3"/>
    </row>
    <row r="311" spans="1:1">
      <c r="A311" s="3"/>
    </row>
    <row r="312" spans="1:1">
      <c r="A312" s="3"/>
    </row>
    <row r="313" spans="1:1">
      <c r="A313" s="3"/>
    </row>
    <row r="314" spans="1:1">
      <c r="A314" s="3"/>
    </row>
    <row r="315" spans="1:1">
      <c r="A315" s="3"/>
    </row>
    <row r="316" spans="1:1">
      <c r="A316" s="3"/>
    </row>
    <row r="317" spans="1:1">
      <c r="A317" s="3"/>
    </row>
    <row r="318" spans="1:1">
      <c r="A318" s="3"/>
    </row>
    <row r="319" spans="1:1">
      <c r="A319" s="3"/>
    </row>
    <row r="320" spans="1:1">
      <c r="A320" s="3"/>
    </row>
    <row r="321" spans="1:1">
      <c r="A321" s="3"/>
    </row>
    <row r="322" spans="1:1">
      <c r="A322" s="3"/>
    </row>
    <row r="323" spans="1:1">
      <c r="A323" s="3"/>
    </row>
    <row r="324" spans="1:1">
      <c r="A324" s="3"/>
    </row>
    <row r="325" spans="1:1">
      <c r="A325" s="3"/>
    </row>
    <row r="326" spans="1:1">
      <c r="A326" s="3"/>
    </row>
    <row r="327" spans="1:1">
      <c r="A327" s="3"/>
    </row>
    <row r="328" spans="1:1">
      <c r="A328" s="3"/>
    </row>
    <row r="329" spans="1:1">
      <c r="A329" s="3"/>
    </row>
    <row r="330" spans="1:1">
      <c r="A330" s="3"/>
    </row>
    <row r="331" spans="1:1">
      <c r="A331" s="3"/>
    </row>
    <row r="332" spans="1:1">
      <c r="A332" s="3"/>
    </row>
    <row r="333" spans="1:1">
      <c r="A333" s="3"/>
    </row>
    <row r="334" spans="1:1">
      <c r="A334" s="3"/>
    </row>
    <row r="335" spans="1:1">
      <c r="A335" s="3"/>
    </row>
    <row r="336" spans="1:1">
      <c r="A336" s="3"/>
    </row>
    <row r="337" spans="1:1">
      <c r="A337" s="3"/>
    </row>
    <row r="338" spans="1:1">
      <c r="A338" s="3"/>
    </row>
    <row r="339" spans="1:1">
      <c r="A339" s="3"/>
    </row>
    <row r="340" spans="1:1">
      <c r="A340" s="3"/>
    </row>
    <row r="341" spans="1:1">
      <c r="A341" s="3"/>
    </row>
    <row r="342" spans="1:1">
      <c r="A342" s="3"/>
    </row>
    <row r="343" spans="1:1">
      <c r="A343" s="3"/>
    </row>
    <row r="344" spans="1:1">
      <c r="A344" s="3"/>
    </row>
    <row r="345" spans="1:1">
      <c r="A345" s="3"/>
    </row>
    <row r="346" spans="1:1">
      <c r="A346" s="3"/>
    </row>
    <row r="347" spans="1:1">
      <c r="A347" s="3"/>
    </row>
    <row r="348" spans="1:1">
      <c r="A348" s="3"/>
    </row>
    <row r="349" spans="1:1">
      <c r="A349" s="3"/>
    </row>
    <row r="350" spans="1:1">
      <c r="A350" s="3"/>
    </row>
    <row r="351" spans="1:1">
      <c r="A351" s="3"/>
    </row>
    <row r="352" spans="1:1">
      <c r="A352" s="3"/>
    </row>
    <row r="353" spans="1:1">
      <c r="A353" s="3"/>
    </row>
    <row r="354" spans="1:1">
      <c r="A354" s="3"/>
    </row>
    <row r="355" spans="1:1">
      <c r="A355" s="3"/>
    </row>
    <row r="356" spans="1:1">
      <c r="A356" s="3"/>
    </row>
    <row r="357" spans="1:1">
      <c r="A357" s="3"/>
    </row>
    <row r="358" spans="1:1">
      <c r="A358" s="3"/>
    </row>
    <row r="359" spans="1:1">
      <c r="A359" s="3"/>
    </row>
    <row r="360" spans="1:1">
      <c r="A360" s="3"/>
    </row>
    <row r="361" spans="1:1">
      <c r="A361" s="3"/>
    </row>
    <row r="362" spans="1:1">
      <c r="A362" s="3"/>
    </row>
    <row r="363" spans="1:1">
      <c r="A363" s="3"/>
    </row>
    <row r="364" spans="1:1">
      <c r="A364" s="3"/>
    </row>
    <row r="365" spans="1:1">
      <c r="A365" s="3"/>
    </row>
    <row r="366" spans="1:1">
      <c r="A366" s="3"/>
    </row>
    <row r="367" spans="1:1">
      <c r="A367" s="3"/>
    </row>
    <row r="368" spans="1:1">
      <c r="A368" s="3"/>
    </row>
    <row r="369" spans="1:1">
      <c r="A369" s="3"/>
    </row>
    <row r="370" spans="1:1">
      <c r="A370" s="3"/>
    </row>
    <row r="371" spans="1:1">
      <c r="A371" s="3"/>
    </row>
    <row r="372" spans="1:1">
      <c r="A372" s="3"/>
    </row>
    <row r="373" spans="1:1">
      <c r="A373" s="3"/>
    </row>
    <row r="374" spans="1:1">
      <c r="A374" s="3"/>
    </row>
    <row r="375" spans="1:1">
      <c r="A375" s="3"/>
    </row>
    <row r="376" spans="1:1">
      <c r="A376" s="3"/>
    </row>
    <row r="377" spans="1:1">
      <c r="A377" s="3"/>
    </row>
    <row r="378" spans="1:1">
      <c r="A378" s="3"/>
    </row>
    <row r="379" spans="1:1">
      <c r="A379" s="3"/>
    </row>
    <row r="380" spans="1:1">
      <c r="A380" s="3"/>
    </row>
    <row r="381" spans="1:1">
      <c r="A381" s="3"/>
    </row>
    <row r="382" spans="1:1">
      <c r="A382" s="3"/>
    </row>
    <row r="383" spans="1:1">
      <c r="A383" s="3"/>
    </row>
    <row r="384" spans="1:1">
      <c r="A384" s="3"/>
    </row>
    <row r="385" spans="1:1">
      <c r="A385" s="3"/>
    </row>
    <row r="386" spans="1:1">
      <c r="A386" s="3"/>
    </row>
    <row r="387" spans="1:1">
      <c r="A387" s="3"/>
    </row>
    <row r="388" spans="1:1">
      <c r="A388" s="3"/>
    </row>
    <row r="389" spans="1:1">
      <c r="A389" s="3"/>
    </row>
    <row r="390" spans="1:1">
      <c r="A390" s="3"/>
    </row>
    <row r="391" spans="1:1">
      <c r="A391" s="3"/>
    </row>
    <row r="392" spans="1:1">
      <c r="A392" s="3"/>
    </row>
    <row r="393" spans="1:1">
      <c r="A393" s="3"/>
    </row>
    <row r="394" spans="1:1">
      <c r="A394" s="3"/>
    </row>
    <row r="395" spans="1:1">
      <c r="A395" s="3"/>
    </row>
    <row r="396" spans="1:1">
      <c r="A396" s="3"/>
    </row>
    <row r="397" spans="1:1">
      <c r="A397" s="3"/>
    </row>
    <row r="398" spans="1:1">
      <c r="A398" s="3"/>
    </row>
    <row r="399" spans="1:1">
      <c r="A399" s="3"/>
    </row>
    <row r="400" spans="1:1">
      <c r="A400" s="3"/>
    </row>
    <row r="401" spans="1:1">
      <c r="A401" s="3"/>
    </row>
    <row r="402" spans="1:1">
      <c r="A402" s="3"/>
    </row>
    <row r="403" spans="1:1">
      <c r="A403" s="3"/>
    </row>
    <row r="404" spans="1:1">
      <c r="A404" s="3"/>
    </row>
    <row r="405" spans="1:1">
      <c r="A405" s="3"/>
    </row>
    <row r="406" spans="1:1">
      <c r="A406" s="3"/>
    </row>
    <row r="407" spans="1:1">
      <c r="A407" s="3"/>
    </row>
    <row r="408" spans="1:1">
      <c r="A408" s="3"/>
    </row>
    <row r="409" spans="1:1">
      <c r="A409" s="3"/>
    </row>
    <row r="410" spans="1:1">
      <c r="A410" s="3"/>
    </row>
    <row r="411" spans="1:1">
      <c r="A411" s="3"/>
    </row>
    <row r="412" spans="1:1">
      <c r="A412" s="3"/>
    </row>
    <row r="413" spans="1:1">
      <c r="A413" s="3"/>
    </row>
    <row r="414" spans="1:1">
      <c r="A414" s="3"/>
    </row>
    <row r="415" spans="1:1">
      <c r="A415" s="3"/>
    </row>
    <row r="416" spans="1:1">
      <c r="A416" s="3"/>
    </row>
    <row r="417" spans="1:1">
      <c r="A417" s="3"/>
    </row>
    <row r="418" spans="1:1">
      <c r="A418" s="3"/>
    </row>
    <row r="419" spans="1:1">
      <c r="A419" s="3"/>
    </row>
    <row r="420" spans="1:1">
      <c r="A420" s="3"/>
    </row>
    <row r="421" spans="1:1">
      <c r="A421" s="3"/>
    </row>
    <row r="422" spans="1:1">
      <c r="A422" s="3"/>
    </row>
    <row r="423" spans="1:1">
      <c r="A423" s="3"/>
    </row>
    <row r="424" spans="1:1">
      <c r="A424" s="3"/>
    </row>
    <row r="425" spans="1:1">
      <c r="A425" s="3"/>
    </row>
    <row r="426" spans="1:1">
      <c r="A426" s="3"/>
    </row>
    <row r="427" spans="1:1">
      <c r="A427" s="3"/>
    </row>
    <row r="428" spans="1:1">
      <c r="A428" s="3"/>
    </row>
    <row r="429" spans="1:1">
      <c r="A429" s="3"/>
    </row>
    <row r="430" spans="1:1">
      <c r="A430" s="3"/>
    </row>
    <row r="431" spans="1:1">
      <c r="A431" s="3"/>
    </row>
    <row r="432" spans="1:1">
      <c r="A432" s="3"/>
    </row>
    <row r="433" spans="1:1">
      <c r="A433" s="3"/>
    </row>
    <row r="434" spans="1:1">
      <c r="A434" s="3"/>
    </row>
    <row r="435" spans="1:1">
      <c r="A435" s="3"/>
    </row>
    <row r="436" spans="1:1">
      <c r="A436" s="3"/>
    </row>
    <row r="437" spans="1:1">
      <c r="A437" s="3"/>
    </row>
    <row r="438" spans="1:1">
      <c r="A438" s="3"/>
    </row>
    <row r="439" spans="1:1">
      <c r="A439" s="3"/>
    </row>
    <row r="440" spans="1:1">
      <c r="A440" s="3"/>
    </row>
    <row r="441" spans="1:1">
      <c r="A441" s="3"/>
    </row>
    <row r="442" spans="1:1">
      <c r="A442" s="3"/>
    </row>
    <row r="443" spans="1:1">
      <c r="A443" s="3"/>
    </row>
    <row r="444" spans="1:1">
      <c r="A444" s="3"/>
    </row>
    <row r="445" spans="1:1">
      <c r="A445" s="3"/>
    </row>
    <row r="446" spans="1:1">
      <c r="A446" s="3"/>
    </row>
    <row r="447" spans="1:1">
      <c r="A447" s="3"/>
    </row>
    <row r="448" spans="1:1">
      <c r="A448" s="3"/>
    </row>
    <row r="449" spans="1:1">
      <c r="A449" s="3"/>
    </row>
    <row r="450" spans="1:1">
      <c r="A450" s="3"/>
    </row>
    <row r="451" spans="1:1">
      <c r="A451" s="3"/>
    </row>
    <row r="452" spans="1:1">
      <c r="A452" s="3"/>
    </row>
    <row r="453" spans="1:1">
      <c r="A453" s="3"/>
    </row>
    <row r="454" spans="1:1">
      <c r="A454" s="3"/>
    </row>
    <row r="455" spans="1:1">
      <c r="A455" s="3"/>
    </row>
    <row r="456" spans="1:1">
      <c r="A456" s="3"/>
    </row>
    <row r="457" spans="1:1">
      <c r="A457" s="3"/>
    </row>
    <row r="458" spans="1:1">
      <c r="A458" s="3"/>
    </row>
    <row r="459" spans="1:1">
      <c r="A459" s="3"/>
    </row>
    <row r="460" spans="1:1">
      <c r="A460" s="3"/>
    </row>
    <row r="461" spans="1:1">
      <c r="A461" s="3"/>
    </row>
    <row r="462" spans="1:1">
      <c r="A462" s="3"/>
    </row>
    <row r="463" spans="1:1">
      <c r="A463" s="3"/>
    </row>
    <row r="464" spans="1:1">
      <c r="A464" s="3"/>
    </row>
    <row r="465" spans="1:1">
      <c r="A465" s="3"/>
    </row>
    <row r="466" spans="1:1">
      <c r="A466" s="3"/>
    </row>
    <row r="467" spans="1:1">
      <c r="A467" s="3"/>
    </row>
    <row r="468" spans="1:1">
      <c r="A468" s="3"/>
    </row>
    <row r="469" spans="1:1">
      <c r="A469" s="3"/>
    </row>
    <row r="470" spans="1:1">
      <c r="A470" s="3"/>
    </row>
    <row r="471" spans="1:1">
      <c r="A471" s="3"/>
    </row>
    <row r="472" spans="1:1">
      <c r="A472" s="3"/>
    </row>
    <row r="473" spans="1:1">
      <c r="A473" s="3"/>
    </row>
    <row r="474" spans="1:1">
      <c r="A474" s="3"/>
    </row>
    <row r="475" spans="1:1">
      <c r="A475" s="3"/>
    </row>
    <row r="476" spans="1:1">
      <c r="A476" s="3"/>
    </row>
    <row r="477" spans="1:1">
      <c r="A477" s="3"/>
    </row>
    <row r="478" spans="1:1">
      <c r="A478" s="3"/>
    </row>
    <row r="479" spans="1:1">
      <c r="A479" s="3"/>
    </row>
    <row r="480" spans="1:1">
      <c r="A480" s="3"/>
    </row>
    <row r="481" spans="1:1">
      <c r="A481" s="3"/>
    </row>
    <row r="482" spans="1:1">
      <c r="A482" s="3"/>
    </row>
    <row r="483" spans="1:1">
      <c r="A483" s="3"/>
    </row>
    <row r="484" spans="1:1">
      <c r="A484" s="3"/>
    </row>
    <row r="485" spans="1:1">
      <c r="A485" s="3"/>
    </row>
    <row r="486" spans="1:1">
      <c r="A486" s="3"/>
    </row>
    <row r="487" spans="1:1">
      <c r="A487" s="3"/>
    </row>
    <row r="488" spans="1:1">
      <c r="A488" s="3"/>
    </row>
    <row r="489" spans="1:1">
      <c r="A489" s="3"/>
    </row>
    <row r="490" spans="1:1">
      <c r="A490" s="3"/>
    </row>
    <row r="491" spans="1:1">
      <c r="A491" s="3"/>
    </row>
    <row r="492" spans="1:1">
      <c r="A492" s="3"/>
    </row>
    <row r="493" spans="1:1">
      <c r="A493" s="3"/>
    </row>
    <row r="494" spans="1:1">
      <c r="A494" s="3"/>
    </row>
    <row r="495" spans="1:1">
      <c r="A495" s="3"/>
    </row>
    <row r="496" spans="1:1">
      <c r="A496" s="3"/>
    </row>
    <row r="497" spans="1:1">
      <c r="A497" s="3"/>
    </row>
    <row r="498" spans="1:1">
      <c r="A498" s="3"/>
    </row>
    <row r="499" spans="1:1">
      <c r="A499" s="3"/>
    </row>
    <row r="500" spans="1:1">
      <c r="A500" s="3"/>
    </row>
    <row r="501" spans="1:1">
      <c r="A501" s="3"/>
    </row>
    <row r="502" spans="1:1">
      <c r="A502" s="3"/>
    </row>
    <row r="503" spans="1:1">
      <c r="A503" s="3"/>
    </row>
    <row r="504" spans="1:1">
      <c r="A504" s="3"/>
    </row>
    <row r="505" spans="1:1">
      <c r="A505" s="3"/>
    </row>
    <row r="506" spans="1:1">
      <c r="A506" s="3"/>
    </row>
    <row r="507" spans="1:1">
      <c r="A507" s="3"/>
    </row>
    <row r="508" spans="1:1">
      <c r="A508" s="3"/>
    </row>
    <row r="509" spans="1:1">
      <c r="A509" s="3"/>
    </row>
    <row r="510" spans="1:1">
      <c r="A510" s="3"/>
    </row>
    <row r="511" spans="1:1">
      <c r="A511" s="3"/>
    </row>
    <row r="512" spans="1:1">
      <c r="A512" s="3"/>
    </row>
    <row r="513" spans="1:1">
      <c r="A513" s="3"/>
    </row>
    <row r="514" spans="1:1">
      <c r="A514" s="3"/>
    </row>
    <row r="515" spans="1:1">
      <c r="A515" s="3"/>
    </row>
    <row r="516" spans="1:1">
      <c r="A516" s="3"/>
    </row>
    <row r="517" spans="1:1">
      <c r="A517" s="3"/>
    </row>
    <row r="518" spans="1:1">
      <c r="A518" s="3"/>
    </row>
    <row r="519" spans="1:1">
      <c r="A519" s="3"/>
    </row>
    <row r="520" spans="1:1">
      <c r="A520" s="3"/>
    </row>
    <row r="521" spans="1:1">
      <c r="A521" s="3"/>
    </row>
    <row r="522" spans="1:1">
      <c r="A522" s="3"/>
    </row>
    <row r="523" spans="1:1">
      <c r="A523" s="3"/>
    </row>
    <row r="524" spans="1:1">
      <c r="A524" s="3"/>
    </row>
    <row r="525" spans="1:1">
      <c r="A525" s="3"/>
    </row>
    <row r="526" spans="1:1">
      <c r="A526" s="3"/>
    </row>
    <row r="527" spans="1:1">
      <c r="A527" s="3"/>
    </row>
    <row r="528" spans="1:1">
      <c r="A528" s="3"/>
    </row>
    <row r="529" spans="1:1">
      <c r="A529" s="3"/>
    </row>
    <row r="530" spans="1:1">
      <c r="A530" s="3"/>
    </row>
    <row r="531" spans="1:1">
      <c r="A531" s="3"/>
    </row>
    <row r="532" spans="1:1">
      <c r="A532" s="3"/>
    </row>
    <row r="533" spans="1:1">
      <c r="A533" s="3"/>
    </row>
    <row r="534" spans="1:1">
      <c r="A534" s="3"/>
    </row>
    <row r="535" spans="1:1">
      <c r="A535" s="3"/>
    </row>
    <row r="536" spans="1:1">
      <c r="A536" s="3"/>
    </row>
    <row r="537" spans="1:1">
      <c r="A537" s="3"/>
    </row>
    <row r="538" spans="1:1">
      <c r="A538" s="3"/>
    </row>
    <row r="539" spans="1:1">
      <c r="A539" s="3"/>
    </row>
    <row r="540" spans="1:1">
      <c r="A540" s="3"/>
    </row>
    <row r="541" spans="1:1">
      <c r="A541" s="3"/>
    </row>
    <row r="542" spans="1:1">
      <c r="A542" s="3"/>
    </row>
    <row r="543" spans="1:1">
      <c r="A543" s="3"/>
    </row>
    <row r="544" spans="1:1">
      <c r="A544" s="3"/>
    </row>
    <row r="545" spans="1:1">
      <c r="A545" s="3"/>
    </row>
    <row r="546" spans="1:1">
      <c r="A546" s="3"/>
    </row>
    <row r="547" spans="1:1">
      <c r="A547" s="3"/>
    </row>
    <row r="548" spans="1:1">
      <c r="A548" s="3"/>
    </row>
    <row r="549" spans="1:1">
      <c r="A549" s="3"/>
    </row>
    <row r="550" spans="1:1">
      <c r="A550" s="3"/>
    </row>
    <row r="551" spans="1:1">
      <c r="A551" s="3"/>
    </row>
    <row r="552" spans="1:1">
      <c r="A552" s="3"/>
    </row>
    <row r="553" spans="1:1">
      <c r="A553" s="3"/>
    </row>
    <row r="554" spans="1:1">
      <c r="A554" s="3"/>
    </row>
    <row r="555" spans="1:1">
      <c r="A555" s="3"/>
    </row>
    <row r="556" spans="1:1">
      <c r="A556" s="3"/>
    </row>
    <row r="557" spans="1:1">
      <c r="A557" s="3"/>
    </row>
    <row r="558" spans="1:1">
      <c r="A558" s="3"/>
    </row>
    <row r="559" spans="1:1">
      <c r="A559" s="3"/>
    </row>
    <row r="560" spans="1:1">
      <c r="A560" s="3"/>
    </row>
    <row r="561" spans="1:1">
      <c r="A561" s="3"/>
    </row>
    <row r="562" spans="1:1">
      <c r="A562" s="3"/>
    </row>
    <row r="563" spans="1:1">
      <c r="A563" s="3"/>
    </row>
    <row r="564" spans="1:1">
      <c r="A564" s="3"/>
    </row>
    <row r="565" spans="1:1">
      <c r="A565" s="3"/>
    </row>
    <row r="566" spans="1:1">
      <c r="A566" s="3"/>
    </row>
    <row r="567" spans="1:1">
      <c r="A567" s="3"/>
    </row>
    <row r="568" spans="1:1">
      <c r="A568" s="3"/>
    </row>
    <row r="569" spans="1:1">
      <c r="A569" s="3"/>
    </row>
    <row r="570" spans="1:1">
      <c r="A570" s="3"/>
    </row>
    <row r="571" spans="1:1">
      <c r="A571" s="3"/>
    </row>
    <row r="572" spans="1:1">
      <c r="A572" s="3"/>
    </row>
    <row r="573" spans="1:1">
      <c r="A573" s="3"/>
    </row>
    <row r="574" spans="1:1">
      <c r="A574" s="3"/>
    </row>
    <row r="575" spans="1:1">
      <c r="A575" s="3"/>
    </row>
    <row r="576" spans="1:1">
      <c r="A576" s="3"/>
    </row>
    <row r="577" spans="1:1">
      <c r="A577" s="3"/>
    </row>
    <row r="578" spans="1:1">
      <c r="A578" s="3"/>
    </row>
    <row r="579" spans="1:1">
      <c r="A579" s="3"/>
    </row>
    <row r="580" spans="1:1">
      <c r="A580" s="3"/>
    </row>
    <row r="581" spans="1:1">
      <c r="A581" s="3"/>
    </row>
    <row r="582" spans="1:1">
      <c r="A582" s="3"/>
    </row>
    <row r="583" spans="1:1">
      <c r="A583" s="3"/>
    </row>
    <row r="584" spans="1:1">
      <c r="A584" s="3"/>
    </row>
    <row r="585" spans="1:1">
      <c r="A585" s="3"/>
    </row>
    <row r="586" spans="1:1">
      <c r="A586" s="3"/>
    </row>
    <row r="587" spans="1:1">
      <c r="A587" s="3"/>
    </row>
    <row r="588" spans="1:1">
      <c r="A588" s="3"/>
    </row>
    <row r="589" spans="1:1">
      <c r="A589" s="3"/>
    </row>
    <row r="590" spans="1:1">
      <c r="A590" s="3"/>
    </row>
    <row r="591" spans="1:1">
      <c r="A591" s="3"/>
    </row>
    <row r="592" spans="1:1">
      <c r="A592" s="3"/>
    </row>
    <row r="593" spans="1:1">
      <c r="A593" s="3"/>
    </row>
    <row r="594" spans="1:1">
      <c r="A594" s="3"/>
    </row>
    <row r="595" spans="1:1">
      <c r="A595" s="3"/>
    </row>
    <row r="596" spans="1:1">
      <c r="A596" s="3"/>
    </row>
    <row r="597" spans="1:1">
      <c r="A597" s="3"/>
    </row>
    <row r="598" spans="1:1">
      <c r="A598" s="3"/>
    </row>
    <row r="599" spans="1:1">
      <c r="A599" s="3"/>
    </row>
    <row r="600" spans="1:1">
      <c r="A600" s="3"/>
    </row>
    <row r="601" spans="1:1">
      <c r="A601" s="3"/>
    </row>
    <row r="602" spans="1:1">
      <c r="A602" s="3"/>
    </row>
    <row r="603" spans="1:1">
      <c r="A603" s="3"/>
    </row>
    <row r="604" spans="1:1">
      <c r="A604" s="3"/>
    </row>
    <row r="605" spans="1:1">
      <c r="A605" s="3"/>
    </row>
    <row r="606" spans="1:1">
      <c r="A606" s="3"/>
    </row>
    <row r="607" spans="1:1">
      <c r="A607" s="3"/>
    </row>
    <row r="608" spans="1:1">
      <c r="A608" s="54"/>
    </row>
    <row r="609" spans="1:1">
      <c r="A609" s="3"/>
    </row>
    <row r="610" spans="1:1">
      <c r="A610" s="3"/>
    </row>
    <row r="611" spans="1:1">
      <c r="A611" s="3"/>
    </row>
    <row r="612" spans="1:1">
      <c r="A612" s="3"/>
    </row>
    <row r="613" spans="1:1">
      <c r="A613" s="3"/>
    </row>
    <row r="614" spans="1:1">
      <c r="A614" s="3"/>
    </row>
    <row r="615" spans="1:1">
      <c r="A615" s="3"/>
    </row>
    <row r="616" spans="1:1">
      <c r="A616" s="3"/>
    </row>
    <row r="617" spans="1:1">
      <c r="A617" s="3"/>
    </row>
    <row r="618" spans="1:1">
      <c r="A618" s="3"/>
    </row>
    <row r="619" spans="1:1">
      <c r="A619" s="3"/>
    </row>
    <row r="620" spans="1:1">
      <c r="A620" s="3"/>
    </row>
    <row r="621" spans="1:1">
      <c r="A621" s="3"/>
    </row>
    <row r="622" spans="1:1">
      <c r="A622" s="3"/>
    </row>
    <row r="623" spans="1:1">
      <c r="A623" s="3"/>
    </row>
    <row r="624" spans="1:1">
      <c r="A624" s="3"/>
    </row>
    <row r="625" spans="1:1">
      <c r="A625" s="3"/>
    </row>
    <row r="626" spans="1:1">
      <c r="A626" s="3"/>
    </row>
    <row r="627" spans="1:1">
      <c r="A627" s="3"/>
    </row>
    <row r="628" spans="1:1">
      <c r="A628" s="3"/>
    </row>
    <row r="629" spans="1:1">
      <c r="A629" s="3"/>
    </row>
    <row r="630" spans="1:1">
      <c r="A630" s="3"/>
    </row>
    <row r="631" spans="1:1">
      <c r="A631" s="3"/>
    </row>
    <row r="632" spans="1:1">
      <c r="A632" s="3"/>
    </row>
    <row r="633" spans="1:1">
      <c r="A633" s="3"/>
    </row>
    <row r="634" spans="1:1">
      <c r="A634" s="3"/>
    </row>
    <row r="635" spans="1:1">
      <c r="A635" s="3"/>
    </row>
    <row r="636" spans="1:1">
      <c r="A636" s="3"/>
    </row>
    <row r="637" spans="1:1">
      <c r="A637" s="3"/>
    </row>
    <row r="638" spans="1:1">
      <c r="A638" s="3"/>
    </row>
    <row r="639" spans="1:1">
      <c r="A639" s="3"/>
    </row>
    <row r="640" spans="1:1">
      <c r="A640" s="3"/>
    </row>
    <row r="641" spans="1:1">
      <c r="A641" s="3"/>
    </row>
    <row r="642" spans="1:1">
      <c r="A642" s="3"/>
    </row>
    <row r="643" spans="1:1">
      <c r="A643" s="3"/>
    </row>
    <row r="644" spans="1:1">
      <c r="A644" s="3"/>
    </row>
    <row r="645" spans="1:1">
      <c r="A645" s="3"/>
    </row>
    <row r="646" spans="1:1">
      <c r="A646" s="3"/>
    </row>
    <row r="647" spans="1:1">
      <c r="A647" s="3"/>
    </row>
    <row r="648" spans="1:1">
      <c r="A648" s="3"/>
    </row>
    <row r="649" spans="1:1">
      <c r="A649" s="3"/>
    </row>
    <row r="650" spans="1:1">
      <c r="A650" s="3"/>
    </row>
    <row r="651" spans="1:1">
      <c r="A651" s="3"/>
    </row>
    <row r="652" spans="1:1">
      <c r="A652" s="3"/>
    </row>
    <row r="653" spans="1:1">
      <c r="A653" s="3"/>
    </row>
    <row r="654" spans="1:1">
      <c r="A654" s="3"/>
    </row>
    <row r="655" spans="1:1">
      <c r="A655" s="3"/>
    </row>
    <row r="656" spans="1:1">
      <c r="A656" s="3"/>
    </row>
    <row r="657" spans="1:1">
      <c r="A657" s="3"/>
    </row>
    <row r="658" spans="1:1">
      <c r="A658" s="3"/>
    </row>
    <row r="659" spans="1:1">
      <c r="A659" s="3"/>
    </row>
    <row r="660" spans="1:1">
      <c r="A660" s="3"/>
    </row>
    <row r="661" spans="1:1">
      <c r="A661" s="3"/>
    </row>
    <row r="662" spans="1:1">
      <c r="A662" s="3"/>
    </row>
    <row r="663" spans="1:1">
      <c r="A663" s="3"/>
    </row>
    <row r="664" spans="1:1">
      <c r="A664" s="3"/>
    </row>
    <row r="665" spans="1:1">
      <c r="A665" s="3"/>
    </row>
    <row r="666" spans="1:1">
      <c r="A666" s="3"/>
    </row>
    <row r="667" spans="1:1">
      <c r="A667" s="3"/>
    </row>
    <row r="668" spans="1:1">
      <c r="A668" s="3"/>
    </row>
    <row r="669" spans="1:1">
      <c r="A669" s="3"/>
    </row>
    <row r="670" spans="1:1">
      <c r="A670" s="3"/>
    </row>
    <row r="671" spans="1:1">
      <c r="A671" s="3"/>
    </row>
    <row r="672" spans="1:1">
      <c r="A672" s="3"/>
    </row>
    <row r="673" spans="1:1">
      <c r="A673" s="3"/>
    </row>
    <row r="674" spans="1:1">
      <c r="A674" s="3"/>
    </row>
    <row r="675" spans="1:1">
      <c r="A675" s="3"/>
    </row>
    <row r="676" spans="1:1">
      <c r="A676" s="3"/>
    </row>
    <row r="677" spans="1:1">
      <c r="A677" s="3"/>
    </row>
    <row r="678" spans="1:1">
      <c r="A678" s="3"/>
    </row>
    <row r="679" spans="1:1">
      <c r="A679" s="3"/>
    </row>
    <row r="680" spans="1:1">
      <c r="A680" s="3"/>
    </row>
    <row r="681" spans="1:1">
      <c r="A681" s="3"/>
    </row>
    <row r="682" spans="1:1">
      <c r="A682" s="3"/>
    </row>
    <row r="683" spans="1:1">
      <c r="A683" s="3"/>
    </row>
    <row r="684" spans="1:1">
      <c r="A684" s="3"/>
    </row>
    <row r="685" spans="1:1">
      <c r="A685" s="3"/>
    </row>
    <row r="686" spans="1:1">
      <c r="A686" s="3"/>
    </row>
    <row r="687" spans="1:1">
      <c r="A687" s="3"/>
    </row>
    <row r="688" spans="1:1">
      <c r="A688" s="3"/>
    </row>
    <row r="689" spans="1:1">
      <c r="A689" s="3"/>
    </row>
    <row r="690" spans="1:1">
      <c r="A690" s="3"/>
    </row>
    <row r="691" spans="1:1">
      <c r="A691" s="3"/>
    </row>
    <row r="692" spans="1:1">
      <c r="A692" s="3"/>
    </row>
    <row r="693" spans="1:1">
      <c r="A693" s="3"/>
    </row>
    <row r="694" spans="1:1">
      <c r="A694" s="3"/>
    </row>
    <row r="695" spans="1:1">
      <c r="A695" s="3"/>
    </row>
    <row r="696" spans="1:1">
      <c r="A696" s="3"/>
    </row>
    <row r="697" spans="1:1">
      <c r="A697" s="3"/>
    </row>
    <row r="698" spans="1:1">
      <c r="A698" s="3"/>
    </row>
    <row r="699" spans="1:1">
      <c r="A699" s="3"/>
    </row>
    <row r="700" spans="1:1">
      <c r="A700" s="3"/>
    </row>
    <row r="701" spans="1:1">
      <c r="A701" s="3"/>
    </row>
    <row r="702" spans="1:1">
      <c r="A702" s="3"/>
    </row>
    <row r="703" spans="1:1">
      <c r="A703" s="3"/>
    </row>
    <row r="704" spans="1:1">
      <c r="A704" s="3"/>
    </row>
    <row r="705" spans="1:1">
      <c r="A705" s="3"/>
    </row>
    <row r="706" spans="1:1">
      <c r="A706" s="3"/>
    </row>
    <row r="707" spans="1:1">
      <c r="A707" s="3"/>
    </row>
    <row r="708" spans="1:1">
      <c r="A708" s="3"/>
    </row>
    <row r="709" spans="1:1">
      <c r="A709" s="3"/>
    </row>
    <row r="710" spans="1:1">
      <c r="A710" s="3"/>
    </row>
    <row r="711" spans="1:1">
      <c r="A711" s="3"/>
    </row>
    <row r="712" spans="1:1">
      <c r="A712" s="3"/>
    </row>
    <row r="713" spans="1:1">
      <c r="A713" s="3"/>
    </row>
    <row r="714" spans="1:1">
      <c r="A714" s="3"/>
    </row>
    <row r="715" spans="1:1">
      <c r="A715" s="3"/>
    </row>
    <row r="716" spans="1:1">
      <c r="A716" s="3"/>
    </row>
    <row r="717" spans="1:1">
      <c r="A717" s="3"/>
    </row>
    <row r="718" spans="1:1">
      <c r="A718" s="3"/>
    </row>
    <row r="719" spans="1:1">
      <c r="A719" s="3"/>
    </row>
    <row r="720" spans="1:1">
      <c r="A720" s="3"/>
    </row>
    <row r="721" spans="1:1">
      <c r="A721" s="3"/>
    </row>
    <row r="722" spans="1:1">
      <c r="A722" s="3"/>
    </row>
    <row r="723" spans="1:1">
      <c r="A723" s="3"/>
    </row>
    <row r="724" spans="1:1">
      <c r="A724" s="3"/>
    </row>
    <row r="725" spans="1:1">
      <c r="A725" s="3"/>
    </row>
    <row r="726" spans="1:1">
      <c r="A726" s="3"/>
    </row>
    <row r="727" spans="1:1">
      <c r="A727" s="3"/>
    </row>
    <row r="728" spans="1:1">
      <c r="A728" s="3"/>
    </row>
    <row r="729" spans="1:1">
      <c r="A729" s="3"/>
    </row>
    <row r="730" spans="1:1">
      <c r="A730" s="3"/>
    </row>
    <row r="731" spans="1:1">
      <c r="A731" s="3"/>
    </row>
    <row r="732" spans="1:1">
      <c r="A732" s="3"/>
    </row>
    <row r="733" spans="1:1">
      <c r="A733" s="3"/>
    </row>
    <row r="734" spans="1:1">
      <c r="A734" s="3"/>
    </row>
    <row r="735" spans="1:1">
      <c r="A735" s="3"/>
    </row>
    <row r="736" spans="1:1">
      <c r="A736" s="3"/>
    </row>
    <row r="737" spans="1:1">
      <c r="A737" s="3"/>
    </row>
    <row r="738" spans="1:1">
      <c r="A738" s="3"/>
    </row>
    <row r="739" spans="1:1">
      <c r="A739" s="3"/>
    </row>
    <row r="740" spans="1:1">
      <c r="A740" s="3"/>
    </row>
    <row r="741" spans="1:1">
      <c r="A741" s="3"/>
    </row>
    <row r="742" spans="1:1">
      <c r="A742" s="3"/>
    </row>
    <row r="743" spans="1:1">
      <c r="A743" s="3"/>
    </row>
    <row r="744" spans="1:1">
      <c r="A744" s="3"/>
    </row>
    <row r="745" spans="1:1">
      <c r="A745" s="3"/>
    </row>
    <row r="746" spans="1:1">
      <c r="A746" s="3"/>
    </row>
    <row r="747" spans="1:1">
      <c r="A747" s="3"/>
    </row>
    <row r="748" spans="1:1">
      <c r="A748" s="3"/>
    </row>
    <row r="749" spans="1:1">
      <c r="A749" s="3"/>
    </row>
    <row r="750" spans="1:1">
      <c r="A750" s="3"/>
    </row>
    <row r="751" spans="1:1">
      <c r="A751" s="3"/>
    </row>
    <row r="752" spans="1:1">
      <c r="A752" s="3"/>
    </row>
    <row r="753" spans="1:1">
      <c r="A753" s="3"/>
    </row>
    <row r="754" spans="1:1">
      <c r="A754" s="3"/>
    </row>
    <row r="755" spans="1:1">
      <c r="A755" s="3"/>
    </row>
    <row r="756" spans="1:1">
      <c r="A756" s="3"/>
    </row>
    <row r="757" spans="1:1">
      <c r="A757" s="3"/>
    </row>
    <row r="758" spans="1:1">
      <c r="A758" s="3"/>
    </row>
    <row r="759" spans="1:1">
      <c r="A759" s="3"/>
    </row>
    <row r="760" spans="1:1">
      <c r="A760" s="3"/>
    </row>
    <row r="761" spans="1:1">
      <c r="A761" s="3"/>
    </row>
    <row r="762" spans="1:1">
      <c r="A762" s="3"/>
    </row>
    <row r="763" spans="1:1">
      <c r="A763" s="3"/>
    </row>
    <row r="764" spans="1:1">
      <c r="A764" s="3"/>
    </row>
    <row r="765" spans="1:1">
      <c r="A765" s="3"/>
    </row>
    <row r="766" spans="1:1">
      <c r="A766" s="3"/>
    </row>
    <row r="767" spans="1:1">
      <c r="A767" s="3"/>
    </row>
    <row r="768" spans="1:1">
      <c r="A768" s="3"/>
    </row>
    <row r="769" spans="1:1">
      <c r="A769" s="3"/>
    </row>
    <row r="770" spans="1:1">
      <c r="A770" s="3"/>
    </row>
    <row r="771" spans="1:1">
      <c r="A771" s="3"/>
    </row>
    <row r="772" spans="1:1">
      <c r="A772" s="3"/>
    </row>
    <row r="773" spans="1:1">
      <c r="A773" s="3"/>
    </row>
    <row r="774" spans="1:1">
      <c r="A774" s="3"/>
    </row>
    <row r="775" spans="1:1">
      <c r="A775" s="3"/>
    </row>
    <row r="776" spans="1:1">
      <c r="A776" s="3"/>
    </row>
    <row r="777" spans="1:1">
      <c r="A777" s="3"/>
    </row>
    <row r="778" spans="1:1">
      <c r="A778" s="3"/>
    </row>
    <row r="779" spans="1:1">
      <c r="A779" s="3"/>
    </row>
    <row r="780" spans="1:1">
      <c r="A780" s="3"/>
    </row>
    <row r="781" spans="1:1">
      <c r="A781" s="3"/>
    </row>
    <row r="782" spans="1:1">
      <c r="A782" s="3"/>
    </row>
    <row r="783" spans="1:1">
      <c r="A783" s="3"/>
    </row>
    <row r="784" spans="1:1">
      <c r="A784" s="3"/>
    </row>
    <row r="785" spans="1:1">
      <c r="A785" s="3"/>
    </row>
    <row r="786" spans="1:1">
      <c r="A786" s="3"/>
    </row>
    <row r="787" spans="1:1">
      <c r="A787" s="3"/>
    </row>
    <row r="788" spans="1:1">
      <c r="A788" s="3"/>
    </row>
    <row r="789" spans="1:1">
      <c r="A789" s="3"/>
    </row>
    <row r="790" spans="1:1">
      <c r="A790" s="3"/>
    </row>
    <row r="791" spans="1:1">
      <c r="A791" s="3"/>
    </row>
    <row r="792" spans="1:1">
      <c r="A792" s="3"/>
    </row>
    <row r="793" spans="1:1">
      <c r="A793" s="3"/>
    </row>
    <row r="794" spans="1:1">
      <c r="A794" s="3"/>
    </row>
    <row r="795" spans="1:1">
      <c r="A795" s="3"/>
    </row>
    <row r="796" spans="1:1">
      <c r="A796" s="3"/>
    </row>
    <row r="797" spans="1:1">
      <c r="A797" s="3"/>
    </row>
    <row r="798" spans="1:1">
      <c r="A798" s="3"/>
    </row>
    <row r="799" spans="1:1">
      <c r="A799" s="3"/>
    </row>
    <row r="800" spans="1:1">
      <c r="A800" s="3"/>
    </row>
    <row r="801" spans="1:1">
      <c r="A801" s="3"/>
    </row>
    <row r="802" spans="1:1">
      <c r="A802" s="3"/>
    </row>
    <row r="803" spans="1:1">
      <c r="A803" s="3"/>
    </row>
    <row r="804" spans="1:1">
      <c r="A804" s="3"/>
    </row>
    <row r="805" spans="1:1">
      <c r="A805" s="3"/>
    </row>
    <row r="806" spans="1:1">
      <c r="A806" s="3"/>
    </row>
    <row r="807" spans="1:1">
      <c r="A807" s="3"/>
    </row>
    <row r="808" spans="1:1">
      <c r="A808" s="3"/>
    </row>
    <row r="809" spans="1:1">
      <c r="A809" s="3"/>
    </row>
    <row r="810" spans="1:1">
      <c r="A810" s="3"/>
    </row>
    <row r="811" spans="1:1">
      <c r="A811" s="3"/>
    </row>
    <row r="812" spans="1:1">
      <c r="A812" s="3"/>
    </row>
    <row r="813" spans="1:1">
      <c r="A813" s="3"/>
    </row>
    <row r="814" spans="1:1">
      <c r="A814" s="3"/>
    </row>
    <row r="815" spans="1:1">
      <c r="A815" s="3"/>
    </row>
    <row r="816" spans="1:1">
      <c r="A816" s="3"/>
    </row>
    <row r="817" spans="1:1">
      <c r="A817" s="3"/>
    </row>
    <row r="818" spans="1:1">
      <c r="A818" s="3"/>
    </row>
    <row r="819" spans="1:1">
      <c r="A819" s="3"/>
    </row>
    <row r="820" spans="1:1">
      <c r="A820" s="3"/>
    </row>
    <row r="821" spans="1:1">
      <c r="A821" s="3"/>
    </row>
    <row r="822" spans="1:1">
      <c r="A822" s="3"/>
    </row>
    <row r="823" spans="1:1">
      <c r="A823" s="3"/>
    </row>
    <row r="824" spans="1:1">
      <c r="A824" s="3"/>
    </row>
    <row r="825" spans="1:1">
      <c r="A825" s="3"/>
    </row>
    <row r="826" spans="1:1">
      <c r="A826" s="3"/>
    </row>
    <row r="827" spans="1:1">
      <c r="A827" s="3"/>
    </row>
    <row r="828" spans="1:1">
      <c r="A828" s="3"/>
    </row>
    <row r="829" spans="1:1">
      <c r="A829" s="3"/>
    </row>
    <row r="830" spans="1:1">
      <c r="A830" s="3"/>
    </row>
    <row r="831" spans="1:1">
      <c r="A831" s="3"/>
    </row>
    <row r="832" spans="1:1">
      <c r="A832" s="3"/>
    </row>
    <row r="833" spans="1:1">
      <c r="A833" s="3"/>
    </row>
    <row r="834" spans="1:1">
      <c r="A834" s="3"/>
    </row>
    <row r="835" spans="1:1">
      <c r="A835" s="3"/>
    </row>
    <row r="836" spans="1:1">
      <c r="A836" s="3"/>
    </row>
    <row r="837" spans="1:1">
      <c r="A837" s="3"/>
    </row>
    <row r="838" spans="1:1">
      <c r="A838" s="3"/>
    </row>
    <row r="839" spans="1:1">
      <c r="A839" s="3"/>
    </row>
    <row r="840" spans="1:1">
      <c r="A840" s="3"/>
    </row>
    <row r="841" spans="1:1">
      <c r="A841" s="3"/>
    </row>
    <row r="842" spans="1:1">
      <c r="A842" s="3"/>
    </row>
    <row r="843" spans="1:1">
      <c r="A843" s="3"/>
    </row>
    <row r="844" spans="1:1">
      <c r="A844" s="3"/>
    </row>
    <row r="845" spans="1:1">
      <c r="A845" s="3"/>
    </row>
    <row r="846" spans="1:1">
      <c r="A846" s="3"/>
    </row>
    <row r="847" spans="1:1">
      <c r="A847" s="3"/>
    </row>
    <row r="848" spans="1:1">
      <c r="A848" s="3"/>
    </row>
    <row r="849" spans="1:1">
      <c r="A849" s="3"/>
    </row>
    <row r="850" spans="1:1">
      <c r="A850" s="3"/>
    </row>
    <row r="851" spans="1:1">
      <c r="A851" s="3"/>
    </row>
    <row r="852" spans="1:1">
      <c r="A852" s="3"/>
    </row>
    <row r="853" spans="1:1">
      <c r="A853" s="3"/>
    </row>
    <row r="854" spans="1:1">
      <c r="A854" s="3"/>
    </row>
    <row r="855" spans="1:1">
      <c r="A855" s="3"/>
    </row>
    <row r="856" spans="1:1">
      <c r="A856" s="3"/>
    </row>
    <row r="857" spans="1:1">
      <c r="A857" s="3"/>
    </row>
    <row r="858" spans="1:1">
      <c r="A858" s="3"/>
    </row>
    <row r="859" spans="1:1">
      <c r="A859" s="3"/>
    </row>
    <row r="860" spans="1:1">
      <c r="A860" s="3"/>
    </row>
    <row r="861" spans="1:1">
      <c r="A861" s="3"/>
    </row>
    <row r="862" spans="1:1">
      <c r="A862" s="3"/>
    </row>
    <row r="863" spans="1:1">
      <c r="A863" s="3"/>
    </row>
    <row r="864" spans="1:1">
      <c r="A864" s="3"/>
    </row>
    <row r="865" spans="1:1">
      <c r="A865" s="3"/>
    </row>
    <row r="866" spans="1:1">
      <c r="A866" s="3"/>
    </row>
    <row r="867" spans="1:1">
      <c r="A867" s="3"/>
    </row>
    <row r="868" spans="1:1">
      <c r="A868" s="3"/>
    </row>
    <row r="869" spans="1:1">
      <c r="A869" s="3"/>
    </row>
    <row r="870" spans="1:1">
      <c r="A870" s="3"/>
    </row>
    <row r="871" spans="1:1">
      <c r="A871" s="3"/>
    </row>
    <row r="872" spans="1:1">
      <c r="A872" s="3"/>
    </row>
    <row r="873" spans="1:1">
      <c r="A873" s="3"/>
    </row>
    <row r="874" spans="1:1">
      <c r="A874" s="3"/>
    </row>
    <row r="875" spans="1:1">
      <c r="A875" s="3"/>
    </row>
    <row r="876" spans="1:1">
      <c r="A876" s="3"/>
    </row>
    <row r="877" spans="1:1">
      <c r="A877" s="3"/>
    </row>
    <row r="878" spans="1:1">
      <c r="A878" s="3"/>
    </row>
    <row r="879" spans="1:1">
      <c r="A879" s="3"/>
    </row>
    <row r="880" spans="1:1">
      <c r="A880" s="3"/>
    </row>
    <row r="881" spans="1:1">
      <c r="A881" s="3"/>
    </row>
    <row r="882" spans="1:1">
      <c r="A882" s="3"/>
    </row>
    <row r="883" spans="1:1">
      <c r="A883" s="3"/>
    </row>
    <row r="884" spans="1:1">
      <c r="A884" s="3"/>
    </row>
    <row r="885" spans="1:1">
      <c r="A885" s="3"/>
    </row>
    <row r="886" spans="1:1">
      <c r="A886" s="3"/>
    </row>
    <row r="887" spans="1:1">
      <c r="A887" s="3"/>
    </row>
    <row r="888" spans="1:1">
      <c r="A888" s="3"/>
    </row>
    <row r="889" spans="1:1">
      <c r="A889" s="3"/>
    </row>
    <row r="890" spans="1:1">
      <c r="A890" s="3"/>
    </row>
    <row r="891" spans="1:1">
      <c r="A891" s="3"/>
    </row>
    <row r="892" spans="1:1">
      <c r="A892" s="3"/>
    </row>
    <row r="893" spans="1:1">
      <c r="A893" s="3"/>
    </row>
    <row r="894" spans="1:1">
      <c r="A894" s="3"/>
    </row>
    <row r="895" spans="1:1">
      <c r="A895" s="3"/>
    </row>
    <row r="896" spans="1:1">
      <c r="A896" s="3"/>
    </row>
    <row r="897" spans="1:1">
      <c r="A897" s="3"/>
    </row>
    <row r="898" spans="1:1">
      <c r="A898" s="3"/>
    </row>
    <row r="899" spans="1:1">
      <c r="A899" s="3"/>
    </row>
    <row r="900" spans="1:1">
      <c r="A900" s="3"/>
    </row>
    <row r="901" spans="1:1">
      <c r="A901" s="3"/>
    </row>
    <row r="902" spans="1:1">
      <c r="A902" s="3"/>
    </row>
    <row r="903" spans="1:1">
      <c r="A903" s="3"/>
    </row>
    <row r="904" spans="1:1">
      <c r="A904" s="3"/>
    </row>
    <row r="905" spans="1:1">
      <c r="A905" s="3"/>
    </row>
    <row r="906" spans="1:1">
      <c r="A906" s="3"/>
    </row>
    <row r="907" spans="1:1">
      <c r="A907" s="3"/>
    </row>
    <row r="908" spans="1:1">
      <c r="A908" s="3"/>
    </row>
    <row r="909" spans="1:1">
      <c r="A909" s="3"/>
    </row>
    <row r="910" spans="1:1">
      <c r="A910" s="3"/>
    </row>
    <row r="911" spans="1:1">
      <c r="A911" s="3"/>
    </row>
    <row r="912" spans="1:1">
      <c r="A912" s="3"/>
    </row>
    <row r="913" spans="1:1">
      <c r="A913" s="3"/>
    </row>
    <row r="914" spans="1:1">
      <c r="A914" s="3"/>
    </row>
    <row r="915" spans="1:1">
      <c r="A915" s="3"/>
    </row>
    <row r="916" spans="1:1">
      <c r="A916" s="3"/>
    </row>
    <row r="917" spans="1:1">
      <c r="A917" s="3"/>
    </row>
    <row r="918" spans="1:1">
      <c r="A918" s="3"/>
    </row>
    <row r="919" spans="1:1">
      <c r="A919" s="3"/>
    </row>
    <row r="920" spans="1:1">
      <c r="A920" s="3"/>
    </row>
    <row r="921" spans="1:1">
      <c r="A921" s="3"/>
    </row>
    <row r="922" spans="1:1">
      <c r="A922" s="3"/>
    </row>
    <row r="923" spans="1:1">
      <c r="A923" s="3"/>
    </row>
    <row r="924" spans="1:1">
      <c r="A924" s="3"/>
    </row>
    <row r="925" spans="1:1">
      <c r="A925" s="3"/>
    </row>
    <row r="926" spans="1:1">
      <c r="A926" s="3"/>
    </row>
    <row r="927" spans="1:1">
      <c r="A927" s="3"/>
    </row>
    <row r="928" spans="1:1">
      <c r="A928" s="3"/>
    </row>
    <row r="929" spans="1:1">
      <c r="A929" s="3"/>
    </row>
    <row r="930" spans="1:1">
      <c r="A930" s="3"/>
    </row>
    <row r="931" spans="1:1">
      <c r="A931" s="3"/>
    </row>
    <row r="932" spans="1:1">
      <c r="A932" s="3"/>
    </row>
    <row r="933" spans="1:1">
      <c r="A933" s="3"/>
    </row>
    <row r="934" spans="1:1">
      <c r="A934" s="3"/>
    </row>
    <row r="935" spans="1:1">
      <c r="A935" s="3"/>
    </row>
    <row r="936" spans="1:1">
      <c r="A936" s="3"/>
    </row>
    <row r="937" spans="1:1">
      <c r="A937" s="3"/>
    </row>
    <row r="938" spans="1:1">
      <c r="A938" s="3"/>
    </row>
    <row r="939" spans="1:1">
      <c r="A939" s="3"/>
    </row>
    <row r="940" spans="1:1">
      <c r="A940" s="3"/>
    </row>
    <row r="941" spans="1:1">
      <c r="A941" s="3"/>
    </row>
    <row r="942" spans="1:1">
      <c r="A942" s="3"/>
    </row>
    <row r="943" spans="1:1">
      <c r="A943" s="3"/>
    </row>
    <row r="944" spans="1:1">
      <c r="A944" s="3"/>
    </row>
    <row r="945" spans="1:1">
      <c r="A945" s="3"/>
    </row>
    <row r="946" spans="1:1">
      <c r="A946" s="3"/>
    </row>
    <row r="947" spans="1:1">
      <c r="A94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9E131-BADF-4D30-AD32-38619F3F6010}">
  <sheetPr codeName="Hoja18"/>
  <dimension ref="A1:H58"/>
  <sheetViews>
    <sheetView zoomScale="70" zoomScaleNormal="70" workbookViewId="0">
      <selection activeCell="H17" sqref="A15:H17"/>
    </sheetView>
  </sheetViews>
  <sheetFormatPr baseColWidth="10" defaultColWidth="11.5546875" defaultRowHeight="14.4"/>
  <cols>
    <col min="1" max="1" width="15.5546875" bestFit="1" customWidth="1"/>
    <col min="2" max="2" width="12.109375" bestFit="1" customWidth="1"/>
    <col min="3" max="3" width="11.109375" bestFit="1" customWidth="1"/>
    <col min="5" max="5" width="12.5546875" bestFit="1" customWidth="1"/>
    <col min="6" max="6" width="11.109375" bestFit="1" customWidth="1"/>
    <col min="7" max="7" width="97.109375" bestFit="1" customWidth="1"/>
    <col min="8" max="8" width="12" bestFit="1" customWidth="1"/>
  </cols>
  <sheetData>
    <row r="1" spans="1:8">
      <c r="A1" s="15" t="s">
        <v>773</v>
      </c>
      <c r="B1" s="15" t="s">
        <v>774</v>
      </c>
      <c r="C1" s="15" t="s">
        <v>15</v>
      </c>
      <c r="D1" s="15" t="s">
        <v>87</v>
      </c>
      <c r="E1" s="15" t="s">
        <v>775</v>
      </c>
      <c r="F1" s="15" t="s">
        <v>776</v>
      </c>
      <c r="G1" s="15" t="s">
        <v>78</v>
      </c>
      <c r="H1" s="15" t="s">
        <v>763</v>
      </c>
    </row>
    <row r="2" spans="1:8">
      <c r="A2" t="s">
        <v>951</v>
      </c>
      <c r="B2" t="s">
        <v>80</v>
      </c>
      <c r="C2" t="s">
        <v>949</v>
      </c>
      <c r="E2" t="s">
        <v>936</v>
      </c>
      <c r="F2" t="s">
        <v>531</v>
      </c>
      <c r="G2" t="s">
        <v>962</v>
      </c>
      <c r="H2">
        <v>95.3292</v>
      </c>
    </row>
    <row r="3" spans="1:8">
      <c r="A3" t="s">
        <v>951</v>
      </c>
      <c r="B3" t="s">
        <v>80</v>
      </c>
      <c r="C3" t="s">
        <v>949</v>
      </c>
      <c r="E3" t="s">
        <v>936</v>
      </c>
      <c r="F3" t="s">
        <v>531</v>
      </c>
      <c r="G3" t="s">
        <v>963</v>
      </c>
      <c r="H3">
        <v>88.274299999999997</v>
      </c>
    </row>
    <row r="4" spans="1:8">
      <c r="A4" t="s">
        <v>951</v>
      </c>
      <c r="B4" t="s">
        <v>80</v>
      </c>
      <c r="C4" t="s">
        <v>949</v>
      </c>
      <c r="E4" t="s">
        <v>936</v>
      </c>
      <c r="F4" t="s">
        <v>531</v>
      </c>
      <c r="G4" t="s">
        <v>964</v>
      </c>
      <c r="H4">
        <v>88.976100000000002</v>
      </c>
    </row>
    <row r="5" spans="1:8">
      <c r="A5" t="s">
        <v>951</v>
      </c>
      <c r="B5" t="s">
        <v>80</v>
      </c>
      <c r="C5" t="s">
        <v>949</v>
      </c>
      <c r="E5" t="s">
        <v>936</v>
      </c>
      <c r="F5" t="s">
        <v>531</v>
      </c>
      <c r="G5" t="s">
        <v>965</v>
      </c>
      <c r="H5">
        <v>93.067400000000006</v>
      </c>
    </row>
    <row r="6" spans="1:8">
      <c r="A6" t="s">
        <v>951</v>
      </c>
      <c r="B6" t="s">
        <v>80</v>
      </c>
      <c r="C6" t="s">
        <v>949</v>
      </c>
      <c r="E6" t="s">
        <v>936</v>
      </c>
      <c r="F6" t="s">
        <v>531</v>
      </c>
      <c r="G6" t="s">
        <v>966</v>
      </c>
      <c r="H6">
        <v>105.947</v>
      </c>
    </row>
    <row r="7" spans="1:8">
      <c r="A7" t="s">
        <v>951</v>
      </c>
      <c r="B7" t="s">
        <v>80</v>
      </c>
      <c r="C7" t="s">
        <v>949</v>
      </c>
      <c r="E7" t="s">
        <v>953</v>
      </c>
      <c r="F7" t="s">
        <v>531</v>
      </c>
      <c r="G7" t="s">
        <v>962</v>
      </c>
      <c r="H7">
        <v>22.361999999999998</v>
      </c>
    </row>
    <row r="8" spans="1:8">
      <c r="A8" t="s">
        <v>951</v>
      </c>
      <c r="B8" t="s">
        <v>80</v>
      </c>
      <c r="C8" t="s">
        <v>949</v>
      </c>
      <c r="E8" t="s">
        <v>953</v>
      </c>
      <c r="F8" t="s">
        <v>531</v>
      </c>
      <c r="G8" t="s">
        <v>963</v>
      </c>
      <c r="H8">
        <v>21.995999999999999</v>
      </c>
    </row>
    <row r="9" spans="1:8">
      <c r="A9" t="s">
        <v>951</v>
      </c>
      <c r="B9" t="s">
        <v>80</v>
      </c>
      <c r="C9" t="s">
        <v>949</v>
      </c>
      <c r="E9" t="s">
        <v>953</v>
      </c>
      <c r="F9" t="s">
        <v>531</v>
      </c>
      <c r="G9" t="s">
        <v>964</v>
      </c>
      <c r="H9">
        <v>23.596</v>
      </c>
    </row>
    <row r="10" spans="1:8">
      <c r="A10" t="s">
        <v>951</v>
      </c>
      <c r="B10" t="s">
        <v>80</v>
      </c>
      <c r="C10" t="s">
        <v>949</v>
      </c>
      <c r="E10" t="s">
        <v>953</v>
      </c>
      <c r="F10" t="s">
        <v>531</v>
      </c>
      <c r="G10" t="s">
        <v>965</v>
      </c>
      <c r="H10">
        <v>30.039000000000001</v>
      </c>
    </row>
    <row r="11" spans="1:8">
      <c r="A11" t="s">
        <v>951</v>
      </c>
      <c r="B11" t="s">
        <v>80</v>
      </c>
      <c r="C11" t="s">
        <v>949</v>
      </c>
      <c r="E11" t="s">
        <v>953</v>
      </c>
      <c r="F11" t="s">
        <v>531</v>
      </c>
      <c r="G11" t="s">
        <v>966</v>
      </c>
      <c r="H11">
        <v>35.558999999999997</v>
      </c>
    </row>
    <row r="12" spans="1:8">
      <c r="A12" t="s">
        <v>951</v>
      </c>
      <c r="B12" t="s">
        <v>80</v>
      </c>
      <c r="C12" t="s">
        <v>949</v>
      </c>
      <c r="E12" t="s">
        <v>960</v>
      </c>
      <c r="F12" t="s">
        <v>531</v>
      </c>
      <c r="G12" t="s">
        <v>962</v>
      </c>
      <c r="H12">
        <v>161.01</v>
      </c>
    </row>
    <row r="13" spans="1:8">
      <c r="A13" t="s">
        <v>951</v>
      </c>
      <c r="B13" t="s">
        <v>80</v>
      </c>
      <c r="C13" t="s">
        <v>949</v>
      </c>
      <c r="E13" t="s">
        <v>960</v>
      </c>
      <c r="F13" t="s">
        <v>531</v>
      </c>
      <c r="G13" t="s">
        <v>963</v>
      </c>
      <c r="H13">
        <v>150.4</v>
      </c>
    </row>
    <row r="14" spans="1:8">
      <c r="A14" t="s">
        <v>951</v>
      </c>
      <c r="B14" t="s">
        <v>80</v>
      </c>
      <c r="C14" t="s">
        <v>949</v>
      </c>
      <c r="E14" t="s">
        <v>960</v>
      </c>
      <c r="F14" t="s">
        <v>531</v>
      </c>
      <c r="G14" t="s">
        <v>964</v>
      </c>
      <c r="H14">
        <v>151.97999999999999</v>
      </c>
    </row>
    <row r="15" spans="1:8">
      <c r="A15" t="s">
        <v>951</v>
      </c>
      <c r="B15" t="s">
        <v>80</v>
      </c>
      <c r="C15" t="s">
        <v>949</v>
      </c>
      <c r="E15" t="s">
        <v>960</v>
      </c>
      <c r="F15" t="s">
        <v>531</v>
      </c>
      <c r="G15" t="s">
        <v>965</v>
      </c>
      <c r="H15">
        <v>166.14</v>
      </c>
    </row>
    <row r="16" spans="1:8">
      <c r="A16" t="s">
        <v>951</v>
      </c>
      <c r="B16" t="s">
        <v>80</v>
      </c>
      <c r="C16" t="s">
        <v>949</v>
      </c>
      <c r="E16" t="s">
        <v>960</v>
      </c>
      <c r="F16" t="s">
        <v>531</v>
      </c>
      <c r="G16" t="s">
        <v>966</v>
      </c>
      <c r="H16">
        <v>188.35</v>
      </c>
    </row>
    <row r="17" spans="1:8">
      <c r="A17" t="s">
        <v>951</v>
      </c>
      <c r="B17" t="s">
        <v>88</v>
      </c>
      <c r="C17" t="s">
        <v>1004</v>
      </c>
      <c r="E17" t="s">
        <v>947</v>
      </c>
      <c r="F17" t="s">
        <v>531</v>
      </c>
      <c r="G17" t="s">
        <v>967</v>
      </c>
      <c r="H17">
        <v>0</v>
      </c>
    </row>
    <row r="18" spans="1:8">
      <c r="A18" t="s">
        <v>951</v>
      </c>
      <c r="B18" t="s">
        <v>88</v>
      </c>
      <c r="C18" t="s">
        <v>1004</v>
      </c>
      <c r="E18" t="s">
        <v>947</v>
      </c>
      <c r="F18" t="s">
        <v>531</v>
      </c>
      <c r="G18" t="s">
        <v>959</v>
      </c>
      <c r="H18">
        <v>29.999600000000001</v>
      </c>
    </row>
    <row r="19" spans="1:8">
      <c r="A19" t="s">
        <v>951</v>
      </c>
      <c r="B19" t="s">
        <v>88</v>
      </c>
      <c r="C19" t="s">
        <v>1004</v>
      </c>
      <c r="E19" t="s">
        <v>947</v>
      </c>
      <c r="F19" t="s">
        <v>531</v>
      </c>
      <c r="G19" t="s">
        <v>968</v>
      </c>
      <c r="H19">
        <v>5.3686199999999999</v>
      </c>
    </row>
    <row r="20" spans="1:8">
      <c r="A20" t="s">
        <v>951</v>
      </c>
      <c r="B20" t="s">
        <v>88</v>
      </c>
      <c r="C20" t="s">
        <v>1004</v>
      </c>
      <c r="E20" t="s">
        <v>947</v>
      </c>
      <c r="F20" t="s">
        <v>531</v>
      </c>
      <c r="G20" t="s">
        <v>969</v>
      </c>
      <c r="H20">
        <v>11.3711</v>
      </c>
    </row>
    <row r="21" spans="1:8">
      <c r="A21" t="s">
        <v>951</v>
      </c>
      <c r="B21" t="s">
        <v>88</v>
      </c>
      <c r="C21" t="s">
        <v>1004</v>
      </c>
      <c r="E21" t="s">
        <v>947</v>
      </c>
      <c r="F21" t="s">
        <v>531</v>
      </c>
      <c r="G21" t="s">
        <v>970</v>
      </c>
      <c r="H21">
        <v>0</v>
      </c>
    </row>
    <row r="22" spans="1:8">
      <c r="A22" t="s">
        <v>951</v>
      </c>
      <c r="B22" t="s">
        <v>88</v>
      </c>
      <c r="C22" t="s">
        <v>1004</v>
      </c>
      <c r="E22" t="s">
        <v>947</v>
      </c>
      <c r="F22" t="s">
        <v>531</v>
      </c>
      <c r="G22" t="s">
        <v>971</v>
      </c>
      <c r="H22">
        <v>22.549299999999999</v>
      </c>
    </row>
    <row r="23" spans="1:8">
      <c r="A23" t="s">
        <v>951</v>
      </c>
      <c r="B23" t="s">
        <v>88</v>
      </c>
      <c r="C23" t="s">
        <v>1004</v>
      </c>
      <c r="E23" t="s">
        <v>947</v>
      </c>
      <c r="F23" t="s">
        <v>531</v>
      </c>
      <c r="G23" t="s">
        <v>972</v>
      </c>
      <c r="H23">
        <v>11.2547</v>
      </c>
    </row>
    <row r="24" spans="1:8">
      <c r="A24" t="s">
        <v>951</v>
      </c>
      <c r="B24" t="s">
        <v>88</v>
      </c>
      <c r="C24" t="s">
        <v>1004</v>
      </c>
      <c r="E24" t="s">
        <v>947</v>
      </c>
      <c r="F24" t="s">
        <v>531</v>
      </c>
      <c r="G24" t="s">
        <v>973</v>
      </c>
      <c r="H24">
        <v>0</v>
      </c>
    </row>
    <row r="25" spans="1:8">
      <c r="A25" t="s">
        <v>951</v>
      </c>
      <c r="B25" t="s">
        <v>88</v>
      </c>
      <c r="C25" t="s">
        <v>1004</v>
      </c>
      <c r="E25" t="s">
        <v>947</v>
      </c>
      <c r="F25" t="s">
        <v>531</v>
      </c>
      <c r="G25" t="s">
        <v>974</v>
      </c>
      <c r="H25">
        <v>8.2143999999999995</v>
      </c>
    </row>
    <row r="26" spans="1:8">
      <c r="A26" t="s">
        <v>951</v>
      </c>
      <c r="B26" t="s">
        <v>88</v>
      </c>
      <c r="C26" t="s">
        <v>1004</v>
      </c>
      <c r="E26" t="s">
        <v>947</v>
      </c>
      <c r="F26" t="s">
        <v>531</v>
      </c>
      <c r="G26" t="s">
        <v>975</v>
      </c>
      <c r="H26">
        <v>2.84578</v>
      </c>
    </row>
    <row r="27" spans="1:8">
      <c r="A27" t="s">
        <v>951</v>
      </c>
      <c r="B27" t="s">
        <v>88</v>
      </c>
      <c r="C27" t="s">
        <v>1004</v>
      </c>
      <c r="E27" t="s">
        <v>947</v>
      </c>
      <c r="F27" t="s">
        <v>531</v>
      </c>
      <c r="G27" t="s">
        <v>976</v>
      </c>
      <c r="H27">
        <v>22.549299999999999</v>
      </c>
    </row>
    <row r="28" spans="1:8">
      <c r="A28" t="s">
        <v>951</v>
      </c>
      <c r="B28" t="s">
        <v>88</v>
      </c>
      <c r="C28" t="s">
        <v>1004</v>
      </c>
      <c r="E28" t="s">
        <v>946</v>
      </c>
      <c r="F28" t="s">
        <v>531</v>
      </c>
      <c r="G28" t="s">
        <v>967</v>
      </c>
      <c r="H28">
        <v>0</v>
      </c>
    </row>
    <row r="29" spans="1:8">
      <c r="A29" t="s">
        <v>951</v>
      </c>
      <c r="B29" t="s">
        <v>88</v>
      </c>
      <c r="C29" t="s">
        <v>1004</v>
      </c>
      <c r="E29" t="s">
        <v>946</v>
      </c>
      <c r="F29" t="s">
        <v>531</v>
      </c>
      <c r="G29" t="s">
        <v>959</v>
      </c>
      <c r="H29">
        <v>1.6482399999999999</v>
      </c>
    </row>
    <row r="30" spans="1:8">
      <c r="A30" t="s">
        <v>951</v>
      </c>
      <c r="B30" t="s">
        <v>88</v>
      </c>
      <c r="C30" t="s">
        <v>1004</v>
      </c>
      <c r="E30" t="s">
        <v>946</v>
      </c>
      <c r="F30" t="s">
        <v>531</v>
      </c>
      <c r="G30" t="s">
        <v>968</v>
      </c>
      <c r="H30">
        <v>0.30755500000000002</v>
      </c>
    </row>
    <row r="31" spans="1:8">
      <c r="A31" t="s">
        <v>951</v>
      </c>
      <c r="B31" t="s">
        <v>88</v>
      </c>
      <c r="C31" t="s">
        <v>1004</v>
      </c>
      <c r="E31" t="s">
        <v>946</v>
      </c>
      <c r="F31" t="s">
        <v>531</v>
      </c>
      <c r="G31" t="s">
        <v>969</v>
      </c>
      <c r="H31">
        <v>0.65676999999999996</v>
      </c>
    </row>
    <row r="32" spans="1:8">
      <c r="A32" t="s">
        <v>951</v>
      </c>
      <c r="B32" t="s">
        <v>88</v>
      </c>
      <c r="C32" t="s">
        <v>1004</v>
      </c>
      <c r="E32" t="s">
        <v>946</v>
      </c>
      <c r="F32" t="s">
        <v>531</v>
      </c>
      <c r="G32" t="s">
        <v>970</v>
      </c>
      <c r="H32">
        <v>0</v>
      </c>
    </row>
    <row r="33" spans="1:8">
      <c r="A33" t="s">
        <v>951</v>
      </c>
      <c r="B33" t="s">
        <v>88</v>
      </c>
      <c r="C33" t="s">
        <v>1004</v>
      </c>
      <c r="E33" t="s">
        <v>946</v>
      </c>
      <c r="F33" t="s">
        <v>531</v>
      </c>
      <c r="G33" t="s">
        <v>971</v>
      </c>
      <c r="H33">
        <v>1.30199</v>
      </c>
    </row>
    <row r="34" spans="1:8">
      <c r="A34" t="s">
        <v>951</v>
      </c>
      <c r="B34" t="s">
        <v>88</v>
      </c>
      <c r="C34" t="s">
        <v>1004</v>
      </c>
      <c r="E34" t="s">
        <v>946</v>
      </c>
      <c r="F34" t="s">
        <v>531</v>
      </c>
      <c r="G34" t="s">
        <v>972</v>
      </c>
      <c r="H34">
        <v>0.62904700000000002</v>
      </c>
    </row>
    <row r="35" spans="1:8">
      <c r="A35" t="s">
        <v>951</v>
      </c>
      <c r="B35" t="s">
        <v>88</v>
      </c>
      <c r="C35" t="s">
        <v>1004</v>
      </c>
      <c r="E35" t="s">
        <v>946</v>
      </c>
      <c r="F35" t="s">
        <v>531</v>
      </c>
      <c r="G35" t="s">
        <v>973</v>
      </c>
      <c r="H35">
        <v>0</v>
      </c>
    </row>
    <row r="36" spans="1:8">
      <c r="A36" t="s">
        <v>951</v>
      </c>
      <c r="B36" t="s">
        <v>88</v>
      </c>
      <c r="C36" t="s">
        <v>1004</v>
      </c>
      <c r="E36" t="s">
        <v>946</v>
      </c>
      <c r="F36" t="s">
        <v>531</v>
      </c>
      <c r="G36" t="s">
        <v>974</v>
      </c>
      <c r="H36">
        <v>0.472167</v>
      </c>
    </row>
    <row r="37" spans="1:8">
      <c r="A37" t="s">
        <v>951</v>
      </c>
      <c r="B37" t="s">
        <v>88</v>
      </c>
      <c r="C37" t="s">
        <v>1004</v>
      </c>
      <c r="E37" t="s">
        <v>946</v>
      </c>
      <c r="F37" t="s">
        <v>531</v>
      </c>
      <c r="G37" t="s">
        <v>975</v>
      </c>
      <c r="H37">
        <v>0.16461200000000001</v>
      </c>
    </row>
    <row r="38" spans="1:8">
      <c r="A38" t="s">
        <v>951</v>
      </c>
      <c r="B38" t="s">
        <v>88</v>
      </c>
      <c r="C38" t="s">
        <v>1004</v>
      </c>
      <c r="E38" t="s">
        <v>946</v>
      </c>
      <c r="F38" t="s">
        <v>531</v>
      </c>
      <c r="G38" t="s">
        <v>976</v>
      </c>
      <c r="H38">
        <v>1.30199</v>
      </c>
    </row>
    <row r="39" spans="1:8">
      <c r="A39" t="s">
        <v>781</v>
      </c>
      <c r="B39" t="s">
        <v>80</v>
      </c>
      <c r="C39" t="s">
        <v>937</v>
      </c>
      <c r="E39" t="s">
        <v>936</v>
      </c>
      <c r="F39" t="s">
        <v>531</v>
      </c>
      <c r="G39" t="s">
        <v>962</v>
      </c>
      <c r="H39">
        <v>606774</v>
      </c>
    </row>
    <row r="40" spans="1:8">
      <c r="A40" t="s">
        <v>781</v>
      </c>
      <c r="B40" t="s">
        <v>80</v>
      </c>
      <c r="C40" t="s">
        <v>937</v>
      </c>
      <c r="E40" t="s">
        <v>936</v>
      </c>
      <c r="F40" t="s">
        <v>531</v>
      </c>
      <c r="G40" t="s">
        <v>963</v>
      </c>
      <c r="H40">
        <v>330777</v>
      </c>
    </row>
    <row r="41" spans="1:8">
      <c r="A41" t="s">
        <v>781</v>
      </c>
      <c r="B41" t="s">
        <v>80</v>
      </c>
      <c r="C41" t="s">
        <v>937</v>
      </c>
      <c r="E41" t="s">
        <v>936</v>
      </c>
      <c r="F41" t="s">
        <v>531</v>
      </c>
      <c r="G41" t="s">
        <v>964</v>
      </c>
      <c r="H41">
        <v>362652</v>
      </c>
    </row>
    <row r="42" spans="1:8">
      <c r="A42" t="s">
        <v>781</v>
      </c>
      <c r="B42" t="s">
        <v>80</v>
      </c>
      <c r="C42" t="s">
        <v>937</v>
      </c>
      <c r="E42" t="s">
        <v>936</v>
      </c>
      <c r="F42" t="s">
        <v>531</v>
      </c>
      <c r="G42" t="s">
        <v>965</v>
      </c>
      <c r="H42">
        <v>1214750</v>
      </c>
    </row>
    <row r="43" spans="1:8">
      <c r="A43" t="s">
        <v>781</v>
      </c>
      <c r="B43" t="s">
        <v>80</v>
      </c>
      <c r="C43" t="s">
        <v>937</v>
      </c>
      <c r="E43" t="s">
        <v>936</v>
      </c>
      <c r="F43" t="s">
        <v>531</v>
      </c>
      <c r="G43" t="s">
        <v>966</v>
      </c>
      <c r="H43">
        <v>659876</v>
      </c>
    </row>
    <row r="44" spans="1:8">
      <c r="A44" t="s">
        <v>781</v>
      </c>
      <c r="B44" t="s">
        <v>80</v>
      </c>
      <c r="C44" t="s">
        <v>938</v>
      </c>
      <c r="E44" t="s">
        <v>936</v>
      </c>
      <c r="F44" t="s">
        <v>531</v>
      </c>
      <c r="G44" t="s">
        <v>962</v>
      </c>
      <c r="H44">
        <v>3974328</v>
      </c>
    </row>
    <row r="45" spans="1:8">
      <c r="A45" t="s">
        <v>781</v>
      </c>
      <c r="B45" t="s">
        <v>80</v>
      </c>
      <c r="C45" t="s">
        <v>938</v>
      </c>
      <c r="E45" t="s">
        <v>936</v>
      </c>
      <c r="F45" t="s">
        <v>531</v>
      </c>
      <c r="G45" t="s">
        <v>963</v>
      </c>
      <c r="H45">
        <v>1977428</v>
      </c>
    </row>
    <row r="46" spans="1:8">
      <c r="A46" t="s">
        <v>781</v>
      </c>
      <c r="B46" t="s">
        <v>80</v>
      </c>
      <c r="C46" t="s">
        <v>938</v>
      </c>
      <c r="E46" t="s">
        <v>936</v>
      </c>
      <c r="F46" t="s">
        <v>531</v>
      </c>
      <c r="G46" t="s">
        <v>964</v>
      </c>
      <c r="H46">
        <v>2188632</v>
      </c>
    </row>
    <row r="47" spans="1:8">
      <c r="A47" t="s">
        <v>781</v>
      </c>
      <c r="B47" t="s">
        <v>80</v>
      </c>
      <c r="C47" t="s">
        <v>938</v>
      </c>
      <c r="E47" t="s">
        <v>936</v>
      </c>
      <c r="F47" t="s">
        <v>531</v>
      </c>
      <c r="G47" t="s">
        <v>965</v>
      </c>
      <c r="H47">
        <v>7771805</v>
      </c>
    </row>
    <row r="48" spans="1:8">
      <c r="A48" t="s">
        <v>781</v>
      </c>
      <c r="B48" t="s">
        <v>80</v>
      </c>
      <c r="C48" t="s">
        <v>938</v>
      </c>
      <c r="E48" t="s">
        <v>936</v>
      </c>
      <c r="F48" t="s">
        <v>531</v>
      </c>
      <c r="G48" t="s">
        <v>966</v>
      </c>
      <c r="H48">
        <v>4813750</v>
      </c>
    </row>
    <row r="49" spans="1:8">
      <c r="A49" t="s">
        <v>781</v>
      </c>
      <c r="B49" t="s">
        <v>80</v>
      </c>
      <c r="C49" t="s">
        <v>939</v>
      </c>
      <c r="E49" t="s">
        <v>936</v>
      </c>
      <c r="F49" t="s">
        <v>531</v>
      </c>
      <c r="G49" t="s">
        <v>962</v>
      </c>
      <c r="H49">
        <v>118504</v>
      </c>
    </row>
    <row r="50" spans="1:8">
      <c r="A50" t="s">
        <v>781</v>
      </c>
      <c r="B50" t="s">
        <v>80</v>
      </c>
      <c r="C50" t="s">
        <v>939</v>
      </c>
      <c r="E50" t="s">
        <v>936</v>
      </c>
      <c r="F50" t="s">
        <v>531</v>
      </c>
      <c r="G50" t="s">
        <v>963</v>
      </c>
      <c r="H50">
        <v>63972.3</v>
      </c>
    </row>
    <row r="51" spans="1:8">
      <c r="A51" t="s">
        <v>781</v>
      </c>
      <c r="B51" t="s">
        <v>80</v>
      </c>
      <c r="C51" t="s">
        <v>939</v>
      </c>
      <c r="E51" t="s">
        <v>936</v>
      </c>
      <c r="F51" t="s">
        <v>531</v>
      </c>
      <c r="G51" t="s">
        <v>964</v>
      </c>
      <c r="H51">
        <v>70382.100000000006</v>
      </c>
    </row>
    <row r="52" spans="1:8">
      <c r="A52" t="s">
        <v>781</v>
      </c>
      <c r="B52" t="s">
        <v>80</v>
      </c>
      <c r="C52" t="s">
        <v>939</v>
      </c>
      <c r="E52" t="s">
        <v>936</v>
      </c>
      <c r="F52" t="s">
        <v>531</v>
      </c>
      <c r="G52" t="s">
        <v>965</v>
      </c>
      <c r="H52">
        <v>239120</v>
      </c>
    </row>
    <row r="53" spans="1:8">
      <c r="A53" t="s">
        <v>781</v>
      </c>
      <c r="B53" t="s">
        <v>80</v>
      </c>
      <c r="C53" t="s">
        <v>939</v>
      </c>
      <c r="E53" t="s">
        <v>936</v>
      </c>
      <c r="F53" t="s">
        <v>531</v>
      </c>
      <c r="G53" t="s">
        <v>966</v>
      </c>
      <c r="H53">
        <v>130100</v>
      </c>
    </row>
    <row r="54" spans="1:8">
      <c r="A54" t="s">
        <v>781</v>
      </c>
      <c r="B54" t="s">
        <v>80</v>
      </c>
      <c r="C54" t="s">
        <v>935</v>
      </c>
      <c r="E54" t="s">
        <v>936</v>
      </c>
      <c r="F54" t="s">
        <v>531</v>
      </c>
      <c r="G54" t="s">
        <v>962</v>
      </c>
      <c r="H54">
        <v>14044712</v>
      </c>
    </row>
    <row r="55" spans="1:8">
      <c r="A55" t="s">
        <v>781</v>
      </c>
      <c r="B55" t="s">
        <v>80</v>
      </c>
      <c r="C55" t="s">
        <v>935</v>
      </c>
      <c r="E55" t="s">
        <v>936</v>
      </c>
      <c r="F55" t="s">
        <v>531</v>
      </c>
      <c r="G55" t="s">
        <v>963</v>
      </c>
      <c r="H55">
        <v>8125036</v>
      </c>
    </row>
    <row r="56" spans="1:8">
      <c r="A56" t="s">
        <v>781</v>
      </c>
      <c r="B56" t="s">
        <v>80</v>
      </c>
      <c r="C56" t="s">
        <v>935</v>
      </c>
      <c r="E56" t="s">
        <v>936</v>
      </c>
      <c r="F56" t="s">
        <v>531</v>
      </c>
      <c r="G56" t="s">
        <v>964</v>
      </c>
      <c r="H56">
        <v>8803160</v>
      </c>
    </row>
    <row r="57" spans="1:8">
      <c r="A57" t="s">
        <v>781</v>
      </c>
      <c r="B57" t="s">
        <v>80</v>
      </c>
      <c r="C57" t="s">
        <v>935</v>
      </c>
      <c r="E57" t="s">
        <v>936</v>
      </c>
      <c r="F57" t="s">
        <v>531</v>
      </c>
      <c r="G57" t="s">
        <v>965</v>
      </c>
      <c r="H57">
        <v>27964958</v>
      </c>
    </row>
    <row r="58" spans="1:8">
      <c r="A58" t="s">
        <v>781</v>
      </c>
      <c r="B58" t="s">
        <v>80</v>
      </c>
      <c r="C58" t="s">
        <v>935</v>
      </c>
      <c r="E58" t="s">
        <v>936</v>
      </c>
      <c r="F58" t="s">
        <v>531</v>
      </c>
      <c r="G58" t="s">
        <v>966</v>
      </c>
      <c r="H58">
        <v>14121162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89A41-DEEA-4561-9843-CFF2FB97035D}">
  <sheetPr codeName="Hoja19"/>
  <dimension ref="A1:N22"/>
  <sheetViews>
    <sheetView workbookViewId="0">
      <selection activeCell="E35" sqref="E35"/>
    </sheetView>
  </sheetViews>
  <sheetFormatPr baseColWidth="10" defaultRowHeight="14.4"/>
  <cols>
    <col min="1" max="1" width="71" bestFit="1" customWidth="1"/>
    <col min="2" max="2" width="21.77734375" bestFit="1" customWidth="1"/>
    <col min="3" max="3" width="14" bestFit="1" customWidth="1"/>
    <col min="4" max="4" width="15.5546875" bestFit="1" customWidth="1"/>
    <col min="5" max="5" width="18.44140625" bestFit="1" customWidth="1"/>
    <col min="6" max="6" width="10.77734375" bestFit="1" customWidth="1"/>
    <col min="7" max="7" width="13.77734375" bestFit="1" customWidth="1"/>
    <col min="8" max="8" width="13.88671875" bestFit="1" customWidth="1"/>
    <col min="9" max="9" width="16.88671875" bestFit="1" customWidth="1"/>
    <col min="10" max="10" width="10.77734375" bestFit="1" customWidth="1"/>
    <col min="11" max="11" width="13.44140625" bestFit="1" customWidth="1"/>
    <col min="12" max="12" width="18.5546875" bestFit="1" customWidth="1"/>
    <col min="13" max="13" width="21.6640625" bestFit="1" customWidth="1"/>
    <col min="14" max="14" width="12.21875" bestFit="1" customWidth="1"/>
  </cols>
  <sheetData>
    <row r="1" spans="1:14">
      <c r="A1" s="89" t="s">
        <v>774</v>
      </c>
      <c r="B1" t="s">
        <v>1003</v>
      </c>
    </row>
    <row r="3" spans="1:14">
      <c r="A3" s="89" t="s">
        <v>794</v>
      </c>
      <c r="B3" s="89" t="s">
        <v>792</v>
      </c>
    </row>
    <row r="4" spans="1:14">
      <c r="B4" t="s">
        <v>937</v>
      </c>
      <c r="C4" t="s">
        <v>940</v>
      </c>
      <c r="D4" t="s">
        <v>938</v>
      </c>
      <c r="E4" t="s">
        <v>941</v>
      </c>
      <c r="F4" t="s">
        <v>939</v>
      </c>
      <c r="G4" t="s">
        <v>942</v>
      </c>
      <c r="H4" t="s">
        <v>949</v>
      </c>
      <c r="I4" t="s">
        <v>952</v>
      </c>
      <c r="J4" t="s">
        <v>935</v>
      </c>
      <c r="K4" t="s">
        <v>1002</v>
      </c>
      <c r="L4" t="s">
        <v>1004</v>
      </c>
      <c r="M4" t="s">
        <v>1005</v>
      </c>
      <c r="N4" t="s">
        <v>795</v>
      </c>
    </row>
    <row r="5" spans="1:14">
      <c r="A5" s="89" t="s">
        <v>793</v>
      </c>
      <c r="B5" t="s">
        <v>531</v>
      </c>
      <c r="D5" t="s">
        <v>531</v>
      </c>
      <c r="F5" t="s">
        <v>531</v>
      </c>
      <c r="H5" t="s">
        <v>531</v>
      </c>
      <c r="J5" t="s">
        <v>531</v>
      </c>
      <c r="L5" t="s">
        <v>531</v>
      </c>
    </row>
    <row r="6" spans="1:14">
      <c r="A6" s="45" t="s">
        <v>962</v>
      </c>
      <c r="B6">
        <v>606774</v>
      </c>
      <c r="C6">
        <v>606774</v>
      </c>
      <c r="D6">
        <v>3974328</v>
      </c>
      <c r="E6">
        <v>3974328</v>
      </c>
      <c r="F6">
        <v>118504</v>
      </c>
      <c r="G6">
        <v>118504</v>
      </c>
      <c r="H6">
        <v>278.70119999999997</v>
      </c>
      <c r="I6">
        <v>278.70119999999997</v>
      </c>
      <c r="J6">
        <v>14044712</v>
      </c>
      <c r="K6">
        <v>14044712</v>
      </c>
      <c r="N6">
        <v>18744596.701200001</v>
      </c>
    </row>
    <row r="7" spans="1:14">
      <c r="A7" s="45" t="s">
        <v>963</v>
      </c>
      <c r="B7">
        <v>330777</v>
      </c>
      <c r="C7">
        <v>330777</v>
      </c>
      <c r="D7">
        <v>1977428</v>
      </c>
      <c r="E7">
        <v>1977428</v>
      </c>
      <c r="F7">
        <v>63972.3</v>
      </c>
      <c r="G7">
        <v>63972.3</v>
      </c>
      <c r="H7">
        <v>260.6703</v>
      </c>
      <c r="I7">
        <v>260.6703</v>
      </c>
      <c r="J7">
        <v>8125036</v>
      </c>
      <c r="K7">
        <v>8125036</v>
      </c>
      <c r="N7">
        <v>10497473.9703</v>
      </c>
    </row>
    <row r="8" spans="1:14">
      <c r="A8" s="45" t="s">
        <v>964</v>
      </c>
      <c r="B8">
        <v>362652</v>
      </c>
      <c r="C8">
        <v>362652</v>
      </c>
      <c r="D8">
        <v>2188632</v>
      </c>
      <c r="E8">
        <v>2188632</v>
      </c>
      <c r="F8">
        <v>70382.100000000006</v>
      </c>
      <c r="G8">
        <v>70382.100000000006</v>
      </c>
      <c r="H8">
        <v>264.5521</v>
      </c>
      <c r="I8">
        <v>264.5521</v>
      </c>
      <c r="J8">
        <v>8803160</v>
      </c>
      <c r="K8">
        <v>8803160</v>
      </c>
      <c r="N8">
        <v>11425090.652100001</v>
      </c>
    </row>
    <row r="9" spans="1:14">
      <c r="A9" s="45" t="s">
        <v>965</v>
      </c>
      <c r="B9">
        <v>1214750</v>
      </c>
      <c r="C9">
        <v>1214750</v>
      </c>
      <c r="D9">
        <v>7771805</v>
      </c>
      <c r="E9">
        <v>7771805</v>
      </c>
      <c r="F9">
        <v>239120</v>
      </c>
      <c r="G9">
        <v>239120</v>
      </c>
      <c r="H9">
        <v>289.24639999999999</v>
      </c>
      <c r="I9">
        <v>289.24639999999999</v>
      </c>
      <c r="J9">
        <v>27964958</v>
      </c>
      <c r="K9">
        <v>27964958</v>
      </c>
      <c r="N9">
        <v>37190922.246399999</v>
      </c>
    </row>
    <row r="10" spans="1:14">
      <c r="A10" s="45" t="s">
        <v>966</v>
      </c>
      <c r="B10">
        <v>659876</v>
      </c>
      <c r="C10">
        <v>659876</v>
      </c>
      <c r="D10">
        <v>4813750</v>
      </c>
      <c r="E10">
        <v>4813750</v>
      </c>
      <c r="F10">
        <v>130100</v>
      </c>
      <c r="G10">
        <v>130100</v>
      </c>
      <c r="H10">
        <v>329.85599999999999</v>
      </c>
      <c r="I10">
        <v>329.85599999999999</v>
      </c>
      <c r="J10">
        <v>14121162</v>
      </c>
      <c r="K10">
        <v>14121162</v>
      </c>
      <c r="N10">
        <v>19725217.855999999</v>
      </c>
    </row>
    <row r="11" spans="1:14">
      <c r="A11" s="45" t="s">
        <v>967</v>
      </c>
      <c r="L11">
        <v>0</v>
      </c>
      <c r="M11">
        <v>0</v>
      </c>
      <c r="N11">
        <v>0</v>
      </c>
    </row>
    <row r="12" spans="1:14">
      <c r="A12" s="45" t="s">
        <v>959</v>
      </c>
      <c r="L12">
        <v>31.647840000000002</v>
      </c>
      <c r="M12">
        <v>31.647840000000002</v>
      </c>
      <c r="N12">
        <v>31.647840000000002</v>
      </c>
    </row>
    <row r="13" spans="1:14">
      <c r="A13" s="45" t="s">
        <v>968</v>
      </c>
      <c r="L13">
        <v>5.6761749999999997</v>
      </c>
      <c r="M13">
        <v>5.6761749999999997</v>
      </c>
      <c r="N13">
        <v>5.6761749999999997</v>
      </c>
    </row>
    <row r="14" spans="1:14">
      <c r="A14" s="45" t="s">
        <v>969</v>
      </c>
      <c r="L14">
        <v>12.02787</v>
      </c>
      <c r="M14">
        <v>12.02787</v>
      </c>
      <c r="N14">
        <v>12.02787</v>
      </c>
    </row>
    <row r="15" spans="1:14">
      <c r="A15" s="45" t="s">
        <v>970</v>
      </c>
      <c r="L15">
        <v>0</v>
      </c>
      <c r="M15">
        <v>0</v>
      </c>
      <c r="N15">
        <v>0</v>
      </c>
    </row>
    <row r="16" spans="1:14">
      <c r="A16" s="45" t="s">
        <v>971</v>
      </c>
      <c r="L16">
        <v>23.851289999999999</v>
      </c>
      <c r="M16">
        <v>23.851289999999999</v>
      </c>
      <c r="N16">
        <v>23.851289999999999</v>
      </c>
    </row>
    <row r="17" spans="1:14">
      <c r="A17" s="45" t="s">
        <v>972</v>
      </c>
      <c r="L17">
        <v>11.883747</v>
      </c>
      <c r="M17">
        <v>11.883747</v>
      </c>
      <c r="N17">
        <v>11.883747</v>
      </c>
    </row>
    <row r="18" spans="1:14">
      <c r="A18" s="45" t="s">
        <v>973</v>
      </c>
      <c r="L18">
        <v>0</v>
      </c>
      <c r="M18">
        <v>0</v>
      </c>
      <c r="N18">
        <v>0</v>
      </c>
    </row>
    <row r="19" spans="1:14">
      <c r="A19" s="45" t="s">
        <v>974</v>
      </c>
      <c r="L19">
        <v>8.6865670000000001</v>
      </c>
      <c r="M19">
        <v>8.6865670000000001</v>
      </c>
      <c r="N19">
        <v>8.6865670000000001</v>
      </c>
    </row>
    <row r="20" spans="1:14">
      <c r="A20" s="45" t="s">
        <v>975</v>
      </c>
      <c r="L20">
        <v>3.010392</v>
      </c>
      <c r="M20">
        <v>3.010392</v>
      </c>
      <c r="N20">
        <v>3.010392</v>
      </c>
    </row>
    <row r="21" spans="1:14">
      <c r="A21" s="45" t="s">
        <v>976</v>
      </c>
      <c r="L21">
        <v>23.851289999999999</v>
      </c>
      <c r="M21">
        <v>23.851289999999999</v>
      </c>
      <c r="N21">
        <v>23.851289999999999</v>
      </c>
    </row>
    <row r="22" spans="1:14">
      <c r="A22" s="45" t="s">
        <v>795</v>
      </c>
      <c r="B22">
        <v>3174829</v>
      </c>
      <c r="C22">
        <v>3174829</v>
      </c>
      <c r="D22">
        <v>20725943</v>
      </c>
      <c r="E22">
        <v>20725943</v>
      </c>
      <c r="F22">
        <v>622078.4</v>
      </c>
      <c r="G22">
        <v>622078.4</v>
      </c>
      <c r="H22">
        <v>1423.0260000000001</v>
      </c>
      <c r="I22">
        <v>1423.0260000000001</v>
      </c>
      <c r="J22">
        <v>73059028</v>
      </c>
      <c r="K22">
        <v>73059028</v>
      </c>
      <c r="L22">
        <v>120.63517099999999</v>
      </c>
      <c r="M22">
        <v>120.63517099999999</v>
      </c>
      <c r="N22">
        <v>97583422.06117098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67624-69FA-46CA-9F41-FFE445A3D35A}">
  <sheetPr codeName="Hoja12">
    <tabColor theme="5" tint="0.39997558519241921"/>
  </sheetPr>
  <dimension ref="A1:G1029"/>
  <sheetViews>
    <sheetView zoomScale="85" zoomScaleNormal="85" workbookViewId="0">
      <selection activeCell="B2" sqref="B2"/>
    </sheetView>
  </sheetViews>
  <sheetFormatPr baseColWidth="10" defaultColWidth="11.5546875" defaultRowHeight="14.4"/>
  <cols>
    <col min="1" max="1" width="14.5546875" customWidth="1"/>
    <col min="2" max="2" width="18.77734375" style="5" customWidth="1"/>
    <col min="3" max="3" width="18.44140625" style="5" customWidth="1"/>
    <col min="4" max="4" width="14.109375" style="5" customWidth="1"/>
    <col min="5" max="5" width="22.88671875" style="90" customWidth="1"/>
    <col min="6" max="6" width="13.5546875" customWidth="1"/>
    <col min="7" max="7" width="12.44140625" style="104" bestFit="1" customWidth="1"/>
  </cols>
  <sheetData>
    <row r="1" spans="1:7">
      <c r="A1" s="75" t="s">
        <v>13</v>
      </c>
      <c r="B1" s="76" t="s">
        <v>943</v>
      </c>
      <c r="C1" s="76"/>
      <c r="D1" s="76"/>
      <c r="E1" s="76"/>
      <c r="F1" s="76"/>
      <c r="G1" s="103"/>
    </row>
    <row r="2" spans="1:7">
      <c r="A2" s="3">
        <f>+WaTT_RAW_Output!A2</f>
        <v>66</v>
      </c>
      <c r="B2" s="106">
        <f>+IFERROR(WaTT_RAW_Output!C2/SUM(WaTT_RAW_Output!C2:E2),0)</f>
        <v>0</v>
      </c>
      <c r="C2" s="105"/>
      <c r="E2" s="5"/>
      <c r="G2" s="78"/>
    </row>
    <row r="3" spans="1:7">
      <c r="A3" s="3">
        <f>+WaTT_RAW_Output!A3</f>
        <v>116</v>
      </c>
      <c r="B3" s="106">
        <f>+IFERROR(WaTT_RAW_Output!C3/SUM(WaTT_RAW_Output!C3:E3),0)</f>
        <v>0.12911167446802987</v>
      </c>
      <c r="C3" s="105"/>
      <c r="E3" s="5"/>
      <c r="G3" s="78"/>
    </row>
    <row r="4" spans="1:7">
      <c r="A4" s="3">
        <f>+WaTT_RAW_Output!A4</f>
        <v>108</v>
      </c>
      <c r="B4" s="106">
        <f>+IFERROR(WaTT_RAW_Output!C4/SUM(WaTT_RAW_Output!C4:E4),0)</f>
        <v>0.1325763191867036</v>
      </c>
      <c r="C4" s="105"/>
      <c r="E4" s="5"/>
      <c r="G4" s="78"/>
    </row>
    <row r="5" spans="1:7">
      <c r="A5" s="3">
        <f>+WaTT_RAW_Output!A5</f>
        <v>122</v>
      </c>
      <c r="B5" s="106">
        <f>+IFERROR(WaTT_RAW_Output!C5/SUM(WaTT_RAW_Output!C5:E5),0)</f>
        <v>0.13413212844542211</v>
      </c>
      <c r="C5" s="105"/>
      <c r="E5" s="5"/>
      <c r="G5" s="78"/>
    </row>
    <row r="6" spans="1:7">
      <c r="A6" s="3">
        <f>+WaTT_RAW_Output!A6</f>
        <v>87</v>
      </c>
      <c r="B6" s="106">
        <f>+IFERROR(WaTT_RAW_Output!C6/SUM(WaTT_RAW_Output!C6:E6),0)</f>
        <v>0.13293178620887974</v>
      </c>
      <c r="C6" s="105"/>
      <c r="E6" s="5"/>
      <c r="G6" s="78"/>
    </row>
    <row r="7" spans="1:7">
      <c r="A7" s="3">
        <f>+WaTT_RAW_Output!A7</f>
        <v>125</v>
      </c>
      <c r="B7" s="106">
        <f>+IFERROR(WaTT_RAW_Output!C7/SUM(WaTT_RAW_Output!C7:E7),0)</f>
        <v>0.13293178620887974</v>
      </c>
      <c r="C7" s="105"/>
      <c r="E7" s="5"/>
      <c r="G7" s="78"/>
    </row>
    <row r="8" spans="1:7">
      <c r="A8" s="3">
        <f>+WaTT_RAW_Output!A8</f>
        <v>68</v>
      </c>
      <c r="B8" s="106">
        <f>+IFERROR(WaTT_RAW_Output!C8/SUM(WaTT_RAW_Output!C8:E8),0)</f>
        <v>0.12946410993071181</v>
      </c>
      <c r="C8" s="105"/>
      <c r="E8" s="5"/>
      <c r="G8" s="78"/>
    </row>
    <row r="9" spans="1:7">
      <c r="A9" s="3">
        <f>+WaTT_RAW_Output!A9</f>
        <v>85</v>
      </c>
      <c r="B9" s="106">
        <f>+IFERROR(WaTT_RAW_Output!C9/SUM(WaTT_RAW_Output!C9:E9),0)</f>
        <v>0</v>
      </c>
      <c r="C9" s="105"/>
      <c r="E9" s="5"/>
      <c r="G9" s="78"/>
    </row>
    <row r="10" spans="1:7">
      <c r="A10" s="3">
        <f>+WaTT_RAW_Output!A10</f>
        <v>89</v>
      </c>
      <c r="B10" s="106">
        <f>+IFERROR(WaTT_RAW_Output!C10/SUM(WaTT_RAW_Output!C10:E10),0)</f>
        <v>0.13167058236931173</v>
      </c>
      <c r="C10" s="105"/>
      <c r="E10" s="5"/>
      <c r="G10" s="78"/>
    </row>
    <row r="11" spans="1:7">
      <c r="A11" s="3">
        <f>+WaTT_RAW_Output!A11</f>
        <v>106</v>
      </c>
      <c r="B11" s="106">
        <f>+IFERROR(WaTT_RAW_Output!C11/SUM(WaTT_RAW_Output!C11:E11),0)</f>
        <v>0</v>
      </c>
      <c r="C11" s="105"/>
      <c r="E11" s="5"/>
      <c r="G11" s="78"/>
    </row>
    <row r="12" spans="1:7">
      <c r="A12" s="3">
        <f>+WaTT_RAW_Output!A12</f>
        <v>110</v>
      </c>
      <c r="B12" s="106">
        <f>+IFERROR(WaTT_RAW_Output!C12/SUM(WaTT_RAW_Output!C12:E12),0)</f>
        <v>0.13944025178893671</v>
      </c>
      <c r="C12" s="105"/>
      <c r="E12" s="5"/>
      <c r="G12" s="78"/>
    </row>
    <row r="13" spans="1:7">
      <c r="A13" s="3">
        <f>+WaTT_RAW_Output!A13</f>
        <v>0</v>
      </c>
      <c r="B13" s="106">
        <f>+IFERROR(WaTT_RAW_Output!C13/SUM(WaTT_RAW_Output!C13:E13),0)</f>
        <v>0</v>
      </c>
      <c r="C13" s="105"/>
      <c r="E13" s="5"/>
      <c r="G13" s="78"/>
    </row>
    <row r="14" spans="1:7">
      <c r="A14" s="3">
        <f>+WaTT_RAW_Output!A14</f>
        <v>0</v>
      </c>
      <c r="B14" s="106">
        <f>+IFERROR(WaTT_RAW_Output!C14/SUM(WaTT_RAW_Output!C14:E14),0)</f>
        <v>0</v>
      </c>
      <c r="C14" s="105"/>
      <c r="E14" s="5"/>
      <c r="G14" s="78"/>
    </row>
    <row r="15" spans="1:7">
      <c r="A15" s="3">
        <f>+WaTT_RAW_Output!A15</f>
        <v>0</v>
      </c>
      <c r="B15" s="106">
        <f>+IFERROR(WaTT_RAW_Output!C15/SUM(WaTT_RAW_Output!C15:E15),0)</f>
        <v>0</v>
      </c>
      <c r="C15" s="105"/>
      <c r="E15" s="5"/>
      <c r="G15" s="78"/>
    </row>
    <row r="16" spans="1:7">
      <c r="A16" s="3">
        <f>+WaTT_RAW_Output!A16</f>
        <v>0</v>
      </c>
      <c r="B16" s="106">
        <f>+IFERROR(WaTT_RAW_Output!C16/SUM(WaTT_RAW_Output!C16:E16),0)</f>
        <v>0</v>
      </c>
      <c r="C16" s="105"/>
      <c r="E16" s="5"/>
      <c r="G16" s="78"/>
    </row>
    <row r="17" spans="1:7">
      <c r="A17" s="3">
        <f>+WaTT_RAW_Output!A17</f>
        <v>0</v>
      </c>
      <c r="B17" s="106">
        <f>+IFERROR(WaTT_RAW_Output!C17/SUM(WaTT_RAW_Output!C17:E17),0)</f>
        <v>0</v>
      </c>
      <c r="C17" s="105"/>
      <c r="E17" s="5"/>
      <c r="G17" s="78"/>
    </row>
    <row r="18" spans="1:7">
      <c r="A18" s="3">
        <f>+WaTT_RAW_Output!A18</f>
        <v>0</v>
      </c>
      <c r="B18" s="106">
        <f>+IFERROR(WaTT_RAW_Output!C18/SUM(WaTT_RAW_Output!C18:E18),0)</f>
        <v>0</v>
      </c>
      <c r="C18" s="105"/>
      <c r="E18" s="5"/>
      <c r="G18" s="78"/>
    </row>
    <row r="19" spans="1:7">
      <c r="A19" s="3">
        <f>+WaTT_RAW_Output!A19</f>
        <v>0</v>
      </c>
      <c r="B19" s="106">
        <f>+IFERROR(WaTT_RAW_Output!C19/SUM(WaTT_RAW_Output!C19:E19),0)</f>
        <v>0</v>
      </c>
      <c r="C19" s="105"/>
      <c r="E19" s="5"/>
      <c r="G19" s="78"/>
    </row>
    <row r="20" spans="1:7">
      <c r="A20" s="3">
        <f>+WaTT_RAW_Output!A20</f>
        <v>0</v>
      </c>
      <c r="B20" s="106">
        <f>+IFERROR(WaTT_RAW_Output!C20/SUM(WaTT_RAW_Output!C20:E20),0)</f>
        <v>0</v>
      </c>
      <c r="C20" s="105"/>
      <c r="E20" s="5"/>
      <c r="G20" s="78"/>
    </row>
    <row r="21" spans="1:7">
      <c r="A21" s="3">
        <f>+WaTT_RAW_Output!A21</f>
        <v>0</v>
      </c>
      <c r="B21" s="106">
        <f>+IFERROR(WaTT_RAW_Output!C21/SUM(WaTT_RAW_Output!C21:E21),0)</f>
        <v>0</v>
      </c>
      <c r="C21" s="105"/>
      <c r="E21" s="5"/>
      <c r="G21" s="78"/>
    </row>
    <row r="22" spans="1:7">
      <c r="A22" s="3">
        <f>+WaTT_RAW_Output!A22</f>
        <v>0</v>
      </c>
      <c r="B22" s="106">
        <f>+IFERROR(WaTT_RAW_Output!C22/SUM(WaTT_RAW_Output!C22:E22),0)</f>
        <v>0</v>
      </c>
      <c r="C22" s="105"/>
      <c r="E22" s="5"/>
      <c r="G22" s="78"/>
    </row>
    <row r="23" spans="1:7">
      <c r="A23" s="3">
        <f>+WaTT_RAW_Output!A23</f>
        <v>0</v>
      </c>
      <c r="B23" s="106">
        <f>+IFERROR(WaTT_RAW_Output!C23/SUM(WaTT_RAW_Output!C23:E23),0)</f>
        <v>0</v>
      </c>
      <c r="C23" s="105"/>
      <c r="E23" s="5"/>
      <c r="G23" s="78"/>
    </row>
    <row r="24" spans="1:7">
      <c r="A24" s="3">
        <f>+WaTT_RAW_Output!A24</f>
        <v>0</v>
      </c>
      <c r="B24" s="106">
        <f>+IFERROR(WaTT_RAW_Output!C24/SUM(WaTT_RAW_Output!C24:E24),0)</f>
        <v>0</v>
      </c>
      <c r="C24" s="105"/>
      <c r="E24" s="5"/>
      <c r="G24" s="78"/>
    </row>
    <row r="25" spans="1:7">
      <c r="A25" s="3">
        <f>+WaTT_RAW_Output!A25</f>
        <v>0</v>
      </c>
      <c r="B25" s="106">
        <f>+IFERROR(WaTT_RAW_Output!C25/SUM(WaTT_RAW_Output!C25:E25),0)</f>
        <v>0</v>
      </c>
      <c r="E25" s="5"/>
      <c r="G25" s="78"/>
    </row>
    <row r="26" spans="1:7">
      <c r="A26" s="3">
        <f>+WaTT_RAW_Output!A26</f>
        <v>0</v>
      </c>
      <c r="B26" s="106">
        <f>+IFERROR(WaTT_RAW_Output!C26/SUM(WaTT_RAW_Output!C26:E26),0)</f>
        <v>0</v>
      </c>
      <c r="E26" s="5"/>
      <c r="G26" s="78"/>
    </row>
    <row r="27" spans="1:7">
      <c r="A27" s="3">
        <f>+WaTT_RAW_Output!A27</f>
        <v>0</v>
      </c>
      <c r="B27" s="106">
        <f>+IFERROR(WaTT_RAW_Output!C27/SUM(WaTT_RAW_Output!C27:E27),0)</f>
        <v>0</v>
      </c>
      <c r="E27" s="5"/>
      <c r="G27" s="78"/>
    </row>
    <row r="28" spans="1:7">
      <c r="A28" s="3">
        <f>+WaTT_RAW_Output!A28</f>
        <v>0</v>
      </c>
      <c r="B28" s="106">
        <f>+IFERROR(WaTT_RAW_Output!C28/SUM(WaTT_RAW_Output!C28:E28),0)</f>
        <v>0</v>
      </c>
      <c r="E28" s="5"/>
      <c r="G28" s="78"/>
    </row>
    <row r="29" spans="1:7">
      <c r="A29" s="3">
        <f>+WaTT_RAW_Output!A29</f>
        <v>0</v>
      </c>
      <c r="B29" s="106">
        <f>+IFERROR(WaTT_RAW_Output!C29/SUM(WaTT_RAW_Output!C29:E29),0)</f>
        <v>0</v>
      </c>
      <c r="E29" s="5"/>
      <c r="G29" s="78"/>
    </row>
    <row r="30" spans="1:7">
      <c r="A30" s="3">
        <f>+WaTT_RAW_Output!A30</f>
        <v>0</v>
      </c>
      <c r="B30" s="106">
        <f>+IFERROR(WaTT_RAW_Output!C30/SUM(WaTT_RAW_Output!C30:E30),0)</f>
        <v>0</v>
      </c>
      <c r="E30" s="5"/>
      <c r="G30" s="78"/>
    </row>
    <row r="31" spans="1:7">
      <c r="A31" s="3">
        <f>+WaTT_RAW_Output!A31</f>
        <v>0</v>
      </c>
      <c r="B31" s="106">
        <f>+IFERROR(WaTT_RAW_Output!C31/SUM(WaTT_RAW_Output!C31:E31),0)</f>
        <v>0</v>
      </c>
      <c r="E31" s="5"/>
      <c r="G31" s="78"/>
    </row>
    <row r="32" spans="1:7">
      <c r="A32" s="3">
        <f>+WaTT_RAW_Output!A32</f>
        <v>0</v>
      </c>
      <c r="B32" s="106">
        <f>+IFERROR(WaTT_RAW_Output!C32/SUM(WaTT_RAW_Output!C32:E32),0)</f>
        <v>0</v>
      </c>
      <c r="E32" s="5"/>
      <c r="G32" s="78"/>
    </row>
    <row r="33" spans="1:7">
      <c r="A33" s="3">
        <f>+WaTT_RAW_Output!A33</f>
        <v>0</v>
      </c>
      <c r="B33" s="106">
        <f>+IFERROR(WaTT_RAW_Output!C33/SUM(WaTT_RAW_Output!C33:E33),0)</f>
        <v>0</v>
      </c>
      <c r="E33" s="5"/>
      <c r="G33" s="78"/>
    </row>
    <row r="34" spans="1:7">
      <c r="A34" s="3">
        <f>+WaTT_RAW_Output!A34</f>
        <v>0</v>
      </c>
      <c r="B34" s="106">
        <f>+IFERROR(WaTT_RAW_Output!C34/SUM(WaTT_RAW_Output!C34:E34),0)</f>
        <v>0</v>
      </c>
      <c r="E34" s="5"/>
      <c r="G34" s="78"/>
    </row>
    <row r="35" spans="1:7">
      <c r="A35" s="3">
        <f>+WaTT_RAW_Output!A35</f>
        <v>0</v>
      </c>
      <c r="B35" s="106">
        <f>+IFERROR(WaTT_RAW_Output!C35/SUM(WaTT_RAW_Output!C35:E35),0)</f>
        <v>0</v>
      </c>
      <c r="E35" s="5"/>
      <c r="G35" s="78"/>
    </row>
    <row r="36" spans="1:7">
      <c r="A36" s="3">
        <f>+WaTT_RAW_Output!A36</f>
        <v>0</v>
      </c>
      <c r="B36" s="106">
        <f>+IFERROR(WaTT_RAW_Output!C36/SUM(WaTT_RAW_Output!C36:E36),0)</f>
        <v>0</v>
      </c>
      <c r="E36" s="5"/>
      <c r="G36" s="78"/>
    </row>
    <row r="37" spans="1:7">
      <c r="A37" s="3">
        <f>+WaTT_RAW_Output!A37</f>
        <v>0</v>
      </c>
      <c r="B37" s="106">
        <f>+IFERROR(WaTT_RAW_Output!C37/SUM(WaTT_RAW_Output!C37:E37),0)</f>
        <v>0</v>
      </c>
      <c r="E37" s="5"/>
      <c r="G37" s="78"/>
    </row>
    <row r="38" spans="1:7">
      <c r="A38" s="3">
        <f>+WaTT_RAW_Output!A38</f>
        <v>0</v>
      </c>
      <c r="B38" s="106">
        <f>+IFERROR(WaTT_RAW_Output!C38/SUM(WaTT_RAW_Output!C38:E38),0)</f>
        <v>0</v>
      </c>
      <c r="E38" s="5"/>
      <c r="G38" s="78"/>
    </row>
    <row r="39" spans="1:7">
      <c r="A39" s="3">
        <f>+WaTT_RAW_Output!A39</f>
        <v>0</v>
      </c>
      <c r="B39" s="106">
        <f>+IFERROR(WaTT_RAW_Output!C39/SUM(WaTT_RAW_Output!C39:E39),0)</f>
        <v>0</v>
      </c>
      <c r="E39" s="5"/>
      <c r="G39" s="78"/>
    </row>
    <row r="40" spans="1:7">
      <c r="A40" s="3">
        <f>+WaTT_RAW_Output!A40</f>
        <v>0</v>
      </c>
      <c r="B40" s="106">
        <f>+IFERROR(WaTT_RAW_Output!C40/SUM(WaTT_RAW_Output!C40:E40),0)</f>
        <v>0</v>
      </c>
      <c r="E40" s="5"/>
      <c r="G40" s="78"/>
    </row>
    <row r="41" spans="1:7">
      <c r="A41" s="3"/>
      <c r="E41" s="5"/>
      <c r="G41" s="78"/>
    </row>
    <row r="42" spans="1:7">
      <c r="A42" s="3"/>
      <c r="E42" s="5"/>
      <c r="G42" s="78"/>
    </row>
    <row r="43" spans="1:7">
      <c r="A43" s="3"/>
      <c r="E43" s="5"/>
      <c r="G43" s="78"/>
    </row>
    <row r="44" spans="1:7">
      <c r="A44" s="3"/>
      <c r="E44" s="5"/>
      <c r="G44" s="78"/>
    </row>
    <row r="45" spans="1:7">
      <c r="A45" s="3"/>
      <c r="E45" s="5"/>
      <c r="G45" s="78"/>
    </row>
    <row r="46" spans="1:7">
      <c r="A46" s="3"/>
      <c r="E46" s="5"/>
      <c r="G46" s="78"/>
    </row>
    <row r="47" spans="1:7">
      <c r="A47" s="3"/>
      <c r="E47" s="5"/>
      <c r="G47" s="78"/>
    </row>
    <row r="48" spans="1:7">
      <c r="A48" s="3"/>
      <c r="E48" s="5"/>
      <c r="G48" s="78"/>
    </row>
    <row r="49" spans="1:7">
      <c r="A49" s="3"/>
      <c r="E49" s="5"/>
      <c r="G49" s="78"/>
    </row>
    <row r="50" spans="1:7">
      <c r="A50" s="3"/>
      <c r="E50" s="5"/>
      <c r="G50" s="78"/>
    </row>
    <row r="51" spans="1:7">
      <c r="A51" s="3"/>
      <c r="E51" s="5"/>
      <c r="G51" s="78"/>
    </row>
    <row r="52" spans="1:7">
      <c r="A52" s="3"/>
      <c r="E52" s="5"/>
      <c r="G52" s="78"/>
    </row>
    <row r="53" spans="1:7">
      <c r="A53" s="3"/>
      <c r="E53" s="5"/>
      <c r="G53" s="78"/>
    </row>
    <row r="54" spans="1:7">
      <c r="A54" s="3"/>
      <c r="E54" s="5"/>
      <c r="G54" s="78"/>
    </row>
    <row r="55" spans="1:7">
      <c r="A55" s="3"/>
      <c r="E55" s="5"/>
      <c r="G55" s="78"/>
    </row>
    <row r="56" spans="1:7">
      <c r="A56" s="3"/>
      <c r="E56" s="5"/>
      <c r="G56" s="78"/>
    </row>
    <row r="57" spans="1:7">
      <c r="A57" s="3"/>
      <c r="E57" s="5"/>
      <c r="G57" s="78"/>
    </row>
    <row r="58" spans="1:7">
      <c r="A58" s="3"/>
      <c r="E58" s="5"/>
      <c r="G58" s="78"/>
    </row>
    <row r="59" spans="1:7">
      <c r="A59" s="3"/>
      <c r="E59" s="5"/>
      <c r="G59" s="78"/>
    </row>
    <row r="60" spans="1:7">
      <c r="A60" s="3"/>
      <c r="E60" s="5"/>
      <c r="G60" s="78"/>
    </row>
    <row r="61" spans="1:7">
      <c r="A61" s="3"/>
      <c r="E61" s="5"/>
      <c r="G61" s="78"/>
    </row>
    <row r="62" spans="1:7">
      <c r="A62" s="3"/>
      <c r="E62" s="5"/>
      <c r="G62" s="78"/>
    </row>
    <row r="63" spans="1:7">
      <c r="A63" s="3"/>
      <c r="E63" s="5"/>
      <c r="G63" s="78"/>
    </row>
    <row r="64" spans="1:7">
      <c r="A64" s="3"/>
      <c r="E64" s="5"/>
      <c r="G64" s="78"/>
    </row>
    <row r="65" spans="1:7">
      <c r="A65" s="3"/>
      <c r="E65" s="5"/>
      <c r="G65" s="78"/>
    </row>
    <row r="66" spans="1:7">
      <c r="A66" s="3"/>
      <c r="E66" s="5"/>
      <c r="G66" s="78"/>
    </row>
    <row r="67" spans="1:7">
      <c r="A67" s="3"/>
      <c r="E67" s="5"/>
      <c r="G67" s="78"/>
    </row>
    <row r="68" spans="1:7">
      <c r="A68" s="3"/>
      <c r="E68" s="5"/>
      <c r="G68" s="78"/>
    </row>
    <row r="69" spans="1:7">
      <c r="A69" s="3"/>
      <c r="E69" s="5"/>
      <c r="G69" s="78"/>
    </row>
    <row r="70" spans="1:7">
      <c r="A70" s="3"/>
      <c r="E70" s="5"/>
      <c r="G70" s="78"/>
    </row>
    <row r="71" spans="1:7">
      <c r="A71" s="3"/>
      <c r="E71" s="5"/>
      <c r="G71" s="78"/>
    </row>
    <row r="72" spans="1:7">
      <c r="A72" s="3"/>
      <c r="E72" s="5"/>
      <c r="G72" s="78"/>
    </row>
    <row r="73" spans="1:7">
      <c r="A73" s="3"/>
      <c r="E73" s="5"/>
      <c r="G73" s="78"/>
    </row>
    <row r="74" spans="1:7">
      <c r="A74" s="3"/>
      <c r="E74" s="5"/>
      <c r="G74" s="78"/>
    </row>
    <row r="75" spans="1:7">
      <c r="A75" s="3"/>
      <c r="E75" s="5"/>
      <c r="G75" s="78"/>
    </row>
    <row r="76" spans="1:7">
      <c r="A76" s="3"/>
      <c r="E76" s="5"/>
      <c r="G76" s="78"/>
    </row>
    <row r="77" spans="1:7">
      <c r="A77" s="3"/>
      <c r="E77" s="5"/>
      <c r="G77" s="78"/>
    </row>
    <row r="78" spans="1:7">
      <c r="A78" s="3"/>
      <c r="E78" s="5"/>
      <c r="G78" s="78"/>
    </row>
    <row r="79" spans="1:7">
      <c r="A79" s="3"/>
      <c r="E79" s="5"/>
      <c r="G79" s="78"/>
    </row>
    <row r="80" spans="1:7">
      <c r="A80" s="3"/>
      <c r="E80" s="5"/>
      <c r="G80" s="78"/>
    </row>
    <row r="81" spans="1:7">
      <c r="A81" s="3"/>
      <c r="E81" s="5"/>
      <c r="G81" s="78"/>
    </row>
    <row r="82" spans="1:7">
      <c r="A82" s="3"/>
      <c r="E82" s="5"/>
      <c r="G82" s="78"/>
    </row>
    <row r="83" spans="1:7">
      <c r="A83" s="3"/>
      <c r="E83" s="5"/>
      <c r="G83" s="78"/>
    </row>
    <row r="84" spans="1:7">
      <c r="A84" s="3"/>
      <c r="E84" s="5"/>
      <c r="G84" s="78"/>
    </row>
    <row r="85" spans="1:7">
      <c r="A85" s="3"/>
      <c r="E85" s="5"/>
      <c r="G85" s="78"/>
    </row>
    <row r="86" spans="1:7">
      <c r="A86" s="3"/>
      <c r="E86" s="5"/>
      <c r="G86" s="78"/>
    </row>
    <row r="87" spans="1:7">
      <c r="A87" s="3"/>
      <c r="E87" s="5"/>
      <c r="G87" s="78"/>
    </row>
    <row r="88" spans="1:7">
      <c r="A88" s="3"/>
      <c r="E88" s="5"/>
      <c r="G88" s="78"/>
    </row>
    <row r="89" spans="1:7">
      <c r="A89" s="3"/>
      <c r="E89" s="5"/>
      <c r="G89" s="78"/>
    </row>
    <row r="90" spans="1:7">
      <c r="A90" s="3"/>
      <c r="E90" s="5"/>
      <c r="G90" s="78"/>
    </row>
    <row r="91" spans="1:7">
      <c r="A91" s="3"/>
      <c r="E91" s="5"/>
      <c r="G91" s="78"/>
    </row>
    <row r="92" spans="1:7">
      <c r="A92" s="3"/>
      <c r="E92" s="5"/>
      <c r="G92" s="78"/>
    </row>
    <row r="93" spans="1:7">
      <c r="A93" s="3"/>
      <c r="E93" s="5"/>
      <c r="G93" s="78"/>
    </row>
    <row r="94" spans="1:7">
      <c r="A94" s="3"/>
      <c r="E94" s="5"/>
      <c r="G94" s="78"/>
    </row>
    <row r="95" spans="1:7">
      <c r="A95" s="3"/>
      <c r="E95" s="5"/>
      <c r="G95" s="78"/>
    </row>
    <row r="96" spans="1:7">
      <c r="A96" s="3"/>
      <c r="E96" s="5"/>
      <c r="G96" s="78"/>
    </row>
    <row r="97" spans="1:7">
      <c r="A97" s="3"/>
      <c r="E97" s="5"/>
      <c r="G97" s="78"/>
    </row>
    <row r="98" spans="1:7">
      <c r="A98" s="3"/>
      <c r="E98" s="5"/>
      <c r="G98" s="78"/>
    </row>
    <row r="99" spans="1:7">
      <c r="A99" s="3"/>
      <c r="E99" s="5"/>
      <c r="G99" s="78"/>
    </row>
    <row r="100" spans="1:7">
      <c r="A100" s="3"/>
      <c r="E100" s="5"/>
      <c r="G100" s="78"/>
    </row>
    <row r="101" spans="1:7">
      <c r="A101" s="3"/>
      <c r="E101" s="5"/>
      <c r="G101" s="78"/>
    </row>
    <row r="102" spans="1:7">
      <c r="A102" s="3"/>
      <c r="E102" s="5"/>
      <c r="G102" s="78"/>
    </row>
    <row r="103" spans="1:7">
      <c r="A103" s="3"/>
      <c r="E103" s="5"/>
      <c r="G103" s="78"/>
    </row>
    <row r="104" spans="1:7">
      <c r="A104" s="3"/>
      <c r="E104" s="5"/>
      <c r="G104" s="78"/>
    </row>
    <row r="105" spans="1:7">
      <c r="A105" s="3"/>
      <c r="E105" s="5"/>
      <c r="G105" s="78"/>
    </row>
    <row r="106" spans="1:7">
      <c r="A106" s="3"/>
      <c r="E106" s="5"/>
      <c r="G106" s="78"/>
    </row>
    <row r="107" spans="1:7">
      <c r="A107" s="3"/>
      <c r="E107" s="5"/>
      <c r="G107" s="78"/>
    </row>
    <row r="108" spans="1:7">
      <c r="A108" s="3"/>
      <c r="E108" s="5"/>
      <c r="G108" s="78"/>
    </row>
    <row r="109" spans="1:7">
      <c r="A109" s="3"/>
      <c r="E109" s="5"/>
      <c r="G109" s="78"/>
    </row>
    <row r="110" spans="1:7">
      <c r="A110" s="3"/>
      <c r="E110" s="5"/>
      <c r="G110" s="78"/>
    </row>
    <row r="111" spans="1:7">
      <c r="A111" s="3"/>
      <c r="E111" s="5"/>
      <c r="G111" s="78"/>
    </row>
    <row r="112" spans="1:7">
      <c r="A112" s="3"/>
      <c r="E112" s="5"/>
      <c r="G112" s="78"/>
    </row>
    <row r="113" spans="1:7">
      <c r="A113" s="3"/>
      <c r="E113" s="5"/>
      <c r="G113" s="78"/>
    </row>
    <row r="114" spans="1:7">
      <c r="A114" s="3"/>
      <c r="E114" s="5"/>
      <c r="G114" s="78"/>
    </row>
    <row r="115" spans="1:7">
      <c r="A115" s="3"/>
      <c r="E115" s="5"/>
      <c r="G115" s="78"/>
    </row>
    <row r="116" spans="1:7">
      <c r="A116" s="3"/>
      <c r="E116" s="5"/>
      <c r="G116" s="78"/>
    </row>
    <row r="117" spans="1:7">
      <c r="A117" s="3"/>
      <c r="E117" s="5"/>
      <c r="G117" s="78"/>
    </row>
    <row r="118" spans="1:7">
      <c r="A118" s="3"/>
      <c r="E118" s="5"/>
      <c r="G118" s="78"/>
    </row>
    <row r="119" spans="1:7">
      <c r="A119" s="3"/>
      <c r="E119" s="5"/>
      <c r="G119" s="78"/>
    </row>
    <row r="120" spans="1:7">
      <c r="A120" s="3"/>
      <c r="E120" s="5"/>
      <c r="G120" s="78"/>
    </row>
    <row r="121" spans="1:7">
      <c r="A121" s="3"/>
      <c r="E121" s="5"/>
      <c r="G121" s="78"/>
    </row>
    <row r="122" spans="1:7">
      <c r="A122" s="3"/>
      <c r="E122" s="5"/>
      <c r="G122" s="78"/>
    </row>
    <row r="123" spans="1:7">
      <c r="A123" s="3"/>
      <c r="E123" s="5"/>
      <c r="G123" s="78"/>
    </row>
    <row r="124" spans="1:7">
      <c r="A124" s="3"/>
      <c r="E124" s="5"/>
      <c r="G124" s="78"/>
    </row>
    <row r="125" spans="1:7">
      <c r="A125" s="3"/>
      <c r="E125" s="5"/>
      <c r="G125" s="78"/>
    </row>
    <row r="126" spans="1:7">
      <c r="A126" s="3"/>
      <c r="E126" s="5"/>
      <c r="G126" s="78"/>
    </row>
    <row r="127" spans="1:7">
      <c r="A127" s="3"/>
      <c r="E127" s="5"/>
      <c r="G127" s="78"/>
    </row>
    <row r="128" spans="1:7">
      <c r="A128" s="3"/>
      <c r="E128" s="5"/>
      <c r="G128" s="78"/>
    </row>
    <row r="129" spans="1:7">
      <c r="A129" s="3"/>
      <c r="E129" s="5"/>
      <c r="G129" s="78"/>
    </row>
    <row r="130" spans="1:7">
      <c r="A130" s="3"/>
      <c r="E130" s="5"/>
      <c r="G130" s="78"/>
    </row>
    <row r="131" spans="1:7">
      <c r="A131" s="3"/>
      <c r="E131" s="5"/>
      <c r="G131" s="78"/>
    </row>
    <row r="132" spans="1:7">
      <c r="A132" s="3"/>
      <c r="E132" s="5"/>
      <c r="G132" s="78"/>
    </row>
    <row r="133" spans="1:7">
      <c r="A133" s="3"/>
      <c r="E133" s="5"/>
      <c r="G133" s="78"/>
    </row>
    <row r="134" spans="1:7">
      <c r="A134" s="3"/>
      <c r="E134" s="5"/>
      <c r="G134" s="78"/>
    </row>
    <row r="135" spans="1:7">
      <c r="A135" s="3"/>
      <c r="E135" s="5"/>
      <c r="G135" s="78"/>
    </row>
    <row r="136" spans="1:7">
      <c r="A136" s="3"/>
      <c r="E136" s="5"/>
      <c r="G136" s="78"/>
    </row>
    <row r="137" spans="1:7">
      <c r="A137" s="3"/>
      <c r="E137" s="5"/>
      <c r="G137" s="78"/>
    </row>
    <row r="138" spans="1:7">
      <c r="A138" s="3"/>
      <c r="E138" s="5"/>
      <c r="G138" s="78"/>
    </row>
    <row r="139" spans="1:7">
      <c r="A139" s="3"/>
      <c r="E139" s="5"/>
      <c r="G139" s="78"/>
    </row>
    <row r="140" spans="1:7">
      <c r="A140" s="3"/>
      <c r="E140" s="5"/>
      <c r="G140" s="78"/>
    </row>
    <row r="141" spans="1:7">
      <c r="A141" s="3"/>
      <c r="E141" s="5"/>
      <c r="G141" s="78"/>
    </row>
    <row r="142" spans="1:7">
      <c r="A142" s="3"/>
      <c r="E142" s="5"/>
      <c r="G142" s="78"/>
    </row>
    <row r="143" spans="1:7">
      <c r="A143" s="3"/>
      <c r="E143" s="5"/>
      <c r="G143" s="78"/>
    </row>
    <row r="144" spans="1:7">
      <c r="A144" s="3"/>
      <c r="E144" s="5"/>
      <c r="G144" s="78"/>
    </row>
    <row r="145" spans="1:7">
      <c r="A145" s="3"/>
      <c r="E145" s="5"/>
      <c r="G145" s="78"/>
    </row>
    <row r="146" spans="1:7">
      <c r="A146" s="3"/>
      <c r="E146" s="5"/>
      <c r="G146" s="78"/>
    </row>
    <row r="147" spans="1:7">
      <c r="A147" s="3"/>
      <c r="E147" s="5"/>
      <c r="G147" s="78"/>
    </row>
    <row r="148" spans="1:7">
      <c r="A148" s="3"/>
      <c r="E148" s="5"/>
      <c r="G148" s="78"/>
    </row>
    <row r="149" spans="1:7">
      <c r="A149" s="3"/>
      <c r="E149" s="5"/>
      <c r="G149" s="78"/>
    </row>
    <row r="150" spans="1:7">
      <c r="A150" s="3"/>
      <c r="E150" s="5"/>
      <c r="G150" s="78"/>
    </row>
    <row r="151" spans="1:7">
      <c r="A151" s="3"/>
      <c r="E151" s="5"/>
      <c r="G151" s="78"/>
    </row>
    <row r="152" spans="1:7">
      <c r="A152" s="3"/>
      <c r="E152" s="5"/>
      <c r="G152" s="78"/>
    </row>
    <row r="153" spans="1:7">
      <c r="A153" s="3"/>
      <c r="E153" s="5"/>
      <c r="G153" s="78"/>
    </row>
    <row r="154" spans="1:7">
      <c r="A154" s="3"/>
      <c r="E154" s="5"/>
      <c r="G154" s="78"/>
    </row>
    <row r="155" spans="1:7">
      <c r="A155" s="3"/>
      <c r="E155" s="5"/>
      <c r="G155" s="78"/>
    </row>
    <row r="156" spans="1:7">
      <c r="A156" s="3"/>
      <c r="E156" s="5"/>
      <c r="G156" s="78"/>
    </row>
    <row r="157" spans="1:7">
      <c r="A157" s="3"/>
      <c r="E157" s="5"/>
      <c r="G157" s="78"/>
    </row>
    <row r="158" spans="1:7">
      <c r="A158" s="3"/>
      <c r="E158" s="5"/>
      <c r="G158" s="78"/>
    </row>
    <row r="159" spans="1:7">
      <c r="A159" s="3"/>
      <c r="E159" s="5"/>
      <c r="G159" s="78"/>
    </row>
    <row r="160" spans="1:7">
      <c r="A160" s="3"/>
      <c r="E160" s="5"/>
      <c r="G160" s="78"/>
    </row>
    <row r="161" spans="1:7">
      <c r="A161" s="3"/>
      <c r="E161" s="5"/>
      <c r="G161" s="78"/>
    </row>
    <row r="162" spans="1:7">
      <c r="A162" s="3"/>
      <c r="E162" s="5"/>
      <c r="G162" s="78"/>
    </row>
    <row r="163" spans="1:7">
      <c r="A163" s="3"/>
      <c r="E163" s="5"/>
      <c r="G163" s="78"/>
    </row>
    <row r="164" spans="1:7">
      <c r="A164" s="3"/>
      <c r="E164" s="5"/>
      <c r="G164" s="78"/>
    </row>
    <row r="165" spans="1:7">
      <c r="A165" s="3"/>
      <c r="E165" s="5"/>
      <c r="G165" s="78"/>
    </row>
    <row r="166" spans="1:7">
      <c r="A166" s="3"/>
      <c r="E166" s="5"/>
      <c r="G166" s="78"/>
    </row>
    <row r="167" spans="1:7">
      <c r="A167" s="3"/>
      <c r="E167" s="5"/>
      <c r="G167" s="78"/>
    </row>
    <row r="168" spans="1:7">
      <c r="A168" s="3"/>
      <c r="E168" s="5"/>
      <c r="G168" s="78"/>
    </row>
    <row r="169" spans="1:7">
      <c r="A169" s="3"/>
      <c r="E169" s="5"/>
      <c r="G169" s="78"/>
    </row>
    <row r="170" spans="1:7">
      <c r="A170" s="3"/>
      <c r="E170" s="5"/>
      <c r="G170" s="78"/>
    </row>
    <row r="171" spans="1:7">
      <c r="A171" s="3"/>
      <c r="E171" s="5"/>
      <c r="G171" s="78"/>
    </row>
    <row r="172" spans="1:7">
      <c r="A172" s="3"/>
      <c r="E172" s="5"/>
      <c r="G172" s="78"/>
    </row>
    <row r="173" spans="1:7">
      <c r="A173" s="3"/>
      <c r="E173" s="5"/>
      <c r="G173" s="78"/>
    </row>
    <row r="174" spans="1:7">
      <c r="A174" s="3"/>
      <c r="E174" s="5"/>
      <c r="G174" s="78"/>
    </row>
    <row r="175" spans="1:7">
      <c r="A175" s="3"/>
      <c r="E175" s="5"/>
      <c r="G175" s="78"/>
    </row>
    <row r="176" spans="1:7">
      <c r="A176" s="3"/>
      <c r="E176" s="5"/>
      <c r="G176" s="78"/>
    </row>
    <row r="177" spans="1:7">
      <c r="A177" s="3"/>
      <c r="E177" s="5"/>
      <c r="G177" s="78"/>
    </row>
    <row r="178" spans="1:7">
      <c r="A178" s="3"/>
      <c r="E178" s="5"/>
      <c r="G178" s="78"/>
    </row>
    <row r="179" spans="1:7">
      <c r="A179" s="3"/>
      <c r="E179" s="5"/>
      <c r="G179" s="78"/>
    </row>
    <row r="180" spans="1:7">
      <c r="A180" s="3"/>
      <c r="E180" s="5"/>
      <c r="G180" s="78"/>
    </row>
    <row r="181" spans="1:7">
      <c r="A181" s="3"/>
      <c r="E181" s="5"/>
      <c r="G181" s="78"/>
    </row>
    <row r="182" spans="1:7">
      <c r="A182" s="3"/>
      <c r="E182" s="5"/>
      <c r="G182" s="78"/>
    </row>
    <row r="183" spans="1:7">
      <c r="A183" s="3"/>
      <c r="E183" s="5"/>
      <c r="G183" s="78"/>
    </row>
    <row r="184" spans="1:7">
      <c r="A184" s="3"/>
      <c r="E184" s="5"/>
      <c r="G184" s="78"/>
    </row>
    <row r="185" spans="1:7">
      <c r="A185" s="3"/>
      <c r="E185" s="5"/>
      <c r="G185" s="78"/>
    </row>
    <row r="186" spans="1:7">
      <c r="A186" s="3"/>
      <c r="E186" s="5"/>
      <c r="G186" s="78"/>
    </row>
    <row r="187" spans="1:7">
      <c r="A187" s="3"/>
      <c r="E187" s="5"/>
      <c r="G187" s="78"/>
    </row>
    <row r="188" spans="1:7">
      <c r="A188" s="3"/>
      <c r="E188" s="5"/>
      <c r="G188" s="78"/>
    </row>
    <row r="189" spans="1:7">
      <c r="A189" s="3"/>
      <c r="E189" s="5"/>
      <c r="G189" s="78"/>
    </row>
    <row r="190" spans="1:7">
      <c r="A190" s="3"/>
      <c r="E190" s="5"/>
      <c r="G190" s="78"/>
    </row>
    <row r="191" spans="1:7">
      <c r="A191" s="3"/>
      <c r="E191" s="5"/>
      <c r="G191" s="78"/>
    </row>
    <row r="192" spans="1:7">
      <c r="A192" s="3"/>
      <c r="E192" s="5"/>
      <c r="G192" s="78"/>
    </row>
    <row r="193" spans="1:7">
      <c r="A193" s="3"/>
      <c r="E193" s="5"/>
      <c r="G193" s="78"/>
    </row>
    <row r="194" spans="1:7">
      <c r="A194" s="3"/>
      <c r="E194" s="5"/>
      <c r="G194" s="78"/>
    </row>
    <row r="195" spans="1:7">
      <c r="A195" s="3"/>
      <c r="E195" s="5"/>
      <c r="G195" s="78"/>
    </row>
    <row r="196" spans="1:7">
      <c r="A196" s="3"/>
      <c r="E196" s="5"/>
      <c r="G196" s="78"/>
    </row>
    <row r="197" spans="1:7">
      <c r="A197" s="3"/>
      <c r="E197" s="5"/>
      <c r="G197" s="78"/>
    </row>
    <row r="198" spans="1:7">
      <c r="A198" s="3"/>
      <c r="E198" s="5"/>
      <c r="G198" s="78"/>
    </row>
    <row r="199" spans="1:7">
      <c r="A199" s="3"/>
      <c r="E199" s="5"/>
      <c r="G199" s="78"/>
    </row>
    <row r="200" spans="1:7">
      <c r="A200" s="3"/>
      <c r="E200" s="5"/>
      <c r="G200" s="78"/>
    </row>
    <row r="201" spans="1:7">
      <c r="A201" s="3"/>
      <c r="E201" s="5"/>
      <c r="G201" s="78"/>
    </row>
    <row r="202" spans="1:7">
      <c r="A202" s="3"/>
      <c r="E202" s="5"/>
      <c r="G202" s="78"/>
    </row>
    <row r="203" spans="1:7">
      <c r="A203" s="3"/>
      <c r="E203" s="5"/>
      <c r="G203" s="78"/>
    </row>
    <row r="204" spans="1:7">
      <c r="A204" s="3"/>
      <c r="E204" s="5"/>
      <c r="G204" s="78"/>
    </row>
    <row r="205" spans="1:7">
      <c r="A205" s="3"/>
      <c r="E205" s="5"/>
      <c r="G205" s="78"/>
    </row>
    <row r="206" spans="1:7">
      <c r="A206" s="3"/>
      <c r="E206" s="5"/>
      <c r="G206" s="78"/>
    </row>
    <row r="207" spans="1:7">
      <c r="A207" s="3"/>
      <c r="E207" s="5"/>
      <c r="G207" s="78"/>
    </row>
    <row r="208" spans="1:7">
      <c r="A208" s="3"/>
      <c r="E208" s="5"/>
      <c r="G208" s="78"/>
    </row>
    <row r="209" spans="1:7">
      <c r="A209" s="3"/>
      <c r="E209" s="5"/>
      <c r="G209" s="78"/>
    </row>
    <row r="210" spans="1:7">
      <c r="A210" s="3"/>
      <c r="E210" s="5"/>
      <c r="G210" s="78"/>
    </row>
    <row r="211" spans="1:7">
      <c r="A211" s="3"/>
      <c r="E211" s="5"/>
      <c r="G211" s="78"/>
    </row>
    <row r="212" spans="1:7">
      <c r="A212" s="3"/>
      <c r="E212" s="5"/>
      <c r="G212" s="78"/>
    </row>
    <row r="213" spans="1:7">
      <c r="A213" s="3"/>
      <c r="E213" s="5"/>
      <c r="G213" s="78"/>
    </row>
    <row r="214" spans="1:7">
      <c r="A214" s="3"/>
      <c r="E214" s="5"/>
      <c r="G214" s="78"/>
    </row>
    <row r="215" spans="1:7">
      <c r="A215" s="3"/>
      <c r="E215" s="5"/>
      <c r="G215" s="78"/>
    </row>
    <row r="216" spans="1:7">
      <c r="A216" s="3"/>
      <c r="E216" s="5"/>
      <c r="G216" s="78"/>
    </row>
    <row r="217" spans="1:7">
      <c r="A217" s="3"/>
      <c r="E217" s="5"/>
      <c r="G217" s="78"/>
    </row>
    <row r="218" spans="1:7">
      <c r="A218" s="3"/>
      <c r="E218" s="5"/>
      <c r="G218" s="78"/>
    </row>
    <row r="219" spans="1:7">
      <c r="A219" s="3"/>
      <c r="E219" s="5"/>
      <c r="G219" s="78"/>
    </row>
    <row r="220" spans="1:7">
      <c r="A220" s="3"/>
      <c r="E220" s="5"/>
      <c r="G220" s="78"/>
    </row>
    <row r="221" spans="1:7">
      <c r="A221" s="3"/>
      <c r="E221" s="5"/>
      <c r="G221" s="78"/>
    </row>
    <row r="222" spans="1:7">
      <c r="A222" s="3"/>
      <c r="E222" s="5"/>
      <c r="G222" s="78"/>
    </row>
    <row r="223" spans="1:7">
      <c r="A223" s="3"/>
      <c r="E223" s="5"/>
      <c r="G223" s="78"/>
    </row>
    <row r="224" spans="1:7">
      <c r="A224" s="3"/>
      <c r="E224" s="5"/>
      <c r="G224" s="78"/>
    </row>
    <row r="225" spans="1:7">
      <c r="A225" s="3"/>
      <c r="E225" s="5"/>
      <c r="G225" s="78"/>
    </row>
    <row r="226" spans="1:7">
      <c r="A226" s="3"/>
      <c r="E226" s="5"/>
      <c r="G226" s="78"/>
    </row>
    <row r="227" spans="1:7">
      <c r="A227" s="3"/>
      <c r="E227" s="5"/>
      <c r="G227" s="78"/>
    </row>
    <row r="228" spans="1:7">
      <c r="A228" s="3"/>
      <c r="E228" s="5"/>
      <c r="G228" s="78"/>
    </row>
    <row r="229" spans="1:7">
      <c r="A229" s="3"/>
      <c r="E229" s="5"/>
      <c r="G229" s="78"/>
    </row>
    <row r="230" spans="1:7">
      <c r="A230" s="3"/>
      <c r="E230" s="5"/>
      <c r="G230" s="78"/>
    </row>
    <row r="231" spans="1:7">
      <c r="A231" s="3"/>
      <c r="E231" s="5"/>
      <c r="G231" s="78"/>
    </row>
    <row r="232" spans="1:7">
      <c r="A232" s="3"/>
      <c r="E232" s="5"/>
      <c r="G232" s="78"/>
    </row>
    <row r="233" spans="1:7">
      <c r="A233" s="3"/>
      <c r="E233" s="5"/>
      <c r="G233" s="78"/>
    </row>
    <row r="234" spans="1:7">
      <c r="A234" s="3"/>
      <c r="E234" s="5"/>
      <c r="G234" s="78"/>
    </row>
    <row r="235" spans="1:7">
      <c r="A235" s="3"/>
      <c r="E235" s="5"/>
      <c r="G235" s="78"/>
    </row>
    <row r="236" spans="1:7">
      <c r="A236" s="3"/>
      <c r="E236" s="5"/>
      <c r="G236" s="78"/>
    </row>
    <row r="237" spans="1:7">
      <c r="A237" s="3"/>
      <c r="E237" s="5"/>
      <c r="G237" s="78"/>
    </row>
    <row r="238" spans="1:7">
      <c r="A238" s="3"/>
      <c r="E238" s="5"/>
      <c r="G238" s="78"/>
    </row>
    <row r="239" spans="1:7">
      <c r="A239" s="3"/>
      <c r="E239" s="5"/>
      <c r="G239" s="78"/>
    </row>
    <row r="240" spans="1:7">
      <c r="A240" s="3"/>
      <c r="E240" s="5"/>
      <c r="G240" s="78"/>
    </row>
    <row r="241" spans="1:7">
      <c r="A241" s="3"/>
      <c r="E241" s="5"/>
      <c r="G241" s="78"/>
    </row>
    <row r="242" spans="1:7">
      <c r="A242" s="3"/>
      <c r="E242" s="5"/>
      <c r="G242" s="78"/>
    </row>
    <row r="243" spans="1:7">
      <c r="A243" s="3"/>
      <c r="E243" s="5"/>
      <c r="G243" s="78"/>
    </row>
    <row r="244" spans="1:7">
      <c r="A244" s="3"/>
      <c r="E244" s="5"/>
      <c r="G244" s="78"/>
    </row>
    <row r="245" spans="1:7">
      <c r="A245" s="3"/>
      <c r="E245" s="5"/>
      <c r="G245" s="78"/>
    </row>
    <row r="246" spans="1:7">
      <c r="A246" s="3"/>
      <c r="E246" s="5"/>
      <c r="G246" s="78"/>
    </row>
    <row r="247" spans="1:7">
      <c r="A247" s="3"/>
      <c r="E247" s="5"/>
      <c r="G247" s="78"/>
    </row>
    <row r="248" spans="1:7">
      <c r="A248" s="3"/>
      <c r="E248" s="5"/>
      <c r="G248" s="78"/>
    </row>
    <row r="249" spans="1:7">
      <c r="A249" s="3"/>
      <c r="E249" s="5"/>
      <c r="G249" s="78"/>
    </row>
    <row r="250" spans="1:7">
      <c r="A250" s="3"/>
      <c r="E250" s="5"/>
      <c r="G250" s="78"/>
    </row>
    <row r="251" spans="1:7">
      <c r="A251" s="3"/>
      <c r="E251" s="5"/>
      <c r="G251" s="78"/>
    </row>
    <row r="252" spans="1:7">
      <c r="A252" s="3"/>
      <c r="E252" s="5"/>
      <c r="G252" s="78"/>
    </row>
    <row r="253" spans="1:7">
      <c r="A253" s="3"/>
      <c r="E253" s="5"/>
      <c r="G253" s="78"/>
    </row>
    <row r="254" spans="1:7">
      <c r="A254" s="3"/>
      <c r="E254" s="5"/>
      <c r="G254" s="78"/>
    </row>
    <row r="255" spans="1:7">
      <c r="A255" s="3"/>
      <c r="E255" s="5"/>
      <c r="G255" s="78"/>
    </row>
    <row r="256" spans="1:7">
      <c r="A256" s="3"/>
      <c r="E256" s="5"/>
      <c r="G256" s="78"/>
    </row>
    <row r="257" spans="1:7">
      <c r="A257" s="3"/>
      <c r="E257" s="5"/>
      <c r="G257" s="78"/>
    </row>
    <row r="258" spans="1:7">
      <c r="A258" s="3"/>
      <c r="E258" s="5"/>
      <c r="G258" s="78"/>
    </row>
    <row r="259" spans="1:7">
      <c r="A259" s="3"/>
      <c r="E259" s="5"/>
      <c r="G259" s="78"/>
    </row>
    <row r="260" spans="1:7">
      <c r="A260" s="3"/>
      <c r="E260" s="5"/>
      <c r="G260" s="78"/>
    </row>
    <row r="261" spans="1:7">
      <c r="A261" s="3"/>
      <c r="E261" s="5"/>
      <c r="G261" s="78"/>
    </row>
    <row r="262" spans="1:7">
      <c r="A262" s="3"/>
      <c r="E262" s="5"/>
      <c r="G262" s="78"/>
    </row>
    <row r="263" spans="1:7">
      <c r="A263" s="3"/>
      <c r="E263" s="5"/>
      <c r="G263" s="78"/>
    </row>
    <row r="264" spans="1:7">
      <c r="A264" s="3"/>
      <c r="E264" s="5"/>
      <c r="G264" s="78"/>
    </row>
    <row r="265" spans="1:7">
      <c r="A265" s="3"/>
      <c r="E265" s="5"/>
      <c r="G265" s="78"/>
    </row>
    <row r="266" spans="1:7">
      <c r="A266" s="3"/>
      <c r="E266" s="5"/>
      <c r="G266" s="78"/>
    </row>
    <row r="267" spans="1:7">
      <c r="A267" s="3"/>
      <c r="E267" s="5"/>
      <c r="G267" s="78"/>
    </row>
    <row r="268" spans="1:7">
      <c r="A268" s="3"/>
      <c r="E268" s="5"/>
      <c r="G268" s="78"/>
    </row>
    <row r="269" spans="1:7">
      <c r="A269" s="3"/>
      <c r="E269" s="5"/>
      <c r="G269" s="78"/>
    </row>
    <row r="270" spans="1:7">
      <c r="A270" s="3"/>
      <c r="E270" s="5"/>
      <c r="G270" s="78"/>
    </row>
    <row r="271" spans="1:7">
      <c r="A271" s="3"/>
      <c r="E271" s="5"/>
      <c r="G271" s="78"/>
    </row>
    <row r="272" spans="1:7">
      <c r="A272" s="3"/>
      <c r="E272" s="5"/>
      <c r="G272" s="78"/>
    </row>
    <row r="273" spans="1:7">
      <c r="A273" s="3"/>
      <c r="E273" s="5"/>
      <c r="G273" s="78"/>
    </row>
    <row r="274" spans="1:7">
      <c r="A274" s="3"/>
      <c r="E274" s="5"/>
      <c r="G274" s="78"/>
    </row>
    <row r="275" spans="1:7">
      <c r="A275" s="3"/>
      <c r="E275" s="5"/>
      <c r="G275" s="78"/>
    </row>
    <row r="276" spans="1:7">
      <c r="A276" s="3"/>
      <c r="E276" s="5"/>
      <c r="G276" s="78"/>
    </row>
    <row r="277" spans="1:7">
      <c r="A277" s="3"/>
      <c r="E277" s="5"/>
      <c r="G277" s="78"/>
    </row>
    <row r="278" spans="1:7">
      <c r="A278" s="3"/>
      <c r="E278" s="5"/>
      <c r="G278" s="78"/>
    </row>
    <row r="279" spans="1:7">
      <c r="A279" s="3"/>
      <c r="E279" s="5"/>
      <c r="G279" s="78"/>
    </row>
    <row r="280" spans="1:7">
      <c r="A280" s="3"/>
      <c r="E280" s="5"/>
      <c r="G280" s="78"/>
    </row>
    <row r="281" spans="1:7">
      <c r="A281" s="3"/>
      <c r="E281" s="5"/>
      <c r="G281" s="78"/>
    </row>
    <row r="282" spans="1:7">
      <c r="A282" s="3"/>
      <c r="E282" s="5"/>
      <c r="G282" s="78"/>
    </row>
    <row r="283" spans="1:7">
      <c r="A283" s="3"/>
      <c r="E283" s="5"/>
      <c r="G283" s="78"/>
    </row>
    <row r="284" spans="1:7">
      <c r="A284" s="3"/>
      <c r="E284" s="5"/>
      <c r="G284" s="78"/>
    </row>
    <row r="285" spans="1:7">
      <c r="A285" s="3"/>
      <c r="E285" s="5"/>
      <c r="G285" s="78"/>
    </row>
    <row r="286" spans="1:7">
      <c r="A286" s="3"/>
      <c r="E286" s="5"/>
      <c r="G286" s="78"/>
    </row>
    <row r="287" spans="1:7">
      <c r="A287" s="3"/>
      <c r="E287" s="5"/>
      <c r="G287" s="78"/>
    </row>
    <row r="288" spans="1:7">
      <c r="A288" s="3"/>
      <c r="E288" s="5"/>
      <c r="G288" s="78"/>
    </row>
    <row r="289" spans="1:7">
      <c r="A289" s="3"/>
      <c r="E289" s="5"/>
      <c r="G289" s="78"/>
    </row>
    <row r="290" spans="1:7">
      <c r="A290" s="3"/>
      <c r="E290" s="5"/>
      <c r="G290" s="78"/>
    </row>
    <row r="291" spans="1:7">
      <c r="A291" s="3"/>
      <c r="E291" s="5"/>
      <c r="G291" s="78"/>
    </row>
    <row r="292" spans="1:7">
      <c r="A292" s="3"/>
      <c r="E292" s="5"/>
      <c r="G292" s="78"/>
    </row>
    <row r="293" spans="1:7">
      <c r="A293" s="3"/>
      <c r="E293" s="5"/>
      <c r="G293" s="78"/>
    </row>
    <row r="294" spans="1:7">
      <c r="A294" s="3"/>
      <c r="E294" s="5"/>
      <c r="G294" s="78"/>
    </row>
    <row r="295" spans="1:7">
      <c r="A295" s="3"/>
      <c r="E295" s="5"/>
      <c r="G295" s="78"/>
    </row>
    <row r="296" spans="1:7">
      <c r="A296" s="3"/>
      <c r="E296" s="5"/>
      <c r="G296" s="78"/>
    </row>
    <row r="297" spans="1:7">
      <c r="A297" s="3"/>
      <c r="E297" s="5"/>
      <c r="G297" s="78"/>
    </row>
    <row r="298" spans="1:7">
      <c r="A298" s="3"/>
      <c r="E298" s="5"/>
      <c r="G298" s="78"/>
    </row>
    <row r="299" spans="1:7">
      <c r="A299" s="3"/>
      <c r="E299" s="5"/>
      <c r="G299" s="78"/>
    </row>
    <row r="300" spans="1:7">
      <c r="A300" s="3"/>
      <c r="E300" s="5"/>
      <c r="G300" s="78"/>
    </row>
    <row r="301" spans="1:7">
      <c r="A301" s="3"/>
      <c r="E301" s="5"/>
      <c r="G301" s="78"/>
    </row>
    <row r="302" spans="1:7">
      <c r="A302" s="3"/>
      <c r="E302" s="5"/>
      <c r="G302" s="78"/>
    </row>
    <row r="303" spans="1:7">
      <c r="A303" s="3"/>
      <c r="E303" s="5"/>
      <c r="G303" s="78"/>
    </row>
    <row r="304" spans="1:7">
      <c r="A304" s="3"/>
      <c r="E304" s="5"/>
      <c r="G304" s="78"/>
    </row>
    <row r="305" spans="1:7">
      <c r="A305" s="3"/>
      <c r="E305" s="5"/>
      <c r="G305" s="78"/>
    </row>
    <row r="306" spans="1:7">
      <c r="A306" s="3"/>
      <c r="E306" s="5"/>
      <c r="G306" s="78"/>
    </row>
    <row r="307" spans="1:7">
      <c r="A307" s="3"/>
      <c r="E307" s="5"/>
      <c r="G307" s="78"/>
    </row>
    <row r="308" spans="1:7">
      <c r="A308" s="3"/>
      <c r="E308" s="5"/>
      <c r="G308" s="78"/>
    </row>
    <row r="309" spans="1:7">
      <c r="A309" s="3"/>
      <c r="E309" s="5"/>
      <c r="G309" s="78"/>
    </row>
    <row r="310" spans="1:7">
      <c r="A310" s="3"/>
      <c r="E310" s="5"/>
      <c r="G310" s="78"/>
    </row>
    <row r="311" spans="1:7">
      <c r="A311" s="3"/>
      <c r="E311" s="5"/>
      <c r="G311" s="78"/>
    </row>
    <row r="312" spans="1:7">
      <c r="A312" s="3"/>
      <c r="E312" s="5"/>
      <c r="G312" s="78"/>
    </row>
    <row r="313" spans="1:7">
      <c r="A313" s="3"/>
      <c r="E313" s="5"/>
      <c r="G313" s="78"/>
    </row>
    <row r="314" spans="1:7">
      <c r="A314" s="3"/>
      <c r="E314" s="5"/>
      <c r="G314" s="78"/>
    </row>
    <row r="315" spans="1:7">
      <c r="A315" s="3"/>
      <c r="E315" s="5"/>
      <c r="G315" s="78"/>
    </row>
    <row r="316" spans="1:7">
      <c r="A316" s="3"/>
      <c r="E316" s="5"/>
      <c r="G316" s="78"/>
    </row>
    <row r="317" spans="1:7">
      <c r="A317" s="3"/>
      <c r="E317" s="5"/>
      <c r="G317" s="78"/>
    </row>
    <row r="318" spans="1:7">
      <c r="A318" s="3"/>
      <c r="E318" s="5"/>
      <c r="G318" s="78"/>
    </row>
    <row r="319" spans="1:7">
      <c r="A319" s="3"/>
      <c r="E319" s="5"/>
      <c r="G319" s="78"/>
    </row>
    <row r="320" spans="1:7">
      <c r="A320" s="3"/>
      <c r="E320" s="5"/>
      <c r="G320" s="78"/>
    </row>
    <row r="321" spans="1:7">
      <c r="A321" s="3"/>
      <c r="E321" s="5"/>
      <c r="G321" s="78"/>
    </row>
    <row r="322" spans="1:7">
      <c r="A322" s="3"/>
      <c r="E322" s="5"/>
      <c r="G322" s="78"/>
    </row>
    <row r="323" spans="1:7">
      <c r="A323" s="3"/>
      <c r="E323" s="5"/>
      <c r="G323" s="78"/>
    </row>
    <row r="324" spans="1:7">
      <c r="A324" s="3"/>
      <c r="E324" s="5"/>
      <c r="G324" s="78"/>
    </row>
    <row r="325" spans="1:7">
      <c r="A325" s="3"/>
      <c r="E325" s="5"/>
      <c r="G325" s="78"/>
    </row>
    <row r="326" spans="1:7">
      <c r="A326" s="3"/>
      <c r="E326" s="5"/>
      <c r="G326" s="78"/>
    </row>
    <row r="327" spans="1:7">
      <c r="A327" s="3"/>
      <c r="E327" s="5"/>
      <c r="G327" s="78"/>
    </row>
    <row r="328" spans="1:7">
      <c r="A328" s="3"/>
      <c r="E328" s="5"/>
      <c r="G328" s="78"/>
    </row>
    <row r="329" spans="1:7">
      <c r="A329" s="3"/>
      <c r="E329" s="5"/>
      <c r="G329" s="78"/>
    </row>
    <row r="330" spans="1:7">
      <c r="A330" s="3"/>
      <c r="E330" s="5"/>
      <c r="G330" s="78"/>
    </row>
    <row r="331" spans="1:7">
      <c r="A331" s="3"/>
      <c r="E331" s="5"/>
      <c r="G331" s="78"/>
    </row>
    <row r="332" spans="1:7">
      <c r="A332" s="3"/>
      <c r="E332" s="5"/>
      <c r="G332" s="78"/>
    </row>
    <row r="333" spans="1:7">
      <c r="A333" s="3"/>
      <c r="E333" s="5"/>
      <c r="G333" s="78"/>
    </row>
    <row r="334" spans="1:7">
      <c r="A334" s="3"/>
      <c r="E334" s="5"/>
      <c r="G334" s="78"/>
    </row>
    <row r="335" spans="1:7">
      <c r="A335" s="3"/>
      <c r="E335" s="5"/>
      <c r="G335" s="78"/>
    </row>
    <row r="336" spans="1:7">
      <c r="A336" s="3"/>
      <c r="E336" s="5"/>
      <c r="G336" s="78"/>
    </row>
    <row r="337" spans="1:7">
      <c r="A337" s="3"/>
      <c r="E337" s="5"/>
      <c r="G337" s="78"/>
    </row>
    <row r="338" spans="1:7">
      <c r="A338" s="3"/>
      <c r="E338" s="5"/>
      <c r="G338" s="78"/>
    </row>
    <row r="339" spans="1:7">
      <c r="A339" s="3"/>
      <c r="E339" s="5"/>
      <c r="G339" s="78"/>
    </row>
    <row r="340" spans="1:7">
      <c r="A340" s="3"/>
      <c r="E340" s="5"/>
      <c r="G340" s="78"/>
    </row>
    <row r="341" spans="1:7">
      <c r="A341" s="3"/>
      <c r="E341" s="5"/>
      <c r="G341" s="78"/>
    </row>
    <row r="342" spans="1:7">
      <c r="A342" s="3"/>
      <c r="E342" s="5"/>
      <c r="G342" s="78"/>
    </row>
    <row r="343" spans="1:7">
      <c r="A343" s="3"/>
      <c r="E343" s="5"/>
      <c r="G343" s="78"/>
    </row>
    <row r="344" spans="1:7">
      <c r="A344" s="3"/>
      <c r="E344" s="5"/>
      <c r="G344" s="78"/>
    </row>
    <row r="345" spans="1:7">
      <c r="A345" s="3"/>
      <c r="E345" s="5"/>
      <c r="G345" s="78"/>
    </row>
    <row r="346" spans="1:7">
      <c r="A346" s="3"/>
      <c r="E346" s="5"/>
      <c r="G346" s="78"/>
    </row>
    <row r="347" spans="1:7">
      <c r="A347" s="3"/>
      <c r="E347" s="5"/>
      <c r="G347" s="78"/>
    </row>
    <row r="348" spans="1:7">
      <c r="A348" s="3"/>
      <c r="E348" s="5"/>
      <c r="G348" s="78"/>
    </row>
    <row r="349" spans="1:7">
      <c r="A349" s="3"/>
      <c r="E349" s="5"/>
      <c r="G349" s="78"/>
    </row>
    <row r="350" spans="1:7">
      <c r="A350" s="3"/>
      <c r="E350" s="5"/>
      <c r="G350" s="78"/>
    </row>
    <row r="351" spans="1:7">
      <c r="A351" s="3"/>
      <c r="E351" s="5"/>
      <c r="G351" s="78"/>
    </row>
    <row r="352" spans="1:7">
      <c r="A352" s="3"/>
      <c r="E352" s="5"/>
      <c r="G352" s="78"/>
    </row>
    <row r="353" spans="1:7">
      <c r="A353" s="3"/>
      <c r="E353" s="5"/>
      <c r="G353" s="78"/>
    </row>
    <row r="354" spans="1:7">
      <c r="A354" s="3"/>
      <c r="E354" s="5"/>
      <c r="G354" s="78"/>
    </row>
    <row r="355" spans="1:7">
      <c r="A355" s="3"/>
      <c r="E355" s="5"/>
      <c r="G355" s="78"/>
    </row>
    <row r="356" spans="1:7">
      <c r="A356" s="3"/>
      <c r="E356" s="5"/>
      <c r="G356" s="78"/>
    </row>
    <row r="357" spans="1:7">
      <c r="A357" s="3"/>
      <c r="E357" s="5"/>
      <c r="G357" s="78"/>
    </row>
    <row r="358" spans="1:7">
      <c r="A358" s="3"/>
      <c r="E358" s="5"/>
      <c r="G358" s="78"/>
    </row>
    <row r="359" spans="1:7">
      <c r="A359" s="3"/>
      <c r="E359" s="5"/>
      <c r="G359" s="78"/>
    </row>
    <row r="360" spans="1:7">
      <c r="A360" s="3"/>
      <c r="E360" s="5"/>
      <c r="G360" s="78"/>
    </row>
    <row r="361" spans="1:7">
      <c r="A361" s="3"/>
      <c r="E361" s="5"/>
      <c r="G361" s="78"/>
    </row>
    <row r="362" spans="1:7">
      <c r="A362" s="3"/>
      <c r="E362" s="5"/>
      <c r="G362" s="78"/>
    </row>
    <row r="363" spans="1:7">
      <c r="A363" s="3"/>
      <c r="E363" s="5"/>
      <c r="G363" s="78"/>
    </row>
    <row r="364" spans="1:7">
      <c r="A364" s="3"/>
      <c r="E364" s="5"/>
      <c r="G364" s="78"/>
    </row>
    <row r="365" spans="1:7">
      <c r="A365" s="3"/>
      <c r="E365" s="5"/>
      <c r="G365" s="78"/>
    </row>
    <row r="366" spans="1:7">
      <c r="A366" s="3"/>
      <c r="E366" s="5"/>
      <c r="G366" s="78"/>
    </row>
    <row r="367" spans="1:7">
      <c r="A367" s="3"/>
      <c r="E367" s="5"/>
      <c r="G367" s="78"/>
    </row>
    <row r="368" spans="1:7">
      <c r="A368" s="3"/>
      <c r="E368" s="5"/>
      <c r="G368" s="78"/>
    </row>
    <row r="369" spans="1:7">
      <c r="A369" s="3"/>
      <c r="E369" s="5"/>
      <c r="G369" s="78"/>
    </row>
    <row r="370" spans="1:7">
      <c r="A370" s="3"/>
      <c r="E370" s="5"/>
      <c r="G370" s="78"/>
    </row>
    <row r="371" spans="1:7">
      <c r="A371" s="3"/>
      <c r="E371" s="5"/>
      <c r="G371" s="78"/>
    </row>
    <row r="372" spans="1:7">
      <c r="A372" s="3"/>
      <c r="E372" s="5"/>
      <c r="G372" s="78"/>
    </row>
    <row r="373" spans="1:7">
      <c r="A373" s="3"/>
      <c r="E373" s="5"/>
      <c r="G373" s="78"/>
    </row>
    <row r="374" spans="1:7">
      <c r="A374" s="3"/>
      <c r="E374" s="5"/>
      <c r="G374" s="78"/>
    </row>
    <row r="375" spans="1:7">
      <c r="A375" s="3"/>
      <c r="E375" s="5"/>
      <c r="G375" s="78"/>
    </row>
    <row r="376" spans="1:7">
      <c r="A376" s="3"/>
      <c r="E376" s="5"/>
      <c r="G376" s="78"/>
    </row>
    <row r="377" spans="1:7">
      <c r="A377" s="3"/>
      <c r="E377" s="5"/>
      <c r="G377" s="78"/>
    </row>
    <row r="378" spans="1:7">
      <c r="A378" s="3"/>
      <c r="E378" s="5"/>
      <c r="G378" s="78"/>
    </row>
    <row r="379" spans="1:7">
      <c r="A379" s="3"/>
      <c r="E379" s="5"/>
      <c r="G379" s="78"/>
    </row>
    <row r="380" spans="1:7">
      <c r="A380" s="3"/>
      <c r="E380" s="5"/>
      <c r="G380" s="78"/>
    </row>
    <row r="381" spans="1:7">
      <c r="A381" s="3"/>
      <c r="E381" s="5"/>
      <c r="G381" s="78"/>
    </row>
    <row r="382" spans="1:7">
      <c r="A382" s="3"/>
      <c r="E382" s="5"/>
      <c r="G382" s="78"/>
    </row>
    <row r="383" spans="1:7">
      <c r="A383" s="3"/>
      <c r="E383" s="5"/>
      <c r="G383" s="78"/>
    </row>
    <row r="384" spans="1:7">
      <c r="A384" s="3"/>
      <c r="E384" s="5"/>
      <c r="G384" s="78"/>
    </row>
    <row r="385" spans="1:7">
      <c r="A385" s="3"/>
      <c r="E385" s="5"/>
      <c r="G385" s="78"/>
    </row>
    <row r="386" spans="1:7">
      <c r="A386" s="3"/>
      <c r="E386" s="5"/>
      <c r="G386" s="78"/>
    </row>
    <row r="387" spans="1:7">
      <c r="A387" s="3"/>
      <c r="E387" s="5"/>
      <c r="G387" s="78"/>
    </row>
    <row r="388" spans="1:7">
      <c r="A388" s="3"/>
      <c r="E388" s="5"/>
      <c r="G388" s="78"/>
    </row>
    <row r="389" spans="1:7">
      <c r="A389" s="3"/>
      <c r="E389" s="5"/>
      <c r="G389" s="78"/>
    </row>
    <row r="390" spans="1:7">
      <c r="A390" s="3"/>
      <c r="E390" s="5"/>
      <c r="G390" s="78"/>
    </row>
    <row r="391" spans="1:7">
      <c r="A391" s="3"/>
      <c r="E391" s="5"/>
      <c r="G391" s="78"/>
    </row>
    <row r="392" spans="1:7">
      <c r="A392" s="3"/>
      <c r="E392" s="5"/>
      <c r="G392" s="78"/>
    </row>
    <row r="393" spans="1:7">
      <c r="A393" s="3"/>
      <c r="E393" s="5"/>
      <c r="G393" s="78"/>
    </row>
    <row r="394" spans="1:7">
      <c r="A394" s="3"/>
      <c r="E394" s="5"/>
      <c r="G394" s="78"/>
    </row>
    <row r="395" spans="1:7">
      <c r="A395" s="3"/>
      <c r="E395" s="5"/>
      <c r="G395" s="78"/>
    </row>
    <row r="396" spans="1:7">
      <c r="A396" s="3"/>
      <c r="E396" s="5"/>
      <c r="G396" s="78"/>
    </row>
    <row r="397" spans="1:7">
      <c r="A397" s="3"/>
      <c r="E397" s="5"/>
      <c r="G397" s="78"/>
    </row>
    <row r="398" spans="1:7">
      <c r="A398" s="3"/>
      <c r="E398" s="5"/>
      <c r="G398" s="78"/>
    </row>
    <row r="399" spans="1:7">
      <c r="A399" s="3"/>
      <c r="E399" s="5"/>
      <c r="G399" s="78"/>
    </row>
    <row r="400" spans="1:7">
      <c r="A400" s="3"/>
      <c r="E400" s="5"/>
      <c r="G400" s="78"/>
    </row>
    <row r="401" spans="1:7">
      <c r="A401" s="3"/>
      <c r="E401" s="5"/>
      <c r="G401" s="78"/>
    </row>
    <row r="402" spans="1:7">
      <c r="A402" s="3"/>
      <c r="E402" s="5"/>
      <c r="G402" s="78"/>
    </row>
    <row r="403" spans="1:7">
      <c r="A403" s="3"/>
      <c r="E403" s="5"/>
      <c r="G403" s="78"/>
    </row>
    <row r="404" spans="1:7">
      <c r="A404" s="3"/>
      <c r="E404" s="5"/>
      <c r="G404" s="78"/>
    </row>
    <row r="405" spans="1:7">
      <c r="A405" s="3"/>
      <c r="E405" s="5"/>
      <c r="G405" s="78"/>
    </row>
    <row r="406" spans="1:7">
      <c r="A406" s="3"/>
      <c r="E406" s="5"/>
      <c r="G406" s="78"/>
    </row>
    <row r="407" spans="1:7">
      <c r="A407" s="3"/>
      <c r="E407" s="5"/>
      <c r="G407" s="78"/>
    </row>
    <row r="408" spans="1:7">
      <c r="A408" s="3"/>
      <c r="E408" s="5"/>
      <c r="G408" s="78"/>
    </row>
    <row r="409" spans="1:7">
      <c r="A409" s="3"/>
      <c r="E409" s="5"/>
      <c r="G409" s="78"/>
    </row>
    <row r="410" spans="1:7">
      <c r="A410" s="3"/>
      <c r="E410" s="5"/>
      <c r="G410" s="78"/>
    </row>
    <row r="411" spans="1:7">
      <c r="A411" s="3"/>
      <c r="E411" s="5"/>
      <c r="G411" s="78"/>
    </row>
    <row r="412" spans="1:7">
      <c r="A412" s="3"/>
      <c r="E412" s="5"/>
      <c r="G412" s="78"/>
    </row>
    <row r="413" spans="1:7">
      <c r="A413" s="3"/>
      <c r="E413" s="5"/>
      <c r="G413" s="78"/>
    </row>
    <row r="414" spans="1:7">
      <c r="A414" s="3"/>
      <c r="E414" s="5"/>
      <c r="G414" s="78"/>
    </row>
    <row r="415" spans="1:7">
      <c r="A415" s="3"/>
      <c r="E415" s="5"/>
      <c r="G415" s="78"/>
    </row>
    <row r="416" spans="1:7">
      <c r="A416" s="3"/>
      <c r="E416" s="5"/>
      <c r="G416" s="78"/>
    </row>
    <row r="417" spans="1:7">
      <c r="A417" s="3"/>
      <c r="E417" s="5"/>
      <c r="G417" s="78"/>
    </row>
    <row r="418" spans="1:7">
      <c r="A418" s="3"/>
      <c r="E418" s="5"/>
      <c r="G418" s="78"/>
    </row>
    <row r="419" spans="1:7">
      <c r="A419" s="3"/>
      <c r="E419" s="5"/>
      <c r="G419" s="78"/>
    </row>
    <row r="420" spans="1:7">
      <c r="A420" s="3"/>
      <c r="E420" s="5"/>
      <c r="G420" s="78"/>
    </row>
    <row r="421" spans="1:7">
      <c r="A421" s="3"/>
      <c r="E421" s="5"/>
      <c r="G421" s="78"/>
    </row>
    <row r="422" spans="1:7">
      <c r="A422" s="3"/>
      <c r="E422" s="5"/>
      <c r="G422" s="78"/>
    </row>
    <row r="423" spans="1:7">
      <c r="A423" s="3"/>
      <c r="E423" s="5"/>
      <c r="G423" s="78"/>
    </row>
    <row r="424" spans="1:7">
      <c r="A424" s="3"/>
      <c r="E424" s="5"/>
      <c r="G424" s="78"/>
    </row>
    <row r="425" spans="1:7">
      <c r="A425" s="3"/>
      <c r="E425" s="5"/>
      <c r="G425" s="78"/>
    </row>
    <row r="426" spans="1:7">
      <c r="A426" s="3"/>
      <c r="E426" s="5"/>
      <c r="G426" s="78"/>
    </row>
    <row r="427" spans="1:7">
      <c r="A427" s="3"/>
      <c r="E427" s="5"/>
      <c r="G427" s="78"/>
    </row>
    <row r="428" spans="1:7">
      <c r="A428" s="3"/>
      <c r="E428" s="5"/>
      <c r="G428" s="78"/>
    </row>
    <row r="429" spans="1:7">
      <c r="A429" s="3"/>
      <c r="E429" s="5"/>
      <c r="G429" s="78"/>
    </row>
    <row r="430" spans="1:7">
      <c r="A430" s="3"/>
      <c r="E430" s="5"/>
      <c r="G430" s="78"/>
    </row>
    <row r="431" spans="1:7">
      <c r="A431" s="3"/>
      <c r="E431" s="5"/>
      <c r="G431" s="78"/>
    </row>
    <row r="432" spans="1:7">
      <c r="A432" s="3"/>
      <c r="E432" s="5"/>
      <c r="G432" s="78"/>
    </row>
    <row r="433" spans="1:7">
      <c r="A433" s="3"/>
      <c r="E433" s="5"/>
      <c r="G433" s="78"/>
    </row>
    <row r="434" spans="1:7">
      <c r="A434" s="3"/>
      <c r="E434" s="5"/>
      <c r="G434" s="78"/>
    </row>
    <row r="435" spans="1:7">
      <c r="A435" s="3"/>
      <c r="E435" s="5"/>
      <c r="G435" s="78"/>
    </row>
    <row r="436" spans="1:7">
      <c r="A436" s="3"/>
      <c r="E436" s="5"/>
      <c r="G436" s="78"/>
    </row>
    <row r="437" spans="1:7">
      <c r="A437" s="3"/>
      <c r="E437" s="5"/>
      <c r="G437" s="78"/>
    </row>
    <row r="438" spans="1:7">
      <c r="A438" s="3"/>
      <c r="E438" s="5"/>
      <c r="G438" s="78"/>
    </row>
    <row r="439" spans="1:7">
      <c r="A439" s="3"/>
      <c r="E439" s="5"/>
      <c r="G439" s="78"/>
    </row>
    <row r="440" spans="1:7">
      <c r="A440" s="3"/>
      <c r="E440" s="5"/>
      <c r="G440" s="78"/>
    </row>
    <row r="441" spans="1:7">
      <c r="A441" s="3"/>
      <c r="E441" s="5"/>
      <c r="G441" s="78"/>
    </row>
    <row r="442" spans="1:7">
      <c r="A442" s="3"/>
      <c r="E442" s="5"/>
      <c r="G442" s="78"/>
    </row>
    <row r="443" spans="1:7">
      <c r="A443" s="3"/>
      <c r="E443" s="5"/>
      <c r="G443" s="78"/>
    </row>
    <row r="444" spans="1:7">
      <c r="A444" s="3"/>
      <c r="E444" s="5"/>
      <c r="G444" s="78"/>
    </row>
    <row r="445" spans="1:7">
      <c r="A445" s="3"/>
      <c r="E445" s="5"/>
      <c r="G445" s="78"/>
    </row>
    <row r="446" spans="1:7">
      <c r="A446" s="3"/>
      <c r="E446" s="5"/>
      <c r="G446" s="78"/>
    </row>
    <row r="447" spans="1:7">
      <c r="A447" s="3"/>
      <c r="E447" s="5"/>
      <c r="G447" s="78"/>
    </row>
    <row r="448" spans="1:7">
      <c r="A448" s="3"/>
      <c r="E448" s="5"/>
      <c r="G448" s="78"/>
    </row>
    <row r="449" spans="1:7">
      <c r="A449" s="3"/>
      <c r="E449" s="5"/>
      <c r="G449" s="78"/>
    </row>
    <row r="450" spans="1:7">
      <c r="A450" s="3"/>
      <c r="E450" s="5"/>
      <c r="G450" s="78"/>
    </row>
    <row r="451" spans="1:7">
      <c r="A451" s="3"/>
      <c r="E451" s="5"/>
      <c r="G451" s="78"/>
    </row>
    <row r="452" spans="1:7">
      <c r="A452" s="3"/>
      <c r="E452" s="5"/>
      <c r="G452" s="78"/>
    </row>
    <row r="453" spans="1:7">
      <c r="A453" s="3"/>
      <c r="E453" s="5"/>
      <c r="G453" s="78"/>
    </row>
    <row r="454" spans="1:7">
      <c r="A454" s="3"/>
      <c r="E454" s="5"/>
      <c r="G454" s="78"/>
    </row>
    <row r="455" spans="1:7">
      <c r="A455" s="3"/>
      <c r="E455" s="5"/>
      <c r="G455" s="78"/>
    </row>
    <row r="456" spans="1:7">
      <c r="A456" s="3"/>
      <c r="E456" s="5"/>
      <c r="G456" s="78"/>
    </row>
    <row r="457" spans="1:7">
      <c r="A457" s="3"/>
      <c r="E457" s="5"/>
      <c r="G457" s="78"/>
    </row>
    <row r="458" spans="1:7">
      <c r="A458" s="3"/>
      <c r="E458" s="5"/>
      <c r="G458" s="78"/>
    </row>
    <row r="459" spans="1:7">
      <c r="A459" s="3"/>
      <c r="E459" s="5"/>
      <c r="G459" s="78"/>
    </row>
    <row r="460" spans="1:7">
      <c r="A460" s="3"/>
      <c r="E460" s="5"/>
      <c r="G460" s="78"/>
    </row>
    <row r="461" spans="1:7">
      <c r="A461" s="3"/>
      <c r="E461" s="5"/>
      <c r="G461" s="78"/>
    </row>
    <row r="462" spans="1:7">
      <c r="A462" s="3"/>
      <c r="E462" s="5"/>
      <c r="G462" s="78"/>
    </row>
    <row r="463" spans="1:7">
      <c r="A463" s="3"/>
      <c r="E463" s="5"/>
      <c r="G463" s="78"/>
    </row>
    <row r="464" spans="1:7">
      <c r="A464" s="3"/>
      <c r="E464" s="5"/>
      <c r="G464" s="78"/>
    </row>
    <row r="465" spans="1:7">
      <c r="A465" s="3"/>
      <c r="E465" s="5"/>
      <c r="G465" s="78"/>
    </row>
    <row r="466" spans="1:7">
      <c r="A466" s="3"/>
      <c r="E466" s="5"/>
      <c r="G466" s="78"/>
    </row>
    <row r="467" spans="1:7">
      <c r="A467" s="3"/>
      <c r="E467" s="5"/>
      <c r="G467" s="78"/>
    </row>
    <row r="468" spans="1:7">
      <c r="A468" s="3"/>
      <c r="E468" s="5"/>
      <c r="G468" s="78"/>
    </row>
    <row r="469" spans="1:7">
      <c r="A469" s="3"/>
      <c r="E469" s="5"/>
      <c r="G469" s="78"/>
    </row>
    <row r="470" spans="1:7">
      <c r="A470" s="3"/>
      <c r="E470" s="5"/>
      <c r="G470" s="78"/>
    </row>
    <row r="471" spans="1:7">
      <c r="A471" s="3"/>
      <c r="E471" s="5"/>
      <c r="G471" s="78"/>
    </row>
    <row r="472" spans="1:7">
      <c r="A472" s="3"/>
      <c r="E472" s="5"/>
      <c r="G472" s="78"/>
    </row>
    <row r="473" spans="1:7">
      <c r="A473" s="3"/>
      <c r="E473" s="5"/>
      <c r="G473" s="78"/>
    </row>
    <row r="474" spans="1:7">
      <c r="A474" s="3"/>
      <c r="E474" s="5"/>
      <c r="G474" s="78"/>
    </row>
    <row r="475" spans="1:7">
      <c r="A475" s="3"/>
      <c r="E475" s="5"/>
      <c r="G475" s="78"/>
    </row>
    <row r="476" spans="1:7">
      <c r="A476" s="3"/>
      <c r="E476" s="5"/>
      <c r="G476" s="78"/>
    </row>
    <row r="477" spans="1:7">
      <c r="A477" s="3"/>
      <c r="E477" s="5"/>
      <c r="G477" s="78"/>
    </row>
    <row r="478" spans="1:7">
      <c r="A478" s="3"/>
      <c r="E478" s="5"/>
      <c r="G478" s="78"/>
    </row>
    <row r="479" spans="1:7">
      <c r="A479" s="3"/>
      <c r="E479" s="5"/>
      <c r="G479" s="78"/>
    </row>
    <row r="480" spans="1:7">
      <c r="A480" s="3"/>
      <c r="E480" s="5"/>
      <c r="G480" s="78"/>
    </row>
    <row r="481" spans="1:7">
      <c r="A481" s="3"/>
      <c r="E481" s="5"/>
      <c r="G481" s="78"/>
    </row>
    <row r="482" spans="1:7">
      <c r="A482" s="3"/>
      <c r="E482" s="5"/>
      <c r="G482" s="78"/>
    </row>
    <row r="483" spans="1:7">
      <c r="A483" s="3"/>
      <c r="E483" s="5"/>
      <c r="G483" s="78"/>
    </row>
    <row r="484" spans="1:7">
      <c r="A484" s="3"/>
      <c r="E484" s="5"/>
      <c r="G484" s="78"/>
    </row>
    <row r="485" spans="1:7">
      <c r="A485" s="3"/>
      <c r="E485" s="5"/>
      <c r="G485" s="78"/>
    </row>
    <row r="486" spans="1:7">
      <c r="A486" s="3"/>
      <c r="E486" s="5"/>
      <c r="G486" s="78"/>
    </row>
    <row r="487" spans="1:7">
      <c r="A487" s="3"/>
      <c r="E487" s="5"/>
      <c r="G487" s="78"/>
    </row>
    <row r="488" spans="1:7">
      <c r="A488" s="3"/>
      <c r="E488" s="5"/>
      <c r="G488" s="78"/>
    </row>
    <row r="489" spans="1:7">
      <c r="A489" s="3"/>
      <c r="E489" s="5"/>
      <c r="G489" s="78"/>
    </row>
    <row r="490" spans="1:7">
      <c r="A490" s="3"/>
      <c r="E490" s="5"/>
      <c r="G490" s="78"/>
    </row>
    <row r="491" spans="1:7">
      <c r="A491" s="3"/>
      <c r="E491" s="5"/>
      <c r="G491" s="78"/>
    </row>
    <row r="492" spans="1:7">
      <c r="A492" s="3"/>
      <c r="E492" s="5"/>
      <c r="G492" s="78"/>
    </row>
    <row r="493" spans="1:7">
      <c r="A493" s="3"/>
      <c r="E493" s="5"/>
      <c r="G493" s="78"/>
    </row>
    <row r="494" spans="1:7">
      <c r="A494" s="3"/>
      <c r="E494" s="5"/>
      <c r="G494" s="78"/>
    </row>
    <row r="495" spans="1:7">
      <c r="A495" s="3"/>
      <c r="E495" s="5"/>
      <c r="G495" s="78"/>
    </row>
    <row r="496" spans="1:7">
      <c r="A496" s="3"/>
      <c r="E496" s="5"/>
      <c r="G496" s="78"/>
    </row>
    <row r="497" spans="1:7">
      <c r="A497" s="3"/>
      <c r="E497" s="5"/>
      <c r="G497" s="78"/>
    </row>
    <row r="498" spans="1:7">
      <c r="A498" s="3"/>
      <c r="E498" s="5"/>
      <c r="G498" s="78"/>
    </row>
    <row r="499" spans="1:7">
      <c r="A499" s="3"/>
      <c r="E499" s="5"/>
      <c r="G499" s="78"/>
    </row>
    <row r="500" spans="1:7">
      <c r="A500" s="3"/>
      <c r="E500" s="5"/>
      <c r="G500" s="78"/>
    </row>
    <row r="501" spans="1:7">
      <c r="A501" s="3"/>
      <c r="E501" s="5"/>
      <c r="G501" s="78"/>
    </row>
    <row r="502" spans="1:7">
      <c r="A502" s="3"/>
      <c r="E502" s="5"/>
      <c r="G502" s="78"/>
    </row>
    <row r="503" spans="1:7">
      <c r="A503" s="3"/>
      <c r="E503" s="5"/>
      <c r="G503" s="78"/>
    </row>
    <row r="504" spans="1:7">
      <c r="A504" s="3"/>
      <c r="E504" s="5"/>
      <c r="G504" s="78"/>
    </row>
    <row r="505" spans="1:7">
      <c r="A505" s="3"/>
      <c r="E505" s="5"/>
      <c r="G505" s="78"/>
    </row>
    <row r="506" spans="1:7">
      <c r="A506" s="3"/>
      <c r="E506" s="5"/>
      <c r="G506" s="78"/>
    </row>
    <row r="507" spans="1:7">
      <c r="A507" s="3"/>
      <c r="E507" s="5"/>
      <c r="G507" s="78"/>
    </row>
    <row r="508" spans="1:7">
      <c r="A508" s="3"/>
      <c r="E508" s="5"/>
      <c r="G508" s="78"/>
    </row>
    <row r="509" spans="1:7">
      <c r="A509" s="3"/>
      <c r="E509" s="5"/>
      <c r="G509" s="78"/>
    </row>
    <row r="510" spans="1:7">
      <c r="A510" s="3"/>
      <c r="E510" s="5"/>
      <c r="G510" s="78"/>
    </row>
    <row r="511" spans="1:7">
      <c r="A511" s="3"/>
      <c r="E511" s="5"/>
      <c r="G511" s="78"/>
    </row>
    <row r="512" spans="1:7">
      <c r="A512" s="3"/>
      <c r="E512" s="5"/>
      <c r="G512" s="78"/>
    </row>
    <row r="513" spans="1:7">
      <c r="A513" s="3"/>
      <c r="E513" s="5"/>
      <c r="G513" s="78"/>
    </row>
    <row r="514" spans="1:7">
      <c r="A514" s="3"/>
      <c r="E514" s="5"/>
      <c r="G514" s="78"/>
    </row>
    <row r="515" spans="1:7">
      <c r="A515" s="3"/>
      <c r="E515" s="5"/>
      <c r="G515" s="78"/>
    </row>
    <row r="516" spans="1:7">
      <c r="A516" s="3"/>
      <c r="E516" s="5"/>
      <c r="G516" s="78"/>
    </row>
    <row r="517" spans="1:7">
      <c r="A517" s="3"/>
      <c r="E517" s="5"/>
      <c r="G517" s="78"/>
    </row>
    <row r="518" spans="1:7">
      <c r="A518" s="3"/>
      <c r="E518" s="5"/>
      <c r="G518" s="78"/>
    </row>
    <row r="519" spans="1:7">
      <c r="A519" s="3"/>
      <c r="E519" s="5"/>
      <c r="G519" s="78"/>
    </row>
    <row r="520" spans="1:7">
      <c r="A520" s="3"/>
      <c r="E520" s="5"/>
      <c r="G520" s="78"/>
    </row>
    <row r="521" spans="1:7">
      <c r="A521" s="3"/>
      <c r="E521" s="5"/>
      <c r="G521" s="78"/>
    </row>
    <row r="522" spans="1:7">
      <c r="A522" s="3"/>
      <c r="E522" s="5"/>
      <c r="G522" s="78"/>
    </row>
    <row r="523" spans="1:7">
      <c r="A523" s="3"/>
      <c r="E523" s="5"/>
      <c r="G523" s="78"/>
    </row>
    <row r="524" spans="1:7">
      <c r="A524" s="3"/>
      <c r="E524" s="5"/>
      <c r="G524" s="78"/>
    </row>
    <row r="525" spans="1:7">
      <c r="A525" s="3"/>
      <c r="E525" s="5"/>
      <c r="G525" s="78"/>
    </row>
    <row r="526" spans="1:7">
      <c r="A526" s="3"/>
      <c r="E526" s="5"/>
      <c r="G526" s="78"/>
    </row>
    <row r="527" spans="1:7">
      <c r="A527" s="3"/>
      <c r="E527" s="5"/>
      <c r="G527" s="78"/>
    </row>
    <row r="528" spans="1:7">
      <c r="A528" s="3"/>
      <c r="E528" s="5"/>
      <c r="G528" s="78"/>
    </row>
    <row r="529" spans="1:7">
      <c r="A529" s="3"/>
      <c r="E529" s="5"/>
      <c r="G529" s="78"/>
    </row>
    <row r="530" spans="1:7">
      <c r="A530" s="3"/>
      <c r="E530" s="5"/>
      <c r="G530" s="78"/>
    </row>
    <row r="531" spans="1:7">
      <c r="A531" s="3"/>
      <c r="E531" s="5"/>
      <c r="G531" s="78"/>
    </row>
    <row r="532" spans="1:7">
      <c r="A532" s="3"/>
      <c r="E532" s="5"/>
      <c r="G532" s="78"/>
    </row>
    <row r="533" spans="1:7">
      <c r="A533" s="3"/>
      <c r="E533" s="5"/>
      <c r="G533" s="78"/>
    </row>
    <row r="534" spans="1:7">
      <c r="A534" s="3"/>
      <c r="E534" s="5"/>
      <c r="G534" s="78"/>
    </row>
    <row r="535" spans="1:7">
      <c r="A535" s="3"/>
      <c r="E535" s="5"/>
      <c r="G535" s="78"/>
    </row>
    <row r="536" spans="1:7">
      <c r="A536" s="3"/>
      <c r="E536" s="5"/>
      <c r="G536" s="78"/>
    </row>
    <row r="537" spans="1:7">
      <c r="A537" s="3"/>
      <c r="E537" s="5"/>
      <c r="G537" s="78"/>
    </row>
    <row r="538" spans="1:7">
      <c r="A538" s="3"/>
      <c r="E538" s="5"/>
      <c r="G538" s="78"/>
    </row>
    <row r="539" spans="1:7">
      <c r="A539" s="3"/>
      <c r="E539" s="5"/>
      <c r="G539" s="78"/>
    </row>
    <row r="540" spans="1:7">
      <c r="A540" s="3"/>
      <c r="E540" s="5"/>
      <c r="G540" s="78"/>
    </row>
    <row r="541" spans="1:7">
      <c r="A541" s="3"/>
      <c r="E541" s="5"/>
      <c r="G541" s="78"/>
    </row>
    <row r="542" spans="1:7">
      <c r="A542" s="3"/>
      <c r="E542" s="5"/>
      <c r="G542" s="78"/>
    </row>
    <row r="543" spans="1:7">
      <c r="A543" s="3"/>
      <c r="E543" s="5"/>
      <c r="G543" s="78"/>
    </row>
    <row r="544" spans="1:7">
      <c r="A544" s="3"/>
      <c r="E544" s="5"/>
      <c r="G544" s="78"/>
    </row>
    <row r="545" spans="1:7">
      <c r="A545" s="3"/>
      <c r="E545" s="5"/>
      <c r="G545" s="78"/>
    </row>
    <row r="546" spans="1:7">
      <c r="A546" s="3"/>
      <c r="E546" s="5"/>
      <c r="G546" s="78"/>
    </row>
    <row r="547" spans="1:7">
      <c r="A547" s="3"/>
      <c r="E547" s="5"/>
      <c r="G547" s="78"/>
    </row>
    <row r="548" spans="1:7">
      <c r="A548" s="3"/>
      <c r="E548" s="5"/>
      <c r="G548" s="78"/>
    </row>
    <row r="549" spans="1:7">
      <c r="A549" s="3"/>
      <c r="E549" s="5"/>
      <c r="G549" s="78"/>
    </row>
    <row r="550" spans="1:7">
      <c r="A550" s="3"/>
      <c r="E550" s="5"/>
      <c r="G550" s="78"/>
    </row>
    <row r="551" spans="1:7">
      <c r="A551" s="3"/>
      <c r="E551" s="5"/>
      <c r="G551" s="78"/>
    </row>
    <row r="552" spans="1:7">
      <c r="A552" s="3"/>
      <c r="E552" s="5"/>
      <c r="G552" s="78"/>
    </row>
    <row r="553" spans="1:7">
      <c r="A553" s="3"/>
      <c r="E553" s="5"/>
      <c r="G553" s="78"/>
    </row>
    <row r="554" spans="1:7">
      <c r="A554" s="3"/>
      <c r="E554" s="5"/>
      <c r="G554" s="78"/>
    </row>
    <row r="555" spans="1:7">
      <c r="A555" s="3"/>
      <c r="E555" s="5"/>
      <c r="G555" s="78"/>
    </row>
    <row r="556" spans="1:7">
      <c r="A556" s="3"/>
      <c r="E556" s="5"/>
      <c r="G556" s="78"/>
    </row>
    <row r="557" spans="1:7">
      <c r="A557" s="3"/>
      <c r="E557" s="5"/>
      <c r="G557" s="78"/>
    </row>
    <row r="558" spans="1:7">
      <c r="A558" s="3"/>
      <c r="E558" s="5"/>
      <c r="G558" s="78"/>
    </row>
    <row r="559" spans="1:7">
      <c r="A559" s="3"/>
      <c r="E559" s="5"/>
      <c r="G559" s="78"/>
    </row>
    <row r="560" spans="1:7">
      <c r="A560" s="3"/>
      <c r="E560" s="5"/>
      <c r="G560" s="78"/>
    </row>
    <row r="561" spans="1:7">
      <c r="A561" s="3"/>
      <c r="E561" s="5"/>
      <c r="G561" s="78"/>
    </row>
    <row r="562" spans="1:7">
      <c r="A562" s="3"/>
      <c r="E562" s="5"/>
      <c r="G562" s="78"/>
    </row>
    <row r="563" spans="1:7">
      <c r="A563" s="3"/>
      <c r="E563" s="5"/>
      <c r="G563" s="78"/>
    </row>
    <row r="564" spans="1:7">
      <c r="A564" s="3"/>
      <c r="E564" s="5"/>
      <c r="G564" s="78"/>
    </row>
    <row r="565" spans="1:7">
      <c r="A565" s="3"/>
      <c r="E565" s="5"/>
      <c r="G565" s="78"/>
    </row>
    <row r="566" spans="1:7">
      <c r="A566" s="3"/>
      <c r="E566" s="5"/>
      <c r="G566" s="78"/>
    </row>
    <row r="567" spans="1:7">
      <c r="A567" s="3"/>
      <c r="E567" s="5"/>
      <c r="G567" s="78"/>
    </row>
    <row r="568" spans="1:7">
      <c r="A568" s="3"/>
      <c r="E568" s="5"/>
      <c r="G568" s="78"/>
    </row>
    <row r="569" spans="1:7">
      <c r="A569" s="3"/>
      <c r="E569" s="5"/>
      <c r="G569" s="78"/>
    </row>
    <row r="570" spans="1:7">
      <c r="A570" s="3"/>
      <c r="E570" s="5"/>
      <c r="G570" s="78"/>
    </row>
    <row r="571" spans="1:7">
      <c r="A571" s="3"/>
      <c r="E571" s="5"/>
      <c r="G571" s="78"/>
    </row>
    <row r="572" spans="1:7">
      <c r="A572" s="3"/>
      <c r="E572" s="5"/>
      <c r="G572" s="78"/>
    </row>
    <row r="573" spans="1:7">
      <c r="A573" s="3"/>
      <c r="E573" s="5"/>
      <c r="G573" s="78"/>
    </row>
    <row r="574" spans="1:7">
      <c r="A574" s="3"/>
      <c r="E574" s="5"/>
      <c r="G574" s="78"/>
    </row>
    <row r="575" spans="1:7">
      <c r="A575" s="3"/>
      <c r="E575" s="5"/>
      <c r="G575" s="78"/>
    </row>
    <row r="576" spans="1:7">
      <c r="A576" s="3"/>
      <c r="E576" s="5"/>
      <c r="G576" s="78"/>
    </row>
    <row r="577" spans="1:7">
      <c r="A577" s="3"/>
      <c r="E577" s="5"/>
      <c r="G577" s="78"/>
    </row>
    <row r="578" spans="1:7">
      <c r="A578" s="3"/>
      <c r="E578" s="5"/>
      <c r="G578" s="78"/>
    </row>
    <row r="579" spans="1:7">
      <c r="A579" s="3"/>
      <c r="E579" s="5"/>
      <c r="G579" s="78"/>
    </row>
    <row r="580" spans="1:7">
      <c r="A580" s="3"/>
      <c r="E580" s="5"/>
      <c r="G580" s="78"/>
    </row>
    <row r="581" spans="1:7">
      <c r="A581" s="3"/>
      <c r="E581" s="5"/>
      <c r="G581" s="78"/>
    </row>
    <row r="582" spans="1:7">
      <c r="A582" s="3"/>
      <c r="E582" s="5"/>
      <c r="G582" s="78"/>
    </row>
    <row r="583" spans="1:7">
      <c r="A583" s="3"/>
      <c r="E583" s="5"/>
      <c r="G583" s="78"/>
    </row>
    <row r="584" spans="1:7">
      <c r="A584" s="3"/>
      <c r="E584" s="5"/>
      <c r="G584" s="78"/>
    </row>
    <row r="585" spans="1:7">
      <c r="A585" s="3"/>
      <c r="E585" s="5"/>
      <c r="G585" s="78"/>
    </row>
    <row r="586" spans="1:7">
      <c r="A586" s="3"/>
      <c r="E586" s="5"/>
      <c r="G586" s="78"/>
    </row>
    <row r="587" spans="1:7">
      <c r="A587" s="3"/>
      <c r="E587" s="5"/>
      <c r="G587" s="78"/>
    </row>
    <row r="588" spans="1:7">
      <c r="A588" s="3"/>
      <c r="E588" s="5"/>
      <c r="G588" s="78"/>
    </row>
    <row r="589" spans="1:7">
      <c r="A589" s="3"/>
      <c r="E589" s="5"/>
      <c r="G589" s="78"/>
    </row>
    <row r="590" spans="1:7">
      <c r="A590" s="3"/>
      <c r="E590" s="5"/>
      <c r="G590" s="78"/>
    </row>
    <row r="591" spans="1:7">
      <c r="A591" s="3"/>
      <c r="E591" s="5"/>
      <c r="G591" s="78"/>
    </row>
    <row r="592" spans="1:7">
      <c r="A592" s="3"/>
      <c r="E592" s="5"/>
      <c r="G592" s="78"/>
    </row>
    <row r="593" spans="1:7">
      <c r="A593" s="3"/>
      <c r="E593" s="5"/>
      <c r="G593" s="78"/>
    </row>
    <row r="594" spans="1:7">
      <c r="A594" s="3"/>
      <c r="E594" s="5"/>
      <c r="G594" s="78"/>
    </row>
    <row r="595" spans="1:7">
      <c r="A595" s="3"/>
      <c r="E595" s="5"/>
      <c r="G595" s="78"/>
    </row>
    <row r="596" spans="1:7">
      <c r="A596" s="3"/>
      <c r="E596" s="5"/>
      <c r="G596" s="78"/>
    </row>
    <row r="597" spans="1:7">
      <c r="A597" s="3"/>
      <c r="E597" s="5"/>
      <c r="G597" s="78"/>
    </row>
    <row r="598" spans="1:7">
      <c r="A598" s="3"/>
      <c r="E598" s="5"/>
      <c r="G598" s="78"/>
    </row>
    <row r="599" spans="1:7">
      <c r="A599" s="3"/>
      <c r="E599" s="5"/>
      <c r="G599" s="78"/>
    </row>
    <row r="600" spans="1:7">
      <c r="A600" s="3"/>
      <c r="E600" s="5"/>
      <c r="G600" s="78"/>
    </row>
    <row r="601" spans="1:7">
      <c r="A601" s="3"/>
      <c r="E601" s="5"/>
      <c r="G601" s="78"/>
    </row>
    <row r="602" spans="1:7">
      <c r="A602" s="3"/>
      <c r="E602" s="5"/>
      <c r="G602" s="78"/>
    </row>
    <row r="603" spans="1:7">
      <c r="A603" s="3"/>
      <c r="E603" s="5"/>
      <c r="G603" s="78"/>
    </row>
    <row r="604" spans="1:7">
      <c r="A604" s="3"/>
      <c r="E604" s="5"/>
      <c r="G604" s="78"/>
    </row>
    <row r="605" spans="1:7">
      <c r="A605" s="3"/>
      <c r="E605" s="5"/>
      <c r="G605" s="78"/>
    </row>
    <row r="606" spans="1:7">
      <c r="A606" s="3"/>
      <c r="E606" s="5"/>
      <c r="G606" s="78"/>
    </row>
    <row r="607" spans="1:7">
      <c r="A607" s="3"/>
      <c r="E607" s="5"/>
      <c r="G607" s="78"/>
    </row>
    <row r="608" spans="1:7">
      <c r="A608" s="54"/>
      <c r="E608" s="5"/>
      <c r="G608" s="78"/>
    </row>
    <row r="609" spans="1:7">
      <c r="A609" s="3"/>
      <c r="E609" s="5"/>
      <c r="G609" s="78"/>
    </row>
    <row r="610" spans="1:7">
      <c r="A610" s="3"/>
      <c r="E610" s="5"/>
      <c r="G610" s="78"/>
    </row>
    <row r="611" spans="1:7">
      <c r="A611" s="3"/>
      <c r="E611" s="5"/>
      <c r="G611" s="78"/>
    </row>
    <row r="612" spans="1:7">
      <c r="A612" s="3"/>
      <c r="E612" s="5"/>
      <c r="G612" s="78"/>
    </row>
    <row r="613" spans="1:7">
      <c r="A613" s="3"/>
      <c r="E613" s="5"/>
      <c r="G613" s="78"/>
    </row>
    <row r="614" spans="1:7">
      <c r="A614" s="3"/>
      <c r="E614" s="5"/>
      <c r="G614" s="78"/>
    </row>
    <row r="615" spans="1:7">
      <c r="A615" s="3"/>
      <c r="E615" s="5"/>
      <c r="G615" s="78"/>
    </row>
    <row r="616" spans="1:7">
      <c r="A616" s="3"/>
      <c r="E616" s="5"/>
      <c r="G616" s="78"/>
    </row>
    <row r="617" spans="1:7">
      <c r="A617" s="3"/>
      <c r="E617" s="5"/>
      <c r="G617" s="78"/>
    </row>
    <row r="618" spans="1:7">
      <c r="A618" s="3"/>
      <c r="E618" s="5"/>
      <c r="G618" s="78"/>
    </row>
    <row r="619" spans="1:7">
      <c r="A619" s="3"/>
      <c r="E619" s="5"/>
      <c r="G619" s="78"/>
    </row>
    <row r="620" spans="1:7">
      <c r="A620" s="3"/>
      <c r="E620" s="5"/>
      <c r="G620" s="78"/>
    </row>
    <row r="621" spans="1:7">
      <c r="A621" s="3"/>
      <c r="E621" s="5"/>
      <c r="G621" s="78"/>
    </row>
    <row r="622" spans="1:7">
      <c r="A622" s="3"/>
      <c r="E622" s="5"/>
      <c r="G622" s="78"/>
    </row>
    <row r="623" spans="1:7">
      <c r="A623" s="3"/>
      <c r="E623" s="5"/>
      <c r="G623" s="78"/>
    </row>
    <row r="624" spans="1:7">
      <c r="A624" s="3"/>
      <c r="E624" s="5"/>
      <c r="G624" s="78"/>
    </row>
    <row r="625" spans="1:7">
      <c r="A625" s="3"/>
      <c r="E625" s="5"/>
      <c r="G625" s="78"/>
    </row>
    <row r="626" spans="1:7">
      <c r="A626" s="3"/>
      <c r="E626" s="5"/>
      <c r="G626" s="78"/>
    </row>
    <row r="627" spans="1:7">
      <c r="A627" s="3"/>
      <c r="E627" s="5"/>
      <c r="G627" s="78"/>
    </row>
    <row r="628" spans="1:7">
      <c r="A628" s="3"/>
      <c r="E628" s="5"/>
      <c r="G628" s="78"/>
    </row>
    <row r="629" spans="1:7">
      <c r="A629" s="3"/>
      <c r="E629" s="5"/>
      <c r="G629" s="78"/>
    </row>
    <row r="630" spans="1:7">
      <c r="A630" s="3"/>
      <c r="E630" s="5"/>
      <c r="G630" s="78"/>
    </row>
    <row r="631" spans="1:7">
      <c r="A631" s="3"/>
      <c r="E631" s="5"/>
      <c r="G631" s="78"/>
    </row>
    <row r="632" spans="1:7">
      <c r="A632" s="3"/>
      <c r="E632" s="5"/>
      <c r="G632" s="78"/>
    </row>
    <row r="633" spans="1:7">
      <c r="A633" s="3"/>
      <c r="E633" s="5"/>
      <c r="G633" s="78"/>
    </row>
    <row r="634" spans="1:7">
      <c r="A634" s="3"/>
      <c r="E634" s="5"/>
      <c r="G634" s="78"/>
    </row>
    <row r="635" spans="1:7">
      <c r="A635" s="3"/>
      <c r="E635" s="5"/>
      <c r="G635" s="78"/>
    </row>
    <row r="636" spans="1:7">
      <c r="A636" s="3"/>
      <c r="E636" s="5"/>
      <c r="G636" s="78"/>
    </row>
    <row r="637" spans="1:7">
      <c r="A637" s="3"/>
      <c r="E637" s="5"/>
      <c r="G637" s="78"/>
    </row>
    <row r="638" spans="1:7">
      <c r="A638" s="3"/>
      <c r="E638" s="5"/>
      <c r="G638" s="78"/>
    </row>
    <row r="639" spans="1:7">
      <c r="A639" s="3"/>
      <c r="E639" s="5"/>
      <c r="G639" s="78"/>
    </row>
    <row r="640" spans="1:7">
      <c r="A640" s="3"/>
      <c r="E640" s="5"/>
      <c r="G640" s="78"/>
    </row>
    <row r="641" spans="1:7">
      <c r="A641" s="3"/>
      <c r="E641" s="5"/>
      <c r="G641" s="78"/>
    </row>
    <row r="642" spans="1:7">
      <c r="A642" s="3"/>
      <c r="E642" s="5"/>
      <c r="G642" s="78"/>
    </row>
    <row r="643" spans="1:7">
      <c r="A643" s="3"/>
      <c r="E643" s="5"/>
      <c r="G643" s="78"/>
    </row>
    <row r="644" spans="1:7">
      <c r="A644" s="3"/>
      <c r="E644" s="5"/>
      <c r="G644" s="78"/>
    </row>
    <row r="645" spans="1:7">
      <c r="A645" s="3"/>
      <c r="E645" s="5"/>
      <c r="G645" s="78"/>
    </row>
    <row r="646" spans="1:7">
      <c r="A646" s="3"/>
      <c r="E646" s="5"/>
      <c r="G646" s="78"/>
    </row>
    <row r="647" spans="1:7">
      <c r="A647" s="3"/>
      <c r="E647" s="5"/>
      <c r="G647" s="78"/>
    </row>
    <row r="648" spans="1:7">
      <c r="A648" s="3"/>
      <c r="E648" s="5"/>
      <c r="G648" s="78"/>
    </row>
    <row r="649" spans="1:7">
      <c r="A649" s="3"/>
      <c r="E649" s="5"/>
      <c r="G649" s="78"/>
    </row>
    <row r="650" spans="1:7">
      <c r="A650" s="3"/>
      <c r="E650" s="5"/>
      <c r="G650" s="78"/>
    </row>
    <row r="651" spans="1:7">
      <c r="A651" s="3"/>
      <c r="E651" s="5"/>
      <c r="G651" s="78"/>
    </row>
    <row r="652" spans="1:7">
      <c r="A652" s="3"/>
      <c r="E652" s="5"/>
      <c r="G652" s="78"/>
    </row>
    <row r="653" spans="1:7">
      <c r="A653" s="3"/>
      <c r="E653" s="5"/>
      <c r="G653" s="78"/>
    </row>
    <row r="654" spans="1:7">
      <c r="A654" s="3"/>
      <c r="E654" s="5"/>
      <c r="G654" s="78"/>
    </row>
    <row r="655" spans="1:7">
      <c r="A655" s="3"/>
      <c r="E655" s="5"/>
      <c r="G655" s="78"/>
    </row>
    <row r="656" spans="1:7">
      <c r="A656" s="3"/>
      <c r="E656" s="5"/>
      <c r="G656" s="78"/>
    </row>
    <row r="657" spans="1:7">
      <c r="A657" s="3"/>
      <c r="E657" s="5"/>
      <c r="G657" s="78"/>
    </row>
    <row r="658" spans="1:7">
      <c r="A658" s="3"/>
      <c r="E658" s="5"/>
      <c r="G658" s="78"/>
    </row>
    <row r="659" spans="1:7">
      <c r="A659" s="3"/>
      <c r="E659" s="5"/>
      <c r="G659" s="78"/>
    </row>
    <row r="660" spans="1:7">
      <c r="A660" s="3"/>
      <c r="E660" s="5"/>
      <c r="G660" s="78"/>
    </row>
    <row r="661" spans="1:7">
      <c r="A661" s="3"/>
      <c r="E661" s="5"/>
      <c r="G661" s="78"/>
    </row>
    <row r="662" spans="1:7">
      <c r="A662" s="3"/>
      <c r="E662" s="5"/>
      <c r="G662" s="78"/>
    </row>
    <row r="663" spans="1:7">
      <c r="A663" s="3"/>
      <c r="E663" s="5"/>
      <c r="G663" s="78"/>
    </row>
    <row r="664" spans="1:7">
      <c r="A664" s="3"/>
      <c r="E664" s="5"/>
      <c r="G664" s="78"/>
    </row>
    <row r="665" spans="1:7">
      <c r="A665" s="3"/>
      <c r="E665" s="5"/>
      <c r="G665" s="78"/>
    </row>
    <row r="666" spans="1:7">
      <c r="A666" s="3"/>
      <c r="E666" s="5"/>
      <c r="G666" s="78"/>
    </row>
    <row r="667" spans="1:7">
      <c r="A667" s="3"/>
      <c r="E667" s="5"/>
      <c r="G667" s="78"/>
    </row>
    <row r="668" spans="1:7">
      <c r="A668" s="3"/>
      <c r="E668" s="5"/>
      <c r="G668" s="78"/>
    </row>
    <row r="669" spans="1:7">
      <c r="A669" s="3"/>
      <c r="E669" s="5"/>
      <c r="G669" s="78"/>
    </row>
    <row r="670" spans="1:7">
      <c r="A670" s="3"/>
      <c r="E670" s="5"/>
      <c r="G670" s="78"/>
    </row>
    <row r="671" spans="1:7">
      <c r="A671" s="3"/>
      <c r="E671" s="5"/>
      <c r="G671" s="78"/>
    </row>
    <row r="672" spans="1:7">
      <c r="A672" s="3"/>
      <c r="E672" s="5"/>
      <c r="G672" s="78"/>
    </row>
    <row r="673" spans="1:7">
      <c r="A673" s="3"/>
      <c r="E673" s="5"/>
      <c r="G673" s="78"/>
    </row>
    <row r="674" spans="1:7">
      <c r="A674" s="3"/>
      <c r="E674" s="5"/>
      <c r="G674" s="78"/>
    </row>
    <row r="675" spans="1:7">
      <c r="A675" s="3"/>
      <c r="E675" s="5"/>
      <c r="G675" s="78"/>
    </row>
    <row r="676" spans="1:7">
      <c r="A676" s="3"/>
      <c r="E676" s="5"/>
      <c r="G676" s="78"/>
    </row>
    <row r="677" spans="1:7">
      <c r="A677" s="3"/>
      <c r="E677" s="5"/>
      <c r="G677" s="78"/>
    </row>
    <row r="678" spans="1:7">
      <c r="A678" s="3"/>
      <c r="E678" s="5"/>
      <c r="G678" s="78"/>
    </row>
    <row r="679" spans="1:7">
      <c r="A679" s="3"/>
      <c r="E679" s="5"/>
      <c r="G679" s="78"/>
    </row>
    <row r="680" spans="1:7">
      <c r="A680" s="3"/>
      <c r="E680" s="5"/>
      <c r="G680" s="78"/>
    </row>
    <row r="681" spans="1:7">
      <c r="A681" s="3"/>
      <c r="E681" s="5"/>
      <c r="G681" s="78"/>
    </row>
    <row r="682" spans="1:7">
      <c r="A682" s="3"/>
      <c r="E682" s="5"/>
      <c r="G682" s="78"/>
    </row>
    <row r="683" spans="1:7">
      <c r="A683" s="3"/>
      <c r="E683" s="5"/>
      <c r="G683" s="78"/>
    </row>
    <row r="684" spans="1:7">
      <c r="A684" s="3"/>
      <c r="E684" s="5"/>
      <c r="G684" s="78"/>
    </row>
    <row r="685" spans="1:7">
      <c r="A685" s="3"/>
      <c r="E685" s="5"/>
      <c r="G685" s="78"/>
    </row>
    <row r="686" spans="1:7">
      <c r="A686" s="3"/>
      <c r="E686" s="5"/>
      <c r="G686" s="78"/>
    </row>
    <row r="687" spans="1:7">
      <c r="A687" s="3"/>
      <c r="E687" s="5"/>
      <c r="G687" s="78"/>
    </row>
    <row r="688" spans="1:7">
      <c r="A688" s="3"/>
      <c r="E688" s="5"/>
      <c r="G688" s="78"/>
    </row>
    <row r="689" spans="1:7">
      <c r="A689" s="3"/>
      <c r="E689" s="5"/>
      <c r="G689" s="78"/>
    </row>
    <row r="690" spans="1:7">
      <c r="A690" s="3"/>
      <c r="E690" s="5"/>
      <c r="G690" s="78"/>
    </row>
    <row r="691" spans="1:7">
      <c r="A691" s="3"/>
      <c r="E691" s="5"/>
      <c r="G691" s="78"/>
    </row>
    <row r="692" spans="1:7">
      <c r="A692" s="3"/>
      <c r="E692" s="5"/>
      <c r="G692" s="78"/>
    </row>
    <row r="693" spans="1:7">
      <c r="A693" s="3"/>
      <c r="E693" s="5"/>
      <c r="G693" s="78"/>
    </row>
    <row r="694" spans="1:7">
      <c r="A694" s="3"/>
      <c r="E694" s="5"/>
      <c r="G694" s="78"/>
    </row>
    <row r="695" spans="1:7">
      <c r="A695" s="3"/>
      <c r="E695" s="5"/>
      <c r="G695" s="78"/>
    </row>
    <row r="696" spans="1:7">
      <c r="A696" s="3"/>
      <c r="E696" s="5"/>
      <c r="G696" s="78"/>
    </row>
    <row r="697" spans="1:7">
      <c r="A697" s="3"/>
      <c r="E697" s="5"/>
      <c r="G697" s="78"/>
    </row>
    <row r="698" spans="1:7">
      <c r="A698" s="3"/>
      <c r="E698" s="5"/>
      <c r="G698" s="78"/>
    </row>
    <row r="699" spans="1:7">
      <c r="A699" s="3"/>
      <c r="E699" s="5"/>
      <c r="G699" s="78"/>
    </row>
    <row r="700" spans="1:7">
      <c r="A700" s="3"/>
      <c r="E700" s="5"/>
      <c r="G700" s="78"/>
    </row>
    <row r="701" spans="1:7">
      <c r="A701" s="3"/>
      <c r="E701" s="5"/>
      <c r="G701" s="78"/>
    </row>
    <row r="702" spans="1:7">
      <c r="A702" s="3"/>
      <c r="E702" s="5"/>
      <c r="G702" s="78"/>
    </row>
    <row r="703" spans="1:7">
      <c r="A703" s="3"/>
      <c r="E703" s="5"/>
      <c r="G703" s="78"/>
    </row>
    <row r="704" spans="1:7">
      <c r="A704" s="3"/>
      <c r="E704" s="5"/>
      <c r="G704" s="78"/>
    </row>
    <row r="705" spans="1:7">
      <c r="A705" s="3"/>
      <c r="E705" s="5"/>
      <c r="G705" s="78"/>
    </row>
    <row r="706" spans="1:7">
      <c r="A706" s="3"/>
      <c r="E706" s="5"/>
      <c r="G706" s="78"/>
    </row>
    <row r="707" spans="1:7">
      <c r="A707" s="3"/>
      <c r="E707" s="5"/>
      <c r="G707" s="78"/>
    </row>
    <row r="708" spans="1:7">
      <c r="A708" s="3"/>
      <c r="E708" s="5"/>
      <c r="G708" s="78"/>
    </row>
    <row r="709" spans="1:7">
      <c r="A709" s="3"/>
      <c r="E709" s="5"/>
      <c r="G709" s="78"/>
    </row>
    <row r="710" spans="1:7">
      <c r="A710" s="3"/>
      <c r="E710" s="5"/>
      <c r="G710" s="78"/>
    </row>
    <row r="711" spans="1:7">
      <c r="A711" s="3"/>
      <c r="E711" s="5"/>
      <c r="G711" s="78"/>
    </row>
    <row r="712" spans="1:7">
      <c r="A712" s="3"/>
      <c r="E712" s="5"/>
      <c r="G712" s="78"/>
    </row>
    <row r="713" spans="1:7">
      <c r="A713" s="3"/>
      <c r="E713" s="5"/>
      <c r="G713" s="78"/>
    </row>
    <row r="714" spans="1:7">
      <c r="A714" s="3"/>
      <c r="E714" s="5"/>
      <c r="G714" s="78"/>
    </row>
    <row r="715" spans="1:7">
      <c r="A715" s="3"/>
      <c r="E715" s="5"/>
      <c r="G715" s="78"/>
    </row>
    <row r="716" spans="1:7">
      <c r="A716" s="3"/>
      <c r="E716" s="5"/>
      <c r="G716" s="78"/>
    </row>
    <row r="717" spans="1:7">
      <c r="A717" s="3"/>
      <c r="E717" s="5"/>
      <c r="G717" s="78"/>
    </row>
    <row r="718" spans="1:7">
      <c r="A718" s="3"/>
      <c r="E718" s="5"/>
      <c r="G718" s="78"/>
    </row>
    <row r="719" spans="1:7">
      <c r="A719" s="3"/>
      <c r="E719" s="5"/>
      <c r="G719" s="78"/>
    </row>
    <row r="720" spans="1:7">
      <c r="A720" s="3"/>
      <c r="E720" s="5"/>
      <c r="G720" s="78"/>
    </row>
    <row r="721" spans="1:7">
      <c r="A721" s="3"/>
      <c r="E721" s="5"/>
      <c r="G721" s="78"/>
    </row>
    <row r="722" spans="1:7">
      <c r="A722" s="3"/>
      <c r="E722" s="5"/>
      <c r="G722" s="78"/>
    </row>
    <row r="723" spans="1:7">
      <c r="A723" s="3"/>
      <c r="E723" s="5"/>
      <c r="G723" s="78"/>
    </row>
    <row r="724" spans="1:7">
      <c r="A724" s="3"/>
      <c r="E724" s="5"/>
      <c r="G724" s="78"/>
    </row>
    <row r="725" spans="1:7">
      <c r="A725" s="3"/>
      <c r="E725" s="5"/>
      <c r="G725" s="78"/>
    </row>
    <row r="726" spans="1:7">
      <c r="A726" s="3"/>
      <c r="E726" s="5"/>
      <c r="G726" s="78"/>
    </row>
    <row r="727" spans="1:7">
      <c r="A727" s="3"/>
      <c r="E727" s="5"/>
      <c r="G727" s="78"/>
    </row>
    <row r="728" spans="1:7">
      <c r="A728" s="3"/>
      <c r="E728" s="5"/>
      <c r="G728" s="78"/>
    </row>
    <row r="729" spans="1:7">
      <c r="A729" s="3"/>
      <c r="E729" s="5"/>
      <c r="G729" s="78"/>
    </row>
    <row r="730" spans="1:7">
      <c r="A730" s="3"/>
      <c r="E730" s="5"/>
      <c r="G730" s="78"/>
    </row>
    <row r="731" spans="1:7">
      <c r="A731" s="3"/>
      <c r="E731" s="5"/>
      <c r="G731" s="78"/>
    </row>
    <row r="732" spans="1:7">
      <c r="A732" s="3"/>
      <c r="E732" s="5"/>
      <c r="G732" s="78"/>
    </row>
    <row r="733" spans="1:7">
      <c r="A733" s="3"/>
      <c r="E733" s="5"/>
      <c r="G733" s="78"/>
    </row>
    <row r="734" spans="1:7">
      <c r="A734" s="3"/>
      <c r="E734" s="5"/>
      <c r="G734" s="78"/>
    </row>
    <row r="735" spans="1:7">
      <c r="A735" s="3"/>
      <c r="E735" s="5"/>
      <c r="G735" s="78"/>
    </row>
    <row r="736" spans="1:7">
      <c r="A736" s="3"/>
      <c r="E736" s="5"/>
      <c r="G736" s="78"/>
    </row>
    <row r="737" spans="1:7">
      <c r="A737" s="3"/>
      <c r="E737" s="5"/>
      <c r="G737" s="78"/>
    </row>
    <row r="738" spans="1:7">
      <c r="A738" s="3"/>
      <c r="E738" s="5"/>
      <c r="G738" s="78"/>
    </row>
    <row r="739" spans="1:7">
      <c r="A739" s="3"/>
      <c r="E739" s="5"/>
      <c r="G739" s="78"/>
    </row>
    <row r="740" spans="1:7">
      <c r="A740" s="3"/>
      <c r="E740" s="5"/>
      <c r="G740" s="78"/>
    </row>
    <row r="741" spans="1:7">
      <c r="A741" s="3"/>
      <c r="E741" s="5"/>
      <c r="G741" s="78"/>
    </row>
    <row r="742" spans="1:7">
      <c r="A742" s="3"/>
      <c r="E742" s="5"/>
      <c r="G742" s="78"/>
    </row>
    <row r="743" spans="1:7">
      <c r="A743" s="3"/>
      <c r="E743" s="5"/>
      <c r="G743" s="78"/>
    </row>
    <row r="744" spans="1:7">
      <c r="A744" s="3"/>
      <c r="E744" s="5"/>
      <c r="G744" s="78"/>
    </row>
    <row r="745" spans="1:7">
      <c r="A745" s="3"/>
      <c r="E745" s="5"/>
      <c r="G745" s="78"/>
    </row>
    <row r="746" spans="1:7">
      <c r="A746" s="3"/>
      <c r="E746" s="5"/>
      <c r="G746" s="78"/>
    </row>
    <row r="747" spans="1:7">
      <c r="A747" s="3"/>
      <c r="E747" s="5"/>
      <c r="G747" s="78"/>
    </row>
    <row r="748" spans="1:7">
      <c r="A748" s="3"/>
      <c r="E748" s="5"/>
      <c r="G748" s="78"/>
    </row>
    <row r="749" spans="1:7">
      <c r="A749" s="3"/>
      <c r="E749" s="5"/>
      <c r="G749" s="78"/>
    </row>
    <row r="750" spans="1:7">
      <c r="A750" s="3"/>
      <c r="E750" s="5"/>
      <c r="G750" s="78"/>
    </row>
    <row r="751" spans="1:7">
      <c r="A751" s="3"/>
      <c r="E751" s="5"/>
      <c r="G751" s="78"/>
    </row>
    <row r="752" spans="1:7">
      <c r="A752" s="3"/>
      <c r="E752" s="5"/>
      <c r="G752" s="78"/>
    </row>
    <row r="753" spans="1:7">
      <c r="A753" s="3"/>
      <c r="E753" s="5"/>
      <c r="G753" s="78"/>
    </row>
    <row r="754" spans="1:7">
      <c r="A754" s="3"/>
      <c r="E754" s="5"/>
      <c r="G754" s="78"/>
    </row>
    <row r="755" spans="1:7">
      <c r="A755" s="3"/>
      <c r="E755" s="5"/>
      <c r="G755" s="78"/>
    </row>
    <row r="756" spans="1:7">
      <c r="A756" s="3"/>
      <c r="E756" s="5"/>
      <c r="G756" s="78"/>
    </row>
    <row r="757" spans="1:7">
      <c r="A757" s="3"/>
      <c r="E757" s="5"/>
      <c r="G757" s="78"/>
    </row>
    <row r="758" spans="1:7">
      <c r="A758" s="3"/>
      <c r="E758" s="5"/>
      <c r="G758" s="78"/>
    </row>
    <row r="759" spans="1:7">
      <c r="A759" s="3"/>
      <c r="E759" s="5"/>
      <c r="G759" s="78"/>
    </row>
    <row r="760" spans="1:7">
      <c r="A760" s="3"/>
      <c r="E760" s="5"/>
      <c r="G760" s="78"/>
    </row>
    <row r="761" spans="1:7">
      <c r="A761" s="3"/>
      <c r="E761" s="5"/>
      <c r="G761" s="78"/>
    </row>
    <row r="762" spans="1:7">
      <c r="A762" s="3"/>
      <c r="E762" s="5"/>
      <c r="G762" s="78"/>
    </row>
    <row r="763" spans="1:7">
      <c r="A763" s="3"/>
      <c r="E763" s="5"/>
      <c r="G763" s="78"/>
    </row>
    <row r="764" spans="1:7">
      <c r="A764" s="3"/>
      <c r="E764" s="5"/>
      <c r="G764" s="78"/>
    </row>
    <row r="765" spans="1:7">
      <c r="A765" s="3"/>
      <c r="E765" s="5"/>
      <c r="G765" s="78"/>
    </row>
    <row r="766" spans="1:7">
      <c r="A766" s="3"/>
      <c r="E766" s="5"/>
      <c r="G766" s="78"/>
    </row>
    <row r="767" spans="1:7">
      <c r="A767" s="3"/>
      <c r="E767" s="5"/>
      <c r="G767" s="78"/>
    </row>
    <row r="768" spans="1:7">
      <c r="A768" s="3"/>
      <c r="E768" s="5"/>
      <c r="G768" s="78"/>
    </row>
    <row r="769" spans="1:7">
      <c r="A769" s="3"/>
      <c r="E769" s="5"/>
      <c r="G769" s="78"/>
    </row>
    <row r="770" spans="1:7">
      <c r="A770" s="3"/>
      <c r="E770" s="5"/>
      <c r="G770" s="78"/>
    </row>
    <row r="771" spans="1:7">
      <c r="A771" s="3"/>
      <c r="E771" s="5"/>
      <c r="G771" s="78"/>
    </row>
    <row r="772" spans="1:7">
      <c r="A772" s="3"/>
      <c r="E772" s="5"/>
      <c r="G772" s="78"/>
    </row>
    <row r="773" spans="1:7">
      <c r="A773" s="3"/>
      <c r="E773" s="5"/>
      <c r="G773" s="78"/>
    </row>
    <row r="774" spans="1:7">
      <c r="A774" s="3"/>
      <c r="E774" s="5"/>
      <c r="G774" s="78"/>
    </row>
    <row r="775" spans="1:7">
      <c r="A775" s="3"/>
      <c r="E775" s="5"/>
      <c r="G775" s="78"/>
    </row>
    <row r="776" spans="1:7">
      <c r="A776" s="3"/>
      <c r="E776" s="5"/>
      <c r="G776" s="78"/>
    </row>
    <row r="777" spans="1:7">
      <c r="A777" s="3"/>
      <c r="E777" s="5"/>
      <c r="G777" s="78"/>
    </row>
    <row r="778" spans="1:7">
      <c r="A778" s="3"/>
      <c r="E778" s="5"/>
      <c r="G778" s="78"/>
    </row>
    <row r="779" spans="1:7">
      <c r="A779" s="3"/>
      <c r="E779" s="5"/>
      <c r="G779" s="78"/>
    </row>
    <row r="780" spans="1:7">
      <c r="A780" s="3"/>
      <c r="E780" s="5"/>
      <c r="G780" s="78"/>
    </row>
    <row r="781" spans="1:7">
      <c r="A781" s="3"/>
      <c r="E781" s="5"/>
      <c r="G781" s="78"/>
    </row>
    <row r="782" spans="1:7">
      <c r="A782" s="3"/>
      <c r="E782" s="5"/>
      <c r="G782" s="78"/>
    </row>
    <row r="783" spans="1:7">
      <c r="A783" s="3"/>
      <c r="E783" s="5"/>
      <c r="G783" s="78"/>
    </row>
    <row r="784" spans="1:7">
      <c r="A784" s="3"/>
      <c r="E784" s="5"/>
      <c r="G784" s="78"/>
    </row>
    <row r="785" spans="1:7">
      <c r="A785" s="3"/>
      <c r="E785" s="5"/>
      <c r="G785" s="78"/>
    </row>
    <row r="786" spans="1:7">
      <c r="A786" s="3"/>
      <c r="E786" s="5"/>
      <c r="G786" s="78"/>
    </row>
    <row r="787" spans="1:7">
      <c r="A787" s="3"/>
      <c r="E787" s="5"/>
      <c r="G787" s="78"/>
    </row>
    <row r="788" spans="1:7">
      <c r="A788" s="3"/>
      <c r="E788" s="5"/>
      <c r="G788" s="78"/>
    </row>
    <row r="789" spans="1:7">
      <c r="A789" s="3"/>
      <c r="E789" s="5"/>
      <c r="G789" s="78"/>
    </row>
    <row r="790" spans="1:7">
      <c r="A790" s="3"/>
      <c r="E790" s="5"/>
      <c r="G790" s="78"/>
    </row>
    <row r="791" spans="1:7">
      <c r="A791" s="3"/>
      <c r="E791" s="5"/>
      <c r="G791" s="78"/>
    </row>
    <row r="792" spans="1:7">
      <c r="A792" s="3"/>
      <c r="E792" s="5"/>
      <c r="G792" s="78"/>
    </row>
    <row r="793" spans="1:7">
      <c r="A793" s="3"/>
      <c r="E793" s="5"/>
      <c r="G793" s="78"/>
    </row>
    <row r="794" spans="1:7">
      <c r="A794" s="3"/>
      <c r="E794" s="5"/>
      <c r="G794" s="78"/>
    </row>
    <row r="795" spans="1:7">
      <c r="A795" s="3"/>
      <c r="E795" s="5"/>
      <c r="G795" s="78"/>
    </row>
    <row r="796" spans="1:7">
      <c r="A796" s="3"/>
      <c r="E796" s="5"/>
      <c r="G796" s="78"/>
    </row>
    <row r="797" spans="1:7">
      <c r="A797" s="3"/>
      <c r="E797" s="5"/>
      <c r="G797" s="78"/>
    </row>
    <row r="798" spans="1:7">
      <c r="A798" s="3"/>
      <c r="E798" s="5"/>
      <c r="G798" s="78"/>
    </row>
    <row r="799" spans="1:7">
      <c r="A799" s="3"/>
      <c r="E799" s="5"/>
      <c r="G799" s="78"/>
    </row>
    <row r="800" spans="1:7">
      <c r="A800" s="3"/>
      <c r="E800" s="5"/>
      <c r="G800" s="78"/>
    </row>
    <row r="801" spans="1:7">
      <c r="A801" s="3"/>
      <c r="E801" s="5"/>
      <c r="G801" s="78"/>
    </row>
    <row r="802" spans="1:7">
      <c r="A802" s="3"/>
      <c r="E802" s="5"/>
      <c r="G802" s="78"/>
    </row>
    <row r="803" spans="1:7">
      <c r="A803" s="3"/>
      <c r="E803" s="5"/>
      <c r="G803" s="78"/>
    </row>
    <row r="804" spans="1:7">
      <c r="A804" s="3"/>
      <c r="E804" s="5"/>
      <c r="G804" s="78"/>
    </row>
    <row r="805" spans="1:7">
      <c r="A805" s="3"/>
      <c r="E805" s="5"/>
      <c r="G805" s="78"/>
    </row>
    <row r="806" spans="1:7">
      <c r="A806" s="3"/>
      <c r="E806" s="5"/>
      <c r="G806" s="78"/>
    </row>
    <row r="807" spans="1:7">
      <c r="A807" s="3"/>
      <c r="E807" s="5"/>
      <c r="G807" s="78"/>
    </row>
    <row r="808" spans="1:7">
      <c r="A808" s="3"/>
      <c r="E808" s="5"/>
      <c r="G808" s="78"/>
    </row>
    <row r="809" spans="1:7">
      <c r="A809" s="3"/>
      <c r="E809" s="5"/>
      <c r="G809" s="78"/>
    </row>
    <row r="810" spans="1:7">
      <c r="A810" s="3"/>
      <c r="E810" s="5"/>
      <c r="G810" s="78"/>
    </row>
    <row r="811" spans="1:7">
      <c r="A811" s="3"/>
      <c r="E811" s="5"/>
      <c r="G811" s="78"/>
    </row>
    <row r="812" spans="1:7">
      <c r="A812" s="3"/>
      <c r="E812" s="5"/>
      <c r="G812" s="78"/>
    </row>
    <row r="813" spans="1:7">
      <c r="A813" s="3"/>
      <c r="E813" s="5"/>
      <c r="G813" s="78"/>
    </row>
    <row r="814" spans="1:7">
      <c r="A814" s="3"/>
      <c r="E814" s="5"/>
      <c r="G814" s="78"/>
    </row>
    <row r="815" spans="1:7">
      <c r="A815" s="3"/>
      <c r="E815" s="5"/>
      <c r="G815" s="78"/>
    </row>
    <row r="816" spans="1:7">
      <c r="A816" s="3"/>
      <c r="E816" s="5"/>
      <c r="G816" s="78"/>
    </row>
    <row r="817" spans="1:7">
      <c r="A817" s="3"/>
      <c r="E817" s="5"/>
      <c r="G817" s="78"/>
    </row>
    <row r="818" spans="1:7">
      <c r="A818" s="3"/>
      <c r="E818" s="5"/>
      <c r="G818" s="78"/>
    </row>
    <row r="819" spans="1:7">
      <c r="A819" s="3"/>
      <c r="E819" s="5"/>
      <c r="G819" s="78"/>
    </row>
    <row r="820" spans="1:7">
      <c r="A820" s="3"/>
      <c r="E820" s="5"/>
      <c r="G820" s="78"/>
    </row>
    <row r="821" spans="1:7">
      <c r="A821" s="3"/>
      <c r="E821" s="5"/>
      <c r="G821" s="78"/>
    </row>
    <row r="822" spans="1:7">
      <c r="A822" s="3"/>
      <c r="E822" s="5"/>
      <c r="G822" s="78"/>
    </row>
    <row r="823" spans="1:7">
      <c r="A823" s="3"/>
      <c r="E823" s="5"/>
      <c r="G823" s="78"/>
    </row>
    <row r="824" spans="1:7">
      <c r="A824" s="3"/>
      <c r="E824" s="5"/>
      <c r="G824" s="78"/>
    </row>
    <row r="825" spans="1:7">
      <c r="A825" s="3"/>
      <c r="E825" s="5"/>
      <c r="G825" s="78"/>
    </row>
    <row r="826" spans="1:7">
      <c r="A826" s="3"/>
      <c r="E826" s="5"/>
      <c r="G826" s="78"/>
    </row>
    <row r="827" spans="1:7">
      <c r="A827" s="3"/>
      <c r="E827" s="5"/>
      <c r="G827" s="78"/>
    </row>
    <row r="828" spans="1:7">
      <c r="A828" s="3"/>
      <c r="E828" s="5"/>
      <c r="G828" s="78"/>
    </row>
    <row r="829" spans="1:7">
      <c r="A829" s="3"/>
      <c r="E829" s="5"/>
      <c r="G829" s="78"/>
    </row>
    <row r="830" spans="1:7">
      <c r="A830" s="3"/>
      <c r="E830" s="5"/>
      <c r="G830" s="78"/>
    </row>
    <row r="831" spans="1:7">
      <c r="A831" s="3"/>
      <c r="E831" s="5"/>
      <c r="G831" s="78"/>
    </row>
    <row r="832" spans="1:7">
      <c r="A832" s="3"/>
      <c r="E832" s="5"/>
      <c r="G832" s="78"/>
    </row>
    <row r="833" spans="1:7">
      <c r="A833" s="3"/>
      <c r="E833" s="5"/>
      <c r="G833" s="78"/>
    </row>
    <row r="834" spans="1:7">
      <c r="A834" s="3"/>
      <c r="E834" s="5"/>
      <c r="G834" s="78"/>
    </row>
    <row r="835" spans="1:7">
      <c r="A835" s="3"/>
      <c r="E835" s="5"/>
      <c r="G835" s="78"/>
    </row>
    <row r="836" spans="1:7">
      <c r="A836" s="3"/>
      <c r="E836" s="5"/>
      <c r="G836" s="78"/>
    </row>
    <row r="837" spans="1:7">
      <c r="A837" s="3"/>
      <c r="E837" s="5"/>
      <c r="G837" s="78"/>
    </row>
    <row r="838" spans="1:7">
      <c r="A838" s="3"/>
      <c r="E838" s="5"/>
      <c r="G838" s="78"/>
    </row>
    <row r="839" spans="1:7">
      <c r="A839" s="3"/>
      <c r="E839" s="5"/>
      <c r="G839" s="78"/>
    </row>
    <row r="840" spans="1:7">
      <c r="A840" s="3"/>
      <c r="E840" s="5"/>
      <c r="G840" s="78"/>
    </row>
    <row r="841" spans="1:7">
      <c r="A841" s="3"/>
      <c r="E841" s="5"/>
      <c r="G841" s="78"/>
    </row>
    <row r="842" spans="1:7">
      <c r="A842" s="3"/>
      <c r="E842" s="5"/>
      <c r="G842" s="78"/>
    </row>
    <row r="843" spans="1:7">
      <c r="A843" s="3"/>
      <c r="E843" s="5"/>
      <c r="G843" s="78"/>
    </row>
    <row r="844" spans="1:7">
      <c r="A844" s="3"/>
      <c r="E844" s="5"/>
      <c r="G844" s="78"/>
    </row>
    <row r="845" spans="1:7">
      <c r="A845" s="3"/>
      <c r="E845" s="5"/>
      <c r="G845" s="78"/>
    </row>
    <row r="846" spans="1:7">
      <c r="A846" s="3"/>
      <c r="E846" s="5"/>
      <c r="G846" s="78"/>
    </row>
    <row r="847" spans="1:7">
      <c r="A847" s="3"/>
      <c r="E847" s="5"/>
      <c r="G847" s="78"/>
    </row>
    <row r="848" spans="1:7">
      <c r="A848" s="3"/>
      <c r="E848" s="5"/>
      <c r="G848" s="78"/>
    </row>
    <row r="849" spans="1:7">
      <c r="A849" s="3"/>
      <c r="E849" s="5"/>
      <c r="G849" s="78"/>
    </row>
    <row r="850" spans="1:7">
      <c r="A850" s="3"/>
      <c r="E850" s="5"/>
      <c r="G850" s="78"/>
    </row>
    <row r="851" spans="1:7">
      <c r="A851" s="3"/>
      <c r="E851" s="5"/>
      <c r="G851" s="78"/>
    </row>
    <row r="852" spans="1:7">
      <c r="A852" s="3"/>
      <c r="E852" s="5"/>
      <c r="G852" s="78"/>
    </row>
    <row r="853" spans="1:7">
      <c r="A853" s="3"/>
      <c r="E853" s="5"/>
      <c r="G853" s="78"/>
    </row>
    <row r="854" spans="1:7">
      <c r="A854" s="3"/>
      <c r="E854" s="5"/>
      <c r="G854" s="78"/>
    </row>
    <row r="855" spans="1:7">
      <c r="A855" s="3"/>
      <c r="E855" s="5"/>
      <c r="G855" s="78"/>
    </row>
    <row r="856" spans="1:7">
      <c r="A856" s="3"/>
      <c r="E856" s="5"/>
      <c r="G856" s="78"/>
    </row>
    <row r="857" spans="1:7">
      <c r="A857" s="3"/>
      <c r="E857" s="5"/>
      <c r="G857" s="78"/>
    </row>
    <row r="858" spans="1:7">
      <c r="A858" s="3"/>
      <c r="E858" s="5"/>
      <c r="G858" s="78"/>
    </row>
    <row r="859" spans="1:7">
      <c r="A859" s="3"/>
      <c r="E859" s="5"/>
      <c r="G859" s="78"/>
    </row>
    <row r="860" spans="1:7">
      <c r="A860" s="3"/>
      <c r="E860" s="5"/>
      <c r="G860" s="78"/>
    </row>
    <row r="861" spans="1:7">
      <c r="A861" s="3"/>
      <c r="E861" s="5"/>
      <c r="G861" s="78"/>
    </row>
    <row r="862" spans="1:7">
      <c r="A862" s="3"/>
      <c r="E862" s="5"/>
      <c r="G862" s="78"/>
    </row>
    <row r="863" spans="1:7">
      <c r="A863" s="3"/>
      <c r="E863" s="5"/>
      <c r="G863" s="78"/>
    </row>
    <row r="864" spans="1:7">
      <c r="A864" s="3"/>
      <c r="E864" s="5"/>
      <c r="G864" s="78"/>
    </row>
    <row r="865" spans="1:7">
      <c r="A865" s="3"/>
      <c r="E865" s="5"/>
      <c r="G865" s="78"/>
    </row>
    <row r="866" spans="1:7">
      <c r="A866" s="3"/>
      <c r="E866" s="5"/>
      <c r="G866" s="78"/>
    </row>
    <row r="867" spans="1:7">
      <c r="A867" s="3"/>
      <c r="E867" s="5"/>
      <c r="G867" s="78"/>
    </row>
    <row r="868" spans="1:7">
      <c r="A868" s="3"/>
      <c r="E868" s="5"/>
      <c r="G868" s="78"/>
    </row>
    <row r="869" spans="1:7">
      <c r="A869" s="3"/>
      <c r="E869" s="5"/>
      <c r="G869" s="78"/>
    </row>
    <row r="870" spans="1:7">
      <c r="A870" s="3"/>
      <c r="E870" s="5"/>
      <c r="G870" s="78"/>
    </row>
    <row r="871" spans="1:7">
      <c r="A871" s="3"/>
      <c r="E871" s="5"/>
      <c r="G871" s="78"/>
    </row>
    <row r="872" spans="1:7">
      <c r="A872" s="3"/>
      <c r="E872" s="5"/>
      <c r="G872" s="78"/>
    </row>
    <row r="873" spans="1:7">
      <c r="A873" s="3"/>
      <c r="E873" s="5"/>
      <c r="G873" s="78"/>
    </row>
    <row r="874" spans="1:7">
      <c r="A874" s="3"/>
      <c r="E874" s="5"/>
      <c r="G874" s="78"/>
    </row>
    <row r="875" spans="1:7">
      <c r="A875" s="3"/>
      <c r="E875" s="5"/>
      <c r="G875" s="78"/>
    </row>
    <row r="876" spans="1:7">
      <c r="A876" s="3"/>
      <c r="E876" s="5"/>
      <c r="G876" s="78"/>
    </row>
    <row r="877" spans="1:7">
      <c r="A877" s="3"/>
      <c r="E877" s="5"/>
      <c r="G877" s="78"/>
    </row>
    <row r="878" spans="1:7">
      <c r="A878" s="3"/>
      <c r="E878" s="5"/>
      <c r="G878" s="78"/>
    </row>
    <row r="879" spans="1:7">
      <c r="A879" s="3"/>
      <c r="E879" s="5"/>
      <c r="G879" s="78"/>
    </row>
    <row r="880" spans="1:7">
      <c r="A880" s="3"/>
      <c r="E880" s="5"/>
      <c r="G880" s="78"/>
    </row>
    <row r="881" spans="1:7">
      <c r="A881" s="3"/>
      <c r="E881" s="5"/>
      <c r="G881" s="78"/>
    </row>
    <row r="882" spans="1:7">
      <c r="A882" s="3"/>
      <c r="E882" s="5"/>
      <c r="G882" s="78"/>
    </row>
    <row r="883" spans="1:7">
      <c r="A883" s="3"/>
      <c r="E883" s="5"/>
      <c r="G883" s="78"/>
    </row>
    <row r="884" spans="1:7">
      <c r="A884" s="3"/>
      <c r="E884" s="5"/>
      <c r="G884" s="78"/>
    </row>
    <row r="885" spans="1:7">
      <c r="A885" s="3"/>
      <c r="E885" s="5"/>
      <c r="G885" s="78"/>
    </row>
    <row r="886" spans="1:7">
      <c r="A886" s="3"/>
      <c r="E886" s="5"/>
      <c r="G886" s="78"/>
    </row>
    <row r="887" spans="1:7">
      <c r="A887" s="3"/>
      <c r="E887" s="5"/>
      <c r="G887" s="78"/>
    </row>
    <row r="888" spans="1:7">
      <c r="A888" s="3"/>
      <c r="E888" s="5"/>
      <c r="G888" s="78"/>
    </row>
    <row r="889" spans="1:7">
      <c r="A889" s="3"/>
      <c r="E889" s="5"/>
      <c r="G889" s="78"/>
    </row>
    <row r="890" spans="1:7">
      <c r="A890" s="3"/>
      <c r="E890" s="5"/>
      <c r="G890" s="78"/>
    </row>
    <row r="891" spans="1:7">
      <c r="A891" s="3"/>
      <c r="E891" s="5"/>
      <c r="G891" s="78"/>
    </row>
    <row r="892" spans="1:7">
      <c r="A892" s="3"/>
      <c r="E892" s="5"/>
      <c r="G892" s="78"/>
    </row>
    <row r="893" spans="1:7">
      <c r="A893" s="3"/>
      <c r="E893" s="5"/>
      <c r="G893" s="78"/>
    </row>
    <row r="894" spans="1:7">
      <c r="A894" s="3"/>
      <c r="E894" s="5"/>
      <c r="G894" s="78"/>
    </row>
    <row r="895" spans="1:7">
      <c r="A895" s="3"/>
      <c r="E895" s="5"/>
      <c r="G895" s="78"/>
    </row>
    <row r="896" spans="1:7">
      <c r="A896" s="3"/>
      <c r="E896" s="5"/>
      <c r="G896" s="78"/>
    </row>
    <row r="897" spans="1:7">
      <c r="A897" s="3"/>
      <c r="E897" s="5"/>
      <c r="G897" s="78"/>
    </row>
    <row r="898" spans="1:7">
      <c r="A898" s="3"/>
      <c r="E898" s="5"/>
      <c r="G898" s="78"/>
    </row>
    <row r="899" spans="1:7">
      <c r="A899" s="3"/>
      <c r="E899" s="5"/>
      <c r="G899" s="78"/>
    </row>
    <row r="900" spans="1:7">
      <c r="A900" s="3"/>
      <c r="E900" s="5"/>
      <c r="G900" s="78"/>
    </row>
    <row r="901" spans="1:7">
      <c r="A901" s="3"/>
      <c r="E901" s="5"/>
      <c r="G901" s="78"/>
    </row>
    <row r="902" spans="1:7">
      <c r="A902" s="3"/>
      <c r="E902" s="5"/>
      <c r="G902" s="78"/>
    </row>
    <row r="903" spans="1:7">
      <c r="A903" s="3"/>
      <c r="E903" s="5"/>
      <c r="G903" s="78"/>
    </row>
    <row r="904" spans="1:7">
      <c r="A904" s="3"/>
      <c r="E904" s="5"/>
      <c r="G904" s="78"/>
    </row>
    <row r="905" spans="1:7">
      <c r="A905" s="3"/>
      <c r="E905" s="5"/>
      <c r="G905" s="78"/>
    </row>
    <row r="906" spans="1:7">
      <c r="A906" s="3"/>
      <c r="E906" s="5"/>
      <c r="G906" s="78"/>
    </row>
    <row r="907" spans="1:7">
      <c r="A907" s="3"/>
      <c r="E907" s="5"/>
      <c r="G907" s="78"/>
    </row>
    <row r="908" spans="1:7">
      <c r="A908" s="3"/>
      <c r="E908" s="5"/>
      <c r="G908" s="78"/>
    </row>
    <row r="909" spans="1:7">
      <c r="A909" s="3"/>
      <c r="E909" s="5"/>
      <c r="G909" s="78"/>
    </row>
    <row r="910" spans="1:7">
      <c r="A910" s="3"/>
      <c r="E910" s="5"/>
      <c r="G910" s="78"/>
    </row>
    <row r="911" spans="1:7">
      <c r="A911" s="3"/>
      <c r="E911" s="5"/>
      <c r="G911" s="78"/>
    </row>
    <row r="912" spans="1:7">
      <c r="A912" s="3"/>
      <c r="E912" s="5"/>
      <c r="G912" s="78"/>
    </row>
    <row r="913" spans="1:7">
      <c r="A913" s="3"/>
      <c r="E913" s="5"/>
      <c r="G913" s="78"/>
    </row>
    <row r="914" spans="1:7">
      <c r="A914" s="3"/>
      <c r="E914" s="5"/>
      <c r="G914" s="78"/>
    </row>
    <row r="915" spans="1:7">
      <c r="A915" s="3"/>
      <c r="E915" s="5"/>
      <c r="G915" s="78"/>
    </row>
    <row r="916" spans="1:7">
      <c r="A916" s="3"/>
      <c r="E916" s="5"/>
      <c r="G916" s="78"/>
    </row>
    <row r="917" spans="1:7">
      <c r="A917" s="3"/>
      <c r="E917" s="5"/>
      <c r="G917" s="78"/>
    </row>
    <row r="918" spans="1:7">
      <c r="A918" s="3"/>
      <c r="E918" s="5"/>
      <c r="G918" s="78"/>
    </row>
    <row r="919" spans="1:7">
      <c r="A919" s="3"/>
      <c r="E919" s="5"/>
      <c r="G919" s="78"/>
    </row>
    <row r="920" spans="1:7">
      <c r="A920" s="3"/>
      <c r="E920" s="5"/>
      <c r="G920" s="78"/>
    </row>
    <row r="921" spans="1:7">
      <c r="A921" s="3"/>
      <c r="E921" s="5"/>
      <c r="G921" s="78"/>
    </row>
    <row r="922" spans="1:7">
      <c r="A922" s="3"/>
      <c r="E922" s="5"/>
      <c r="G922" s="78"/>
    </row>
    <row r="923" spans="1:7">
      <c r="A923" s="3"/>
      <c r="E923" s="5"/>
      <c r="G923" s="78"/>
    </row>
    <row r="924" spans="1:7">
      <c r="A924" s="3"/>
      <c r="E924" s="5"/>
      <c r="G924" s="78"/>
    </row>
    <row r="925" spans="1:7">
      <c r="A925" s="3"/>
      <c r="E925" s="5"/>
      <c r="G925" s="78"/>
    </row>
    <row r="926" spans="1:7">
      <c r="A926" s="3"/>
      <c r="E926" s="5"/>
      <c r="G926" s="78"/>
    </row>
    <row r="927" spans="1:7">
      <c r="A927" s="3"/>
      <c r="E927" s="5"/>
      <c r="G927" s="78"/>
    </row>
    <row r="928" spans="1:7">
      <c r="A928" s="3"/>
      <c r="E928" s="5"/>
      <c r="G928" s="78"/>
    </row>
    <row r="929" spans="1:7">
      <c r="A929" s="3"/>
      <c r="E929" s="5"/>
      <c r="G929" s="78"/>
    </row>
    <row r="930" spans="1:7">
      <c r="A930" s="3"/>
      <c r="E930" s="5"/>
      <c r="G930" s="78"/>
    </row>
    <row r="931" spans="1:7">
      <c r="A931" s="3"/>
      <c r="E931" s="5"/>
      <c r="G931" s="78"/>
    </row>
    <row r="932" spans="1:7">
      <c r="A932" s="3"/>
      <c r="E932" s="5"/>
      <c r="G932" s="78"/>
    </row>
    <row r="933" spans="1:7">
      <c r="A933" s="3"/>
      <c r="E933" s="5"/>
      <c r="G933" s="78"/>
    </row>
    <row r="934" spans="1:7">
      <c r="A934" s="3"/>
      <c r="E934" s="5"/>
      <c r="G934" s="78"/>
    </row>
    <row r="935" spans="1:7">
      <c r="A935" s="3"/>
      <c r="E935" s="5"/>
      <c r="G935" s="78"/>
    </row>
    <row r="936" spans="1:7">
      <c r="A936" s="3"/>
      <c r="E936" s="5"/>
      <c r="G936" s="78"/>
    </row>
    <row r="937" spans="1:7">
      <c r="A937" s="3"/>
      <c r="E937" s="5"/>
      <c r="G937" s="78"/>
    </row>
    <row r="938" spans="1:7">
      <c r="A938" s="3"/>
      <c r="E938" s="5"/>
      <c r="G938" s="78"/>
    </row>
    <row r="939" spans="1:7">
      <c r="A939" s="3"/>
      <c r="E939" s="5"/>
      <c r="G939" s="78"/>
    </row>
    <row r="940" spans="1:7">
      <c r="A940" s="3"/>
      <c r="E940" s="5"/>
      <c r="G940" s="78"/>
    </row>
    <row r="941" spans="1:7">
      <c r="A941" s="3"/>
      <c r="E941" s="5"/>
      <c r="G941" s="78"/>
    </row>
    <row r="942" spans="1:7">
      <c r="A942" s="3"/>
      <c r="E942" s="5"/>
      <c r="G942" s="78"/>
    </row>
    <row r="943" spans="1:7">
      <c r="A943" s="3"/>
      <c r="E943" s="5"/>
      <c r="G943" s="78"/>
    </row>
    <row r="944" spans="1:7">
      <c r="A944" s="3"/>
      <c r="E944" s="5"/>
      <c r="G944" s="78"/>
    </row>
    <row r="945" spans="1:7">
      <c r="A945" s="3"/>
      <c r="E945" s="5"/>
      <c r="G945" s="78"/>
    </row>
    <row r="946" spans="1:7">
      <c r="A946" s="3"/>
      <c r="E946" s="5"/>
      <c r="G946" s="78"/>
    </row>
    <row r="947" spans="1:7">
      <c r="A947" s="3"/>
      <c r="E947" s="5"/>
      <c r="G947" s="78"/>
    </row>
    <row r="948" spans="1:7">
      <c r="E948" s="5"/>
      <c r="G948" s="78"/>
    </row>
    <row r="949" spans="1:7">
      <c r="E949" s="5"/>
      <c r="G949" s="78"/>
    </row>
    <row r="950" spans="1:7">
      <c r="E950" s="5"/>
      <c r="G950" s="78"/>
    </row>
    <row r="951" spans="1:7">
      <c r="E951" s="5"/>
      <c r="G951" s="78"/>
    </row>
    <row r="952" spans="1:7">
      <c r="E952" s="5"/>
      <c r="G952" s="78"/>
    </row>
    <row r="953" spans="1:7">
      <c r="E953" s="5"/>
      <c r="G953" s="78"/>
    </row>
    <row r="954" spans="1:7">
      <c r="E954" s="5"/>
      <c r="G954" s="78"/>
    </row>
    <row r="955" spans="1:7">
      <c r="E955" s="5"/>
      <c r="G955" s="78"/>
    </row>
    <row r="956" spans="1:7">
      <c r="E956" s="5"/>
      <c r="G956" s="78"/>
    </row>
    <row r="957" spans="1:7">
      <c r="E957" s="5"/>
      <c r="G957" s="78"/>
    </row>
    <row r="958" spans="1:7">
      <c r="E958" s="5"/>
      <c r="G958" s="78"/>
    </row>
    <row r="959" spans="1:7">
      <c r="E959" s="5"/>
      <c r="G959" s="78"/>
    </row>
    <row r="960" spans="1:7">
      <c r="E960" s="5"/>
      <c r="G960" s="78"/>
    </row>
    <row r="961" spans="5:7">
      <c r="E961" s="5"/>
      <c r="G961" s="78"/>
    </row>
    <row r="962" spans="5:7">
      <c r="E962" s="5"/>
      <c r="G962" s="78"/>
    </row>
    <row r="963" spans="5:7">
      <c r="E963" s="5"/>
      <c r="G963" s="78"/>
    </row>
    <row r="964" spans="5:7">
      <c r="E964" s="5"/>
      <c r="G964" s="78"/>
    </row>
    <row r="965" spans="5:7">
      <c r="E965" s="5"/>
      <c r="G965" s="78"/>
    </row>
    <row r="966" spans="5:7">
      <c r="E966" s="5"/>
      <c r="G966" s="78"/>
    </row>
    <row r="967" spans="5:7">
      <c r="E967" s="5"/>
      <c r="G967" s="78"/>
    </row>
    <row r="968" spans="5:7">
      <c r="E968" s="5"/>
      <c r="G968" s="78"/>
    </row>
    <row r="969" spans="5:7">
      <c r="E969" s="5"/>
      <c r="G969" s="78"/>
    </row>
    <row r="970" spans="5:7">
      <c r="E970" s="5"/>
      <c r="G970" s="78"/>
    </row>
    <row r="971" spans="5:7">
      <c r="E971" s="5"/>
      <c r="G971" s="78"/>
    </row>
    <row r="972" spans="5:7">
      <c r="E972" s="5"/>
      <c r="G972" s="78"/>
    </row>
    <row r="973" spans="5:7">
      <c r="E973" s="5"/>
      <c r="G973" s="78"/>
    </row>
    <row r="974" spans="5:7">
      <c r="E974" s="5"/>
      <c r="G974" s="78"/>
    </row>
    <row r="975" spans="5:7">
      <c r="E975" s="5"/>
      <c r="G975" s="78"/>
    </row>
    <row r="976" spans="5:7">
      <c r="E976" s="5"/>
      <c r="G976" s="78"/>
    </row>
    <row r="977" spans="5:7">
      <c r="E977" s="5"/>
      <c r="G977" s="78"/>
    </row>
    <row r="978" spans="5:7">
      <c r="E978" s="5"/>
      <c r="G978" s="78"/>
    </row>
    <row r="979" spans="5:7">
      <c r="E979" s="5"/>
      <c r="G979" s="78"/>
    </row>
    <row r="980" spans="5:7">
      <c r="E980" s="5"/>
      <c r="G980" s="78"/>
    </row>
    <row r="981" spans="5:7">
      <c r="E981" s="5"/>
      <c r="G981" s="78"/>
    </row>
    <row r="982" spans="5:7">
      <c r="E982" s="5"/>
      <c r="G982" s="78"/>
    </row>
    <row r="983" spans="5:7">
      <c r="E983" s="5"/>
      <c r="G983" s="78"/>
    </row>
    <row r="984" spans="5:7">
      <c r="E984" s="5"/>
      <c r="G984" s="78"/>
    </row>
    <row r="985" spans="5:7">
      <c r="E985" s="5"/>
      <c r="G985" s="78"/>
    </row>
    <row r="986" spans="5:7">
      <c r="E986" s="5"/>
      <c r="G986" s="78"/>
    </row>
    <row r="987" spans="5:7">
      <c r="E987" s="5"/>
      <c r="G987" s="78"/>
    </row>
    <row r="988" spans="5:7">
      <c r="E988" s="5"/>
      <c r="G988" s="78"/>
    </row>
    <row r="989" spans="5:7">
      <c r="E989" s="5"/>
      <c r="G989" s="78"/>
    </row>
    <row r="990" spans="5:7">
      <c r="E990" s="5"/>
      <c r="G990" s="78"/>
    </row>
    <row r="991" spans="5:7">
      <c r="E991" s="5"/>
      <c r="G991" s="78"/>
    </row>
    <row r="992" spans="5:7">
      <c r="E992" s="5"/>
      <c r="G992" s="78"/>
    </row>
    <row r="993" spans="5:7">
      <c r="E993" s="5"/>
      <c r="G993" s="78"/>
    </row>
    <row r="994" spans="5:7">
      <c r="E994" s="5"/>
      <c r="G994" s="78"/>
    </row>
    <row r="995" spans="5:7">
      <c r="E995" s="5"/>
      <c r="G995" s="78"/>
    </row>
    <row r="996" spans="5:7">
      <c r="E996" s="5"/>
      <c r="G996" s="78"/>
    </row>
    <row r="997" spans="5:7">
      <c r="E997" s="5"/>
      <c r="G997" s="78"/>
    </row>
    <row r="998" spans="5:7">
      <c r="E998" s="5"/>
      <c r="G998" s="78"/>
    </row>
    <row r="999" spans="5:7">
      <c r="E999" s="5"/>
      <c r="G999" s="78"/>
    </row>
    <row r="1000" spans="5:7">
      <c r="E1000" s="5"/>
      <c r="G1000" s="78"/>
    </row>
    <row r="1001" spans="5:7">
      <c r="E1001" s="5"/>
      <c r="G1001" s="78"/>
    </row>
    <row r="1002" spans="5:7">
      <c r="E1002" s="5"/>
      <c r="G1002" s="78"/>
    </row>
    <row r="1003" spans="5:7">
      <c r="E1003" s="5"/>
      <c r="G1003" s="78"/>
    </row>
    <row r="1004" spans="5:7">
      <c r="E1004" s="5"/>
      <c r="G1004" s="78"/>
    </row>
    <row r="1005" spans="5:7">
      <c r="E1005" s="5"/>
      <c r="G1005" s="78"/>
    </row>
    <row r="1006" spans="5:7">
      <c r="E1006" s="5"/>
      <c r="G1006" s="78"/>
    </row>
    <row r="1007" spans="5:7">
      <c r="E1007" s="5"/>
      <c r="G1007" s="78"/>
    </row>
    <row r="1008" spans="5:7">
      <c r="E1008" s="5"/>
      <c r="G1008" s="78"/>
    </row>
    <row r="1009" spans="5:7">
      <c r="E1009" s="5"/>
      <c r="G1009" s="78"/>
    </row>
    <row r="1010" spans="5:7">
      <c r="E1010" s="5"/>
      <c r="G1010" s="78"/>
    </row>
    <row r="1011" spans="5:7">
      <c r="E1011" s="5"/>
      <c r="G1011" s="78"/>
    </row>
    <row r="1012" spans="5:7">
      <c r="E1012" s="5"/>
      <c r="G1012" s="78"/>
    </row>
    <row r="1013" spans="5:7">
      <c r="E1013" s="5"/>
      <c r="G1013" s="78"/>
    </row>
    <row r="1014" spans="5:7">
      <c r="E1014" s="5"/>
      <c r="G1014" s="78"/>
    </row>
    <row r="1015" spans="5:7">
      <c r="E1015" s="5"/>
      <c r="G1015" s="78"/>
    </row>
    <row r="1016" spans="5:7">
      <c r="E1016" s="5"/>
      <c r="G1016" s="78"/>
    </row>
    <row r="1017" spans="5:7">
      <c r="E1017" s="5"/>
      <c r="G1017" s="78"/>
    </row>
    <row r="1018" spans="5:7">
      <c r="E1018" s="5"/>
      <c r="G1018" s="78"/>
    </row>
    <row r="1019" spans="5:7">
      <c r="E1019" s="5"/>
      <c r="G1019" s="78"/>
    </row>
    <row r="1020" spans="5:7">
      <c r="E1020" s="5"/>
      <c r="G1020" s="78"/>
    </row>
    <row r="1021" spans="5:7">
      <c r="E1021" s="5"/>
      <c r="G1021" s="78"/>
    </row>
    <row r="1022" spans="5:7">
      <c r="E1022" s="5"/>
      <c r="G1022" s="78"/>
    </row>
    <row r="1023" spans="5:7">
      <c r="E1023" s="5"/>
      <c r="G1023" s="78"/>
    </row>
    <row r="1024" spans="5:7">
      <c r="E1024" s="5"/>
      <c r="G1024" s="78"/>
    </row>
    <row r="1025" spans="5:7">
      <c r="E1025" s="5"/>
      <c r="G1025" s="78"/>
    </row>
    <row r="1026" spans="5:7">
      <c r="E1026" s="5"/>
      <c r="G1026" s="78"/>
    </row>
    <row r="1027" spans="5:7">
      <c r="E1027" s="5"/>
      <c r="G1027" s="78"/>
    </row>
    <row r="1028" spans="5:7">
      <c r="E1028" s="5"/>
      <c r="G1028" s="78"/>
    </row>
    <row r="1029" spans="5:7">
      <c r="E1029" s="5"/>
      <c r="G1029" s="7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FE6FF-3E3E-49E9-AD16-DBE094E1988A}">
  <sheetPr codeName="Hoja15">
    <tabColor theme="5" tint="0.39997558519241921"/>
  </sheetPr>
  <dimension ref="A1:I300"/>
  <sheetViews>
    <sheetView zoomScale="55" zoomScaleNormal="55" workbookViewId="0">
      <selection activeCell="X72" sqref="X72"/>
    </sheetView>
  </sheetViews>
  <sheetFormatPr baseColWidth="10" defaultColWidth="11" defaultRowHeight="14.4"/>
  <cols>
    <col min="1" max="1" width="33.88671875" customWidth="1"/>
    <col min="2" max="2" width="17.109375" customWidth="1"/>
    <col min="3" max="3" width="20.5546875" customWidth="1"/>
    <col min="4" max="4" width="22.88671875" style="78" customWidth="1"/>
    <col min="5" max="5" width="22.88671875" style="91" customWidth="1"/>
    <col min="6" max="7" width="22.88671875" customWidth="1"/>
    <col min="8" max="8" width="12.109375" customWidth="1"/>
    <col min="9" max="9" width="15.5546875" customWidth="1"/>
  </cols>
  <sheetData>
    <row r="1" spans="1:9">
      <c r="D1" s="97"/>
      <c r="E1" s="97"/>
      <c r="F1" s="3"/>
      <c r="G1" s="3"/>
      <c r="H1" s="3"/>
      <c r="I1" s="3"/>
    </row>
    <row r="2" spans="1:9">
      <c r="A2" s="80" t="s">
        <v>102</v>
      </c>
      <c r="B2" s="80" t="s">
        <v>944</v>
      </c>
      <c r="C2" s="80" t="s">
        <v>108</v>
      </c>
      <c r="D2" s="80" t="s">
        <v>532</v>
      </c>
      <c r="E2" s="98"/>
      <c r="F2" s="80"/>
      <c r="G2" s="80"/>
      <c r="H2" s="81"/>
      <c r="I2" s="81"/>
    </row>
    <row r="3" spans="1:9">
      <c r="E3" s="78"/>
      <c r="F3" s="78"/>
      <c r="G3" s="78"/>
      <c r="H3" s="78"/>
      <c r="I3" s="78"/>
    </row>
    <row r="4" spans="1:9">
      <c r="E4" s="78"/>
      <c r="F4" s="78"/>
      <c r="G4" s="78"/>
      <c r="H4" s="78"/>
      <c r="I4" s="78"/>
    </row>
    <row r="5" spans="1:9">
      <c r="E5" s="78"/>
      <c r="F5" s="78"/>
      <c r="G5" s="78"/>
      <c r="H5" s="78"/>
      <c r="I5" s="78"/>
    </row>
    <row r="6" spans="1:9">
      <c r="E6" s="78"/>
      <c r="F6" s="78"/>
      <c r="G6" s="78"/>
      <c r="H6" s="78"/>
      <c r="I6" s="78"/>
    </row>
    <row r="7" spans="1:9">
      <c r="E7" s="78"/>
      <c r="F7" s="78"/>
      <c r="G7" s="78"/>
      <c r="H7" s="78"/>
      <c r="I7" s="78"/>
    </row>
    <row r="8" spans="1:9">
      <c r="E8" s="78"/>
      <c r="F8" s="78"/>
      <c r="G8" s="78"/>
      <c r="H8" s="78"/>
      <c r="I8" s="78"/>
    </row>
    <row r="9" spans="1:9">
      <c r="E9" s="78"/>
      <c r="F9" s="78"/>
      <c r="G9" s="78"/>
      <c r="H9" s="78"/>
      <c r="I9" s="78"/>
    </row>
    <row r="10" spans="1:9">
      <c r="E10" s="78"/>
      <c r="F10" s="78"/>
      <c r="G10" s="78"/>
      <c r="H10" s="78"/>
      <c r="I10" s="78"/>
    </row>
    <row r="11" spans="1:9">
      <c r="E11" s="78"/>
      <c r="F11" s="78"/>
      <c r="G11" s="78"/>
      <c r="H11" s="78"/>
      <c r="I11" s="78"/>
    </row>
    <row r="12" spans="1:9">
      <c r="E12" s="78"/>
      <c r="F12" s="78"/>
      <c r="G12" s="78"/>
      <c r="H12" s="78"/>
      <c r="I12" s="78"/>
    </row>
    <row r="13" spans="1:9">
      <c r="E13" s="78"/>
      <c r="F13" s="78"/>
      <c r="G13" s="78"/>
      <c r="H13" s="78"/>
      <c r="I13" s="78"/>
    </row>
    <row r="14" spans="1:9">
      <c r="E14" s="78"/>
      <c r="F14" s="78"/>
      <c r="G14" s="78"/>
      <c r="H14" s="78"/>
      <c r="I14" s="78"/>
    </row>
    <row r="15" spans="1:9">
      <c r="E15" s="78"/>
      <c r="F15" s="78"/>
      <c r="G15" s="78"/>
      <c r="H15" s="78"/>
      <c r="I15" s="78"/>
    </row>
    <row r="16" spans="1:9">
      <c r="E16" s="78"/>
      <c r="F16" s="78"/>
      <c r="G16" s="78"/>
      <c r="H16" s="78"/>
      <c r="I16" s="78"/>
    </row>
    <row r="17" spans="5:9">
      <c r="E17" s="78"/>
      <c r="F17" s="78"/>
      <c r="G17" s="78"/>
      <c r="H17" s="78"/>
      <c r="I17" s="78"/>
    </row>
    <row r="18" spans="5:9">
      <c r="E18" s="78"/>
      <c r="F18" s="78"/>
      <c r="G18" s="78"/>
      <c r="H18" s="78"/>
      <c r="I18" s="78"/>
    </row>
    <row r="19" spans="5:9">
      <c r="E19" s="78"/>
      <c r="F19" s="78"/>
      <c r="G19" s="78"/>
      <c r="H19" s="78"/>
      <c r="I19" s="78"/>
    </row>
    <row r="20" spans="5:9">
      <c r="E20" s="78"/>
      <c r="F20" s="78"/>
      <c r="G20" s="78"/>
      <c r="H20" s="78"/>
      <c r="I20" s="78"/>
    </row>
    <row r="21" spans="5:9">
      <c r="E21" s="78"/>
      <c r="F21" s="78"/>
      <c r="G21" s="78"/>
      <c r="H21" s="78"/>
      <c r="I21" s="78"/>
    </row>
    <row r="22" spans="5:9">
      <c r="E22" s="78"/>
      <c r="F22" s="78"/>
      <c r="G22" s="78"/>
      <c r="H22" s="78"/>
      <c r="I22" s="78"/>
    </row>
    <row r="23" spans="5:9">
      <c r="E23" s="78"/>
      <c r="F23" s="78"/>
      <c r="G23" s="78"/>
      <c r="H23" s="78"/>
      <c r="I23" s="78"/>
    </row>
    <row r="24" spans="5:9">
      <c r="E24" s="78"/>
      <c r="F24" s="78"/>
      <c r="G24" s="78"/>
      <c r="H24" s="78"/>
      <c r="I24" s="78"/>
    </row>
    <row r="25" spans="5:9">
      <c r="E25" s="78"/>
      <c r="F25" s="78"/>
      <c r="G25" s="78"/>
      <c r="H25" s="78"/>
      <c r="I25" s="78"/>
    </row>
    <row r="26" spans="5:9">
      <c r="E26" s="78"/>
      <c r="F26" s="78"/>
      <c r="G26" s="78"/>
      <c r="H26" s="78"/>
      <c r="I26" s="78"/>
    </row>
    <row r="27" spans="5:9">
      <c r="E27" s="78"/>
      <c r="F27" s="78"/>
      <c r="G27" s="78"/>
      <c r="H27" s="78"/>
      <c r="I27" s="78"/>
    </row>
    <row r="28" spans="5:9">
      <c r="E28" s="78"/>
      <c r="F28" s="78"/>
      <c r="G28" s="78"/>
      <c r="H28" s="78"/>
      <c r="I28" s="78"/>
    </row>
    <row r="29" spans="5:9">
      <c r="E29" s="78"/>
      <c r="F29" s="78"/>
      <c r="G29" s="78"/>
      <c r="H29" s="78"/>
      <c r="I29" s="78"/>
    </row>
    <row r="30" spans="5:9">
      <c r="E30" s="78"/>
      <c r="F30" s="78"/>
      <c r="G30" s="78"/>
      <c r="H30" s="78"/>
      <c r="I30" s="78"/>
    </row>
    <row r="31" spans="5:9">
      <c r="E31" s="78"/>
      <c r="F31" s="78"/>
      <c r="G31" s="78"/>
      <c r="H31" s="78"/>
      <c r="I31" s="78"/>
    </row>
    <row r="32" spans="5:9">
      <c r="E32" s="78"/>
      <c r="F32" s="78"/>
      <c r="G32" s="78"/>
      <c r="H32" s="78"/>
      <c r="I32" s="78"/>
    </row>
    <row r="33" spans="5:9">
      <c r="E33" s="78"/>
      <c r="F33" s="78"/>
      <c r="G33" s="78"/>
      <c r="H33" s="78"/>
      <c r="I33" s="78"/>
    </row>
    <row r="34" spans="5:9">
      <c r="E34" s="78"/>
      <c r="F34" s="78"/>
      <c r="G34" s="78"/>
      <c r="H34" s="78"/>
      <c r="I34" s="78"/>
    </row>
    <row r="35" spans="5:9">
      <c r="E35" s="78"/>
      <c r="F35" s="78"/>
      <c r="G35" s="78"/>
      <c r="H35" s="78"/>
      <c r="I35" s="78"/>
    </row>
    <row r="36" spans="5:9">
      <c r="E36" s="78"/>
      <c r="F36" s="78"/>
      <c r="G36" s="78"/>
      <c r="H36" s="78"/>
      <c r="I36" s="78"/>
    </row>
    <row r="37" spans="5:9">
      <c r="E37" s="78"/>
      <c r="F37" s="78"/>
      <c r="G37" s="78"/>
      <c r="H37" s="78"/>
      <c r="I37" s="78"/>
    </row>
    <row r="38" spans="5:9">
      <c r="E38" s="78"/>
      <c r="F38" s="78"/>
      <c r="G38" s="78"/>
      <c r="H38" s="78"/>
      <c r="I38" s="78"/>
    </row>
    <row r="39" spans="5:9">
      <c r="E39" s="78"/>
      <c r="F39" s="78"/>
      <c r="G39" s="78"/>
      <c r="H39" s="78"/>
      <c r="I39" s="78"/>
    </row>
    <row r="40" spans="5:9">
      <c r="E40" s="78"/>
      <c r="F40" s="78"/>
      <c r="G40" s="78"/>
      <c r="H40" s="78"/>
      <c r="I40" s="78"/>
    </row>
    <row r="41" spans="5:9">
      <c r="E41" s="78"/>
      <c r="F41" s="78"/>
      <c r="G41" s="78"/>
      <c r="H41" s="78"/>
      <c r="I41" s="78"/>
    </row>
    <row r="42" spans="5:9">
      <c r="E42" s="78"/>
      <c r="F42" s="78"/>
      <c r="G42" s="78"/>
      <c r="H42" s="78"/>
      <c r="I42" s="78"/>
    </row>
    <row r="43" spans="5:9">
      <c r="E43" s="78"/>
      <c r="F43" s="78"/>
      <c r="G43" s="78"/>
      <c r="H43" s="78"/>
      <c r="I43" s="78"/>
    </row>
    <row r="44" spans="5:9">
      <c r="E44" s="78"/>
      <c r="F44" s="78"/>
      <c r="G44" s="78"/>
      <c r="H44" s="78"/>
      <c r="I44" s="78"/>
    </row>
    <row r="45" spans="5:9">
      <c r="E45" s="78"/>
      <c r="F45" s="78"/>
      <c r="G45" s="78"/>
      <c r="H45" s="78"/>
      <c r="I45" s="78"/>
    </row>
    <row r="46" spans="5:9">
      <c r="E46" s="78"/>
      <c r="F46" s="78"/>
      <c r="G46" s="78"/>
      <c r="H46" s="78"/>
      <c r="I46" s="78"/>
    </row>
    <row r="47" spans="5:9">
      <c r="E47" s="78"/>
      <c r="F47" s="78"/>
      <c r="G47" s="78"/>
      <c r="H47" s="78"/>
      <c r="I47" s="78"/>
    </row>
    <row r="48" spans="5:9">
      <c r="E48" s="78"/>
      <c r="F48" s="78"/>
      <c r="G48" s="78"/>
      <c r="H48" s="78"/>
      <c r="I48" s="78"/>
    </row>
    <row r="49" spans="5:9">
      <c r="E49" s="78"/>
      <c r="F49" s="78"/>
      <c r="G49" s="78"/>
      <c r="H49" s="78"/>
      <c r="I49" s="78"/>
    </row>
    <row r="50" spans="5:9">
      <c r="E50" s="78"/>
      <c r="F50" s="78"/>
      <c r="G50" s="78"/>
      <c r="H50" s="78"/>
      <c r="I50" s="78"/>
    </row>
    <row r="51" spans="5:9">
      <c r="E51" s="78"/>
      <c r="F51" s="78"/>
      <c r="G51" s="78"/>
      <c r="H51" s="78"/>
      <c r="I51" s="78"/>
    </row>
    <row r="52" spans="5:9">
      <c r="E52" s="78"/>
      <c r="F52" s="78"/>
      <c r="G52" s="78"/>
      <c r="H52" s="78"/>
      <c r="I52" s="78"/>
    </row>
    <row r="53" spans="5:9">
      <c r="E53" s="78"/>
      <c r="F53" s="78"/>
      <c r="G53" s="78"/>
      <c r="H53" s="78"/>
      <c r="I53" s="78"/>
    </row>
    <row r="54" spans="5:9">
      <c r="E54" s="78"/>
      <c r="F54" s="78"/>
      <c r="G54" s="78"/>
      <c r="H54" s="78"/>
      <c r="I54" s="78"/>
    </row>
    <row r="55" spans="5:9">
      <c r="E55" s="78"/>
      <c r="F55" s="78"/>
      <c r="G55" s="78"/>
      <c r="H55" s="78"/>
      <c r="I55" s="78"/>
    </row>
    <row r="56" spans="5:9">
      <c r="E56" s="78"/>
      <c r="F56" s="78"/>
      <c r="G56" s="78"/>
      <c r="H56" s="78"/>
      <c r="I56" s="78"/>
    </row>
    <row r="57" spans="5:9">
      <c r="E57" s="78"/>
      <c r="F57" s="78"/>
      <c r="G57" s="78"/>
      <c r="H57" s="78"/>
      <c r="I57" s="78"/>
    </row>
    <row r="58" spans="5:9">
      <c r="E58" s="78"/>
      <c r="F58" s="78"/>
      <c r="G58" s="78"/>
      <c r="H58" s="78"/>
      <c r="I58" s="78"/>
    </row>
    <row r="59" spans="5:9">
      <c r="E59" s="78"/>
      <c r="F59" s="78"/>
      <c r="G59" s="78"/>
      <c r="H59" s="78"/>
      <c r="I59" s="78"/>
    </row>
    <row r="60" spans="5:9">
      <c r="E60" s="78"/>
      <c r="F60" s="78"/>
      <c r="G60" s="78"/>
      <c r="H60" s="78"/>
      <c r="I60" s="78"/>
    </row>
    <row r="61" spans="5:9">
      <c r="E61" s="78"/>
      <c r="F61" s="78"/>
      <c r="G61" s="78"/>
      <c r="H61" s="78"/>
      <c r="I61" s="78"/>
    </row>
    <row r="62" spans="5:9">
      <c r="E62" s="78"/>
      <c r="F62" s="78"/>
      <c r="G62" s="78"/>
      <c r="H62" s="78"/>
      <c r="I62" s="78"/>
    </row>
    <row r="63" spans="5:9">
      <c r="E63" s="78"/>
      <c r="F63" s="78"/>
      <c r="G63" s="78"/>
      <c r="H63" s="78"/>
      <c r="I63" s="78"/>
    </row>
    <row r="64" spans="5:9">
      <c r="E64" s="78"/>
      <c r="F64" s="78"/>
      <c r="G64" s="78"/>
      <c r="H64" s="78"/>
      <c r="I64" s="78"/>
    </row>
    <row r="65" spans="5:9">
      <c r="E65" s="78"/>
      <c r="F65" s="78"/>
      <c r="G65" s="78"/>
      <c r="H65" s="78"/>
      <c r="I65" s="78"/>
    </row>
    <row r="66" spans="5:9">
      <c r="E66" s="78"/>
      <c r="F66" s="78"/>
      <c r="G66" s="78"/>
      <c r="H66" s="78"/>
      <c r="I66" s="78"/>
    </row>
    <row r="67" spans="5:9">
      <c r="E67" s="78"/>
      <c r="F67" s="78"/>
      <c r="G67" s="78"/>
      <c r="H67" s="78"/>
      <c r="I67" s="78"/>
    </row>
    <row r="68" spans="5:9">
      <c r="E68" s="78"/>
      <c r="F68" s="78"/>
      <c r="G68" s="78"/>
      <c r="H68" s="78"/>
      <c r="I68" s="78"/>
    </row>
    <row r="69" spans="5:9">
      <c r="E69" s="78"/>
      <c r="F69" s="78"/>
      <c r="G69" s="78"/>
      <c r="H69" s="78"/>
      <c r="I69" s="78"/>
    </row>
    <row r="70" spans="5:9">
      <c r="E70" s="78"/>
      <c r="F70" s="78"/>
      <c r="G70" s="78"/>
      <c r="H70" s="78"/>
      <c r="I70" s="78"/>
    </row>
    <row r="71" spans="5:9">
      <c r="E71" s="78"/>
      <c r="F71" s="78"/>
      <c r="G71" s="78"/>
      <c r="H71" s="78"/>
      <c r="I71" s="78"/>
    </row>
    <row r="72" spans="5:9">
      <c r="E72" s="78"/>
      <c r="F72" s="78"/>
      <c r="G72" s="78"/>
      <c r="H72" s="78"/>
      <c r="I72" s="78"/>
    </row>
    <row r="73" spans="5:9">
      <c r="E73" s="78"/>
      <c r="F73" s="78"/>
      <c r="G73" s="78"/>
      <c r="H73" s="78"/>
      <c r="I73" s="78"/>
    </row>
    <row r="74" spans="5:9">
      <c r="E74" s="78"/>
      <c r="F74" s="78"/>
      <c r="G74" s="78"/>
      <c r="H74" s="78"/>
      <c r="I74" s="78"/>
    </row>
    <row r="75" spans="5:9">
      <c r="E75" s="78"/>
      <c r="F75" s="78"/>
      <c r="G75" s="78"/>
      <c r="H75" s="78"/>
      <c r="I75" s="78"/>
    </row>
    <row r="76" spans="5:9">
      <c r="E76" s="78"/>
      <c r="F76" s="78"/>
      <c r="G76" s="78"/>
      <c r="H76" s="78"/>
      <c r="I76" s="78"/>
    </row>
    <row r="77" spans="5:9">
      <c r="E77" s="78"/>
      <c r="F77" s="78"/>
      <c r="G77" s="78"/>
      <c r="H77" s="78"/>
      <c r="I77" s="78"/>
    </row>
    <row r="78" spans="5:9">
      <c r="E78" s="78"/>
      <c r="F78" s="78"/>
      <c r="G78" s="78"/>
      <c r="H78" s="78"/>
      <c r="I78" s="78"/>
    </row>
    <row r="79" spans="5:9">
      <c r="E79" s="78"/>
      <c r="F79" s="78"/>
      <c r="G79" s="78"/>
      <c r="H79" s="78"/>
      <c r="I79" s="78"/>
    </row>
    <row r="80" spans="5:9">
      <c r="E80" s="78"/>
      <c r="F80" s="78"/>
      <c r="G80" s="78"/>
      <c r="H80" s="78"/>
      <c r="I80" s="78"/>
    </row>
    <row r="81" spans="5:9">
      <c r="E81" s="78"/>
      <c r="F81" s="78"/>
      <c r="G81" s="78"/>
      <c r="H81" s="78"/>
      <c r="I81" s="78"/>
    </row>
    <row r="82" spans="5:9">
      <c r="E82" s="78"/>
      <c r="F82" s="78"/>
      <c r="G82" s="78"/>
    </row>
    <row r="83" spans="5:9">
      <c r="E83" s="78"/>
      <c r="F83" s="78"/>
      <c r="G83" s="78"/>
    </row>
    <row r="84" spans="5:9">
      <c r="E84" s="78"/>
      <c r="F84" s="78"/>
      <c r="G84" s="78"/>
    </row>
    <row r="85" spans="5:9">
      <c r="E85" s="78"/>
      <c r="F85" s="78"/>
      <c r="G85" s="78"/>
    </row>
    <row r="86" spans="5:9">
      <c r="E86" s="78"/>
      <c r="F86" s="78"/>
      <c r="G86" s="78"/>
    </row>
    <row r="87" spans="5:9">
      <c r="E87" s="78"/>
      <c r="F87" s="78"/>
      <c r="G87" s="78"/>
    </row>
    <row r="88" spans="5:9">
      <c r="E88" s="78"/>
      <c r="F88" s="78"/>
      <c r="G88" s="78"/>
    </row>
    <row r="89" spans="5:9">
      <c r="E89" s="78"/>
      <c r="F89" s="78"/>
      <c r="G89" s="78"/>
    </row>
    <row r="90" spans="5:9">
      <c r="E90" s="78"/>
      <c r="F90" s="78"/>
      <c r="G90" s="78"/>
    </row>
    <row r="91" spans="5:9">
      <c r="E91" s="78"/>
      <c r="F91" s="78"/>
      <c r="G91" s="78"/>
    </row>
    <row r="92" spans="5:9">
      <c r="E92" s="78"/>
      <c r="F92" s="78"/>
      <c r="G92" s="78"/>
    </row>
    <row r="93" spans="5:9">
      <c r="E93" s="78"/>
      <c r="F93" s="78"/>
      <c r="G93" s="78"/>
    </row>
    <row r="94" spans="5:9">
      <c r="E94" s="78"/>
      <c r="F94" s="78"/>
      <c r="G94" s="78"/>
    </row>
    <row r="95" spans="5:9">
      <c r="E95" s="78"/>
      <c r="F95" s="78"/>
      <c r="G95" s="78"/>
    </row>
    <row r="96" spans="5:9">
      <c r="E96" s="78"/>
      <c r="F96" s="78"/>
      <c r="G96" s="78"/>
    </row>
    <row r="97" spans="5:7">
      <c r="E97" s="78"/>
      <c r="F97" s="78"/>
      <c r="G97" s="78"/>
    </row>
    <row r="98" spans="5:7">
      <c r="E98" s="78"/>
      <c r="F98" s="78"/>
      <c r="G98" s="78"/>
    </row>
    <row r="99" spans="5:7">
      <c r="E99" s="78"/>
      <c r="F99" s="78"/>
      <c r="G99" s="78"/>
    </row>
    <row r="100" spans="5:7">
      <c r="E100" s="78"/>
      <c r="F100" s="78"/>
      <c r="G100" s="78"/>
    </row>
    <row r="101" spans="5:7">
      <c r="E101" s="78"/>
      <c r="F101" s="78"/>
      <c r="G101" s="78"/>
    </row>
    <row r="102" spans="5:7">
      <c r="E102" s="78"/>
      <c r="F102" s="78"/>
      <c r="G102" s="78"/>
    </row>
    <row r="103" spans="5:7">
      <c r="E103" s="78"/>
      <c r="F103" s="78"/>
      <c r="G103" s="78"/>
    </row>
    <row r="104" spans="5:7">
      <c r="E104" s="78"/>
      <c r="F104" s="78"/>
      <c r="G104" s="78"/>
    </row>
    <row r="105" spans="5:7">
      <c r="E105" s="78"/>
      <c r="F105" s="78"/>
      <c r="G105" s="78"/>
    </row>
    <row r="106" spans="5:7">
      <c r="E106" s="78"/>
      <c r="F106" s="78"/>
      <c r="G106" s="78"/>
    </row>
    <row r="107" spans="5:7">
      <c r="E107" s="78"/>
      <c r="F107" s="78"/>
      <c r="G107" s="78"/>
    </row>
    <row r="108" spans="5:7">
      <c r="E108" s="78"/>
      <c r="F108" s="78"/>
      <c r="G108" s="78"/>
    </row>
    <row r="109" spans="5:7">
      <c r="E109" s="78"/>
      <c r="F109" s="78"/>
      <c r="G109" s="78"/>
    </row>
    <row r="110" spans="5:7">
      <c r="E110" s="78"/>
      <c r="F110" s="78"/>
      <c r="G110" s="78"/>
    </row>
    <row r="111" spans="5:7">
      <c r="E111" s="78"/>
      <c r="F111" s="78"/>
      <c r="G111" s="78"/>
    </row>
    <row r="112" spans="5:7">
      <c r="E112" s="78"/>
      <c r="F112" s="78"/>
      <c r="G112" s="78"/>
    </row>
    <row r="113" spans="5:7">
      <c r="E113" s="78"/>
      <c r="F113" s="78"/>
      <c r="G113" s="78"/>
    </row>
    <row r="114" spans="5:7">
      <c r="E114" s="78"/>
      <c r="F114" s="78"/>
      <c r="G114" s="78"/>
    </row>
    <row r="115" spans="5:7">
      <c r="E115" s="78"/>
      <c r="F115" s="78"/>
      <c r="G115" s="78"/>
    </row>
    <row r="116" spans="5:7">
      <c r="E116" s="78"/>
      <c r="F116" s="78"/>
      <c r="G116" s="78"/>
    </row>
    <row r="117" spans="5:7">
      <c r="E117" s="78"/>
      <c r="F117" s="78"/>
      <c r="G117" s="78"/>
    </row>
    <row r="118" spans="5:7">
      <c r="E118" s="78"/>
      <c r="F118" s="78"/>
      <c r="G118" s="78"/>
    </row>
    <row r="119" spans="5:7">
      <c r="E119" s="78"/>
      <c r="F119" s="78"/>
      <c r="G119" s="78"/>
    </row>
    <row r="120" spans="5:7">
      <c r="E120" s="78"/>
      <c r="F120" s="78"/>
      <c r="G120" s="78"/>
    </row>
    <row r="121" spans="5:7">
      <c r="E121" s="78"/>
      <c r="F121" s="78"/>
      <c r="G121" s="78"/>
    </row>
    <row r="122" spans="5:7">
      <c r="E122" s="78"/>
      <c r="F122" s="78"/>
      <c r="G122" s="78"/>
    </row>
    <row r="123" spans="5:7">
      <c r="E123" s="78"/>
      <c r="F123" s="78"/>
      <c r="G123" s="78"/>
    </row>
    <row r="124" spans="5:7">
      <c r="E124" s="78"/>
      <c r="F124" s="78"/>
      <c r="G124" s="78"/>
    </row>
    <row r="125" spans="5:7">
      <c r="E125" s="78"/>
      <c r="F125" s="78"/>
      <c r="G125" s="78"/>
    </row>
    <row r="126" spans="5:7">
      <c r="E126" s="78"/>
      <c r="F126" s="78"/>
      <c r="G126" s="78"/>
    </row>
    <row r="127" spans="5:7">
      <c r="E127" s="78"/>
      <c r="F127" s="78"/>
      <c r="G127" s="78"/>
    </row>
    <row r="128" spans="5:7">
      <c r="E128" s="78"/>
      <c r="F128" s="78"/>
      <c r="G128" s="78"/>
    </row>
    <row r="129" spans="5:7">
      <c r="E129" s="78"/>
      <c r="F129" s="78"/>
      <c r="G129" s="78"/>
    </row>
    <row r="130" spans="5:7">
      <c r="E130" s="78"/>
      <c r="F130" s="78"/>
      <c r="G130" s="78"/>
    </row>
    <row r="131" spans="5:7">
      <c r="E131" s="78"/>
      <c r="F131" s="78"/>
      <c r="G131" s="78"/>
    </row>
    <row r="132" spans="5:7">
      <c r="E132" s="78"/>
      <c r="F132" s="78"/>
      <c r="G132" s="78"/>
    </row>
    <row r="133" spans="5:7">
      <c r="E133" s="78"/>
      <c r="F133" s="78"/>
      <c r="G133" s="78"/>
    </row>
    <row r="134" spans="5:7">
      <c r="E134" s="78"/>
      <c r="F134" s="78"/>
      <c r="G134" s="78"/>
    </row>
    <row r="135" spans="5:7">
      <c r="E135" s="78"/>
      <c r="F135" s="78"/>
      <c r="G135" s="78"/>
    </row>
    <row r="136" spans="5:7">
      <c r="E136" s="78"/>
      <c r="F136" s="78"/>
      <c r="G136" s="78"/>
    </row>
    <row r="137" spans="5:7">
      <c r="E137" s="78"/>
      <c r="F137" s="78"/>
      <c r="G137" s="78"/>
    </row>
    <row r="138" spans="5:7">
      <c r="E138" s="78"/>
      <c r="F138" s="78"/>
      <c r="G138" s="78"/>
    </row>
    <row r="139" spans="5:7">
      <c r="E139" s="78"/>
      <c r="F139" s="78"/>
      <c r="G139" s="78"/>
    </row>
    <row r="140" spans="5:7">
      <c r="E140" s="78"/>
      <c r="F140" s="78"/>
      <c r="G140" s="78"/>
    </row>
    <row r="141" spans="5:7">
      <c r="E141" s="78"/>
      <c r="F141" s="78"/>
      <c r="G141" s="78"/>
    </row>
    <row r="142" spans="5:7">
      <c r="E142" s="78"/>
      <c r="F142" s="78"/>
      <c r="G142" s="78"/>
    </row>
    <row r="143" spans="5:7">
      <c r="E143" s="78"/>
      <c r="F143" s="78"/>
      <c r="G143" s="78"/>
    </row>
    <row r="144" spans="5:7">
      <c r="E144" s="78"/>
      <c r="F144" s="78"/>
      <c r="G144" s="78"/>
    </row>
    <row r="145" spans="5:7">
      <c r="E145" s="78"/>
      <c r="F145" s="78"/>
      <c r="G145" s="78"/>
    </row>
    <row r="146" spans="5:7">
      <c r="E146" s="78"/>
      <c r="F146" s="78"/>
      <c r="G146" s="78"/>
    </row>
    <row r="147" spans="5:7">
      <c r="E147" s="78"/>
      <c r="F147" s="78"/>
      <c r="G147" s="78"/>
    </row>
    <row r="148" spans="5:7">
      <c r="E148" s="78"/>
      <c r="F148" s="78"/>
      <c r="G148" s="78"/>
    </row>
    <row r="149" spans="5:7">
      <c r="E149" s="78"/>
      <c r="F149" s="78"/>
      <c r="G149" s="78"/>
    </row>
    <row r="150" spans="5:7">
      <c r="E150" s="78"/>
      <c r="F150" s="78"/>
      <c r="G150" s="78"/>
    </row>
    <row r="151" spans="5:7">
      <c r="E151" s="78"/>
      <c r="F151" s="78"/>
      <c r="G151" s="78"/>
    </row>
    <row r="152" spans="5:7">
      <c r="E152" s="78"/>
      <c r="F152" s="78"/>
      <c r="G152" s="78"/>
    </row>
    <row r="153" spans="5:7">
      <c r="E153" s="78"/>
      <c r="F153" s="78"/>
      <c r="G153" s="78"/>
    </row>
    <row r="154" spans="5:7">
      <c r="E154" s="78"/>
      <c r="F154" s="78"/>
      <c r="G154" s="78"/>
    </row>
    <row r="155" spans="5:7">
      <c r="E155" s="78"/>
      <c r="F155" s="78"/>
      <c r="G155" s="78"/>
    </row>
    <row r="156" spans="5:7">
      <c r="E156" s="78"/>
      <c r="F156" s="78"/>
      <c r="G156" s="78"/>
    </row>
    <row r="157" spans="5:7">
      <c r="E157" s="78"/>
      <c r="F157" s="78"/>
      <c r="G157" s="78"/>
    </row>
    <row r="158" spans="5:7">
      <c r="E158" s="78"/>
      <c r="F158" s="78"/>
      <c r="G158" s="78"/>
    </row>
    <row r="159" spans="5:7">
      <c r="E159" s="78"/>
      <c r="F159" s="78"/>
      <c r="G159" s="78"/>
    </row>
    <row r="160" spans="5:7">
      <c r="E160" s="78"/>
      <c r="F160" s="78"/>
      <c r="G160" s="78"/>
    </row>
    <row r="161" spans="5:7">
      <c r="E161" s="78"/>
      <c r="F161" s="78"/>
      <c r="G161" s="78"/>
    </row>
    <row r="162" spans="5:7">
      <c r="E162" s="78"/>
      <c r="F162" s="78"/>
      <c r="G162" s="78"/>
    </row>
    <row r="163" spans="5:7">
      <c r="E163" s="78"/>
      <c r="F163" s="78"/>
      <c r="G163" s="78"/>
    </row>
    <row r="164" spans="5:7">
      <c r="E164" s="78"/>
      <c r="F164" s="78"/>
      <c r="G164" s="78"/>
    </row>
    <row r="165" spans="5:7">
      <c r="E165" s="78"/>
      <c r="F165" s="78"/>
      <c r="G165" s="78"/>
    </row>
    <row r="166" spans="5:7">
      <c r="E166" s="78"/>
      <c r="F166" s="78"/>
      <c r="G166" s="78"/>
    </row>
    <row r="167" spans="5:7">
      <c r="E167" s="78"/>
      <c r="F167" s="78"/>
      <c r="G167" s="78"/>
    </row>
    <row r="168" spans="5:7">
      <c r="E168" s="78"/>
      <c r="F168" s="78"/>
      <c r="G168" s="78"/>
    </row>
    <row r="169" spans="5:7">
      <c r="E169" s="78"/>
      <c r="F169" s="78"/>
      <c r="G169" s="78"/>
    </row>
    <row r="170" spans="5:7">
      <c r="E170" s="78"/>
      <c r="F170" s="78"/>
      <c r="G170" s="78"/>
    </row>
    <row r="171" spans="5:7">
      <c r="E171" s="78"/>
      <c r="F171" s="78"/>
      <c r="G171" s="78"/>
    </row>
    <row r="172" spans="5:7">
      <c r="E172" s="78"/>
      <c r="F172" s="78"/>
      <c r="G172" s="78"/>
    </row>
    <row r="173" spans="5:7">
      <c r="E173" s="78"/>
      <c r="F173" s="78"/>
      <c r="G173" s="78"/>
    </row>
    <row r="174" spans="5:7">
      <c r="E174" s="78"/>
      <c r="F174" s="78"/>
      <c r="G174" s="78"/>
    </row>
    <row r="175" spans="5:7">
      <c r="E175" s="78"/>
      <c r="F175" s="78"/>
      <c r="G175" s="78"/>
    </row>
    <row r="176" spans="5:7">
      <c r="E176" s="78"/>
      <c r="F176" s="78"/>
      <c r="G176" s="78"/>
    </row>
    <row r="177" spans="5:7">
      <c r="E177" s="78"/>
      <c r="F177" s="78"/>
      <c r="G177" s="78"/>
    </row>
    <row r="178" spans="5:7">
      <c r="E178" s="78"/>
      <c r="F178" s="78"/>
      <c r="G178" s="78"/>
    </row>
    <row r="179" spans="5:7">
      <c r="E179" s="78"/>
      <c r="F179" s="78"/>
      <c r="G179" s="78"/>
    </row>
    <row r="180" spans="5:7">
      <c r="E180" s="78"/>
      <c r="F180" s="78"/>
      <c r="G180" s="78"/>
    </row>
    <row r="181" spans="5:7">
      <c r="E181" s="78"/>
      <c r="F181" s="78"/>
      <c r="G181" s="78"/>
    </row>
    <row r="182" spans="5:7">
      <c r="E182" s="78"/>
      <c r="F182" s="78"/>
      <c r="G182" s="78"/>
    </row>
    <row r="183" spans="5:7">
      <c r="E183" s="78"/>
      <c r="F183" s="78"/>
      <c r="G183" s="78"/>
    </row>
    <row r="184" spans="5:7">
      <c r="E184" s="78"/>
      <c r="F184" s="78"/>
      <c r="G184" s="78"/>
    </row>
    <row r="185" spans="5:7">
      <c r="E185" s="78"/>
      <c r="F185" s="78"/>
      <c r="G185" s="78"/>
    </row>
    <row r="186" spans="5:7">
      <c r="E186" s="78"/>
      <c r="F186" s="78"/>
      <c r="G186" s="78"/>
    </row>
    <row r="187" spans="5:7">
      <c r="E187" s="78"/>
      <c r="F187" s="78"/>
      <c r="G187" s="78"/>
    </row>
    <row r="188" spans="5:7">
      <c r="E188" s="78"/>
      <c r="F188" s="78"/>
      <c r="G188" s="78"/>
    </row>
    <row r="189" spans="5:7">
      <c r="E189" s="78"/>
      <c r="F189" s="78"/>
      <c r="G189" s="78"/>
    </row>
    <row r="190" spans="5:7">
      <c r="E190" s="78"/>
      <c r="F190" s="78"/>
      <c r="G190" s="78"/>
    </row>
    <row r="191" spans="5:7">
      <c r="E191" s="78"/>
      <c r="F191" s="78"/>
      <c r="G191" s="78"/>
    </row>
    <row r="192" spans="5:7">
      <c r="E192" s="78"/>
      <c r="F192" s="78"/>
      <c r="G192" s="78"/>
    </row>
    <row r="193" spans="5:7">
      <c r="E193" s="78"/>
      <c r="F193" s="78"/>
      <c r="G193" s="78"/>
    </row>
    <row r="194" spans="5:7">
      <c r="E194" s="78"/>
      <c r="F194" s="78"/>
      <c r="G194" s="78"/>
    </row>
    <row r="195" spans="5:7">
      <c r="E195" s="78"/>
      <c r="F195" s="78"/>
      <c r="G195" s="78"/>
    </row>
    <row r="196" spans="5:7">
      <c r="E196" s="78"/>
      <c r="F196" s="78"/>
      <c r="G196" s="78"/>
    </row>
    <row r="197" spans="5:7">
      <c r="E197" s="78"/>
      <c r="F197" s="78"/>
      <c r="G197" s="78"/>
    </row>
    <row r="198" spans="5:7">
      <c r="E198" s="78"/>
      <c r="F198" s="78"/>
      <c r="G198" s="78"/>
    </row>
    <row r="199" spans="5:7">
      <c r="E199" s="78"/>
      <c r="F199" s="78"/>
      <c r="G199" s="78"/>
    </row>
    <row r="200" spans="5:7">
      <c r="E200" s="78"/>
      <c r="F200" s="78"/>
      <c r="G200" s="78"/>
    </row>
    <row r="201" spans="5:7">
      <c r="E201" s="78"/>
      <c r="F201" s="78"/>
      <c r="G201" s="78"/>
    </row>
    <row r="202" spans="5:7">
      <c r="E202" s="78"/>
      <c r="F202" s="78"/>
      <c r="G202" s="78"/>
    </row>
    <row r="203" spans="5:7">
      <c r="E203" s="78"/>
      <c r="F203" s="78"/>
      <c r="G203" s="78"/>
    </row>
    <row r="204" spans="5:7">
      <c r="E204" s="78"/>
      <c r="F204" s="78"/>
      <c r="G204" s="78"/>
    </row>
    <row r="205" spans="5:7">
      <c r="E205" s="78"/>
      <c r="F205" s="78"/>
      <c r="G205" s="78"/>
    </row>
    <row r="206" spans="5:7">
      <c r="E206" s="78"/>
      <c r="F206" s="78"/>
      <c r="G206" s="78"/>
    </row>
    <row r="207" spans="5:7">
      <c r="E207" s="78"/>
      <c r="F207" s="78"/>
      <c r="G207" s="78"/>
    </row>
    <row r="208" spans="5:7">
      <c r="E208" s="78"/>
      <c r="F208" s="78"/>
      <c r="G208" s="78"/>
    </row>
    <row r="209" spans="5:7">
      <c r="E209" s="78"/>
      <c r="F209" s="78"/>
      <c r="G209" s="78"/>
    </row>
    <row r="210" spans="5:7">
      <c r="E210" s="78"/>
      <c r="F210" s="78"/>
      <c r="G210" s="78"/>
    </row>
    <row r="211" spans="5:7">
      <c r="E211" s="78"/>
      <c r="F211" s="78"/>
      <c r="G211" s="78"/>
    </row>
    <row r="212" spans="5:7">
      <c r="E212" s="78"/>
      <c r="F212" s="78"/>
      <c r="G212" s="78"/>
    </row>
    <row r="213" spans="5:7">
      <c r="E213" s="78"/>
      <c r="F213" s="78"/>
      <c r="G213" s="78"/>
    </row>
    <row r="214" spans="5:7">
      <c r="E214" s="78"/>
      <c r="F214" s="78"/>
      <c r="G214" s="78"/>
    </row>
    <row r="215" spans="5:7">
      <c r="E215" s="78"/>
      <c r="F215" s="78"/>
      <c r="G215" s="78"/>
    </row>
    <row r="216" spans="5:7">
      <c r="E216" s="78"/>
      <c r="F216" s="78"/>
      <c r="G216" s="78"/>
    </row>
    <row r="217" spans="5:7">
      <c r="E217" s="78"/>
      <c r="F217" s="78"/>
      <c r="G217" s="78"/>
    </row>
    <row r="218" spans="5:7">
      <c r="E218" s="78"/>
      <c r="F218" s="78"/>
      <c r="G218" s="78"/>
    </row>
    <row r="219" spans="5:7">
      <c r="E219" s="78"/>
      <c r="F219" s="78"/>
      <c r="G219" s="78"/>
    </row>
    <row r="220" spans="5:7">
      <c r="E220" s="78"/>
      <c r="F220" s="78"/>
      <c r="G220" s="78"/>
    </row>
    <row r="221" spans="5:7">
      <c r="E221" s="78"/>
      <c r="F221" s="78"/>
      <c r="G221" s="78"/>
    </row>
    <row r="222" spans="5:7">
      <c r="E222" s="78"/>
      <c r="F222" s="78"/>
      <c r="G222" s="78"/>
    </row>
    <row r="223" spans="5:7">
      <c r="E223" s="78"/>
      <c r="F223" s="78"/>
      <c r="G223" s="78"/>
    </row>
    <row r="224" spans="5:7">
      <c r="E224" s="78"/>
      <c r="F224" s="78"/>
      <c r="G224" s="78"/>
    </row>
    <row r="225" spans="5:7">
      <c r="E225" s="78"/>
      <c r="F225" s="78"/>
      <c r="G225" s="78"/>
    </row>
    <row r="226" spans="5:7">
      <c r="E226" s="78"/>
      <c r="F226" s="78"/>
      <c r="G226" s="78"/>
    </row>
    <row r="227" spans="5:7">
      <c r="E227" s="78"/>
      <c r="F227" s="78"/>
      <c r="G227" s="78"/>
    </row>
    <row r="228" spans="5:7">
      <c r="E228" s="78"/>
      <c r="F228" s="78"/>
      <c r="G228" s="78"/>
    </row>
    <row r="229" spans="5:7">
      <c r="E229" s="78"/>
      <c r="F229" s="78"/>
      <c r="G229" s="78"/>
    </row>
    <row r="230" spans="5:7">
      <c r="E230" s="78"/>
      <c r="F230" s="78"/>
      <c r="G230" s="78"/>
    </row>
    <row r="231" spans="5:7">
      <c r="E231" s="78"/>
      <c r="F231" s="78"/>
      <c r="G231" s="78"/>
    </row>
    <row r="232" spans="5:7">
      <c r="E232" s="78"/>
      <c r="F232" s="78"/>
      <c r="G232" s="78"/>
    </row>
    <row r="233" spans="5:7">
      <c r="E233" s="78"/>
      <c r="F233" s="78"/>
      <c r="G233" s="78"/>
    </row>
    <row r="234" spans="5:7">
      <c r="E234" s="78"/>
      <c r="F234" s="78"/>
      <c r="G234" s="78"/>
    </row>
    <row r="235" spans="5:7">
      <c r="E235" s="78"/>
      <c r="F235" s="78"/>
      <c r="G235" s="78"/>
    </row>
    <row r="236" spans="5:7">
      <c r="E236" s="78"/>
      <c r="F236" s="78"/>
      <c r="G236" s="78"/>
    </row>
    <row r="237" spans="5:7">
      <c r="E237" s="78"/>
      <c r="F237" s="78"/>
      <c r="G237" s="78"/>
    </row>
    <row r="238" spans="5:7">
      <c r="E238" s="78"/>
      <c r="F238" s="78"/>
      <c r="G238" s="78"/>
    </row>
    <row r="239" spans="5:7">
      <c r="E239" s="78"/>
      <c r="F239" s="78"/>
      <c r="G239" s="78"/>
    </row>
    <row r="240" spans="5:7">
      <c r="E240" s="78"/>
      <c r="F240" s="78"/>
      <c r="G240" s="78"/>
    </row>
    <row r="241" spans="5:7">
      <c r="E241" s="78"/>
      <c r="F241" s="78"/>
      <c r="G241" s="78"/>
    </row>
    <row r="242" spans="5:7">
      <c r="E242" s="78"/>
      <c r="F242" s="78"/>
      <c r="G242" s="78"/>
    </row>
    <row r="243" spans="5:7">
      <c r="E243" s="78"/>
      <c r="F243" s="78"/>
      <c r="G243" s="78"/>
    </row>
    <row r="244" spans="5:7">
      <c r="E244" s="78"/>
      <c r="F244" s="78"/>
      <c r="G244" s="78"/>
    </row>
    <row r="245" spans="5:7">
      <c r="E245" s="78"/>
      <c r="F245" s="78"/>
      <c r="G245" s="78"/>
    </row>
    <row r="246" spans="5:7">
      <c r="E246" s="78"/>
      <c r="F246" s="78"/>
      <c r="G246" s="78"/>
    </row>
    <row r="247" spans="5:7">
      <c r="E247" s="78"/>
      <c r="F247" s="78"/>
      <c r="G247" s="78"/>
    </row>
    <row r="248" spans="5:7">
      <c r="E248" s="78"/>
      <c r="F248" s="78"/>
      <c r="G248" s="78"/>
    </row>
    <row r="249" spans="5:7">
      <c r="E249" s="78"/>
      <c r="F249" s="78"/>
      <c r="G249" s="78"/>
    </row>
    <row r="250" spans="5:7">
      <c r="E250" s="78"/>
      <c r="F250" s="78"/>
      <c r="G250" s="78"/>
    </row>
    <row r="251" spans="5:7">
      <c r="E251" s="78"/>
      <c r="F251" s="78"/>
      <c r="G251" s="78"/>
    </row>
    <row r="252" spans="5:7">
      <c r="E252" s="78"/>
      <c r="F252" s="78"/>
      <c r="G252" s="78"/>
    </row>
    <row r="253" spans="5:7">
      <c r="E253" s="78"/>
      <c r="F253" s="78"/>
      <c r="G253" s="78"/>
    </row>
    <row r="254" spans="5:7">
      <c r="E254" s="78"/>
      <c r="F254" s="78"/>
      <c r="G254" s="78"/>
    </row>
    <row r="255" spans="5:7">
      <c r="E255" s="78"/>
      <c r="F255" s="78"/>
      <c r="G255" s="78"/>
    </row>
    <row r="256" spans="5:7">
      <c r="E256" s="78"/>
      <c r="F256" s="78"/>
      <c r="G256" s="78"/>
    </row>
    <row r="257" spans="5:7">
      <c r="E257" s="78"/>
      <c r="F257" s="78"/>
      <c r="G257" s="78"/>
    </row>
    <row r="258" spans="5:7">
      <c r="E258" s="78"/>
      <c r="F258" s="78"/>
      <c r="G258" s="78"/>
    </row>
    <row r="259" spans="5:7">
      <c r="E259" s="78"/>
      <c r="F259" s="78"/>
      <c r="G259" s="78"/>
    </row>
    <row r="260" spans="5:7">
      <c r="E260" s="78"/>
      <c r="F260" s="78"/>
      <c r="G260" s="78"/>
    </row>
    <row r="261" spans="5:7">
      <c r="E261" s="78"/>
      <c r="F261" s="78"/>
      <c r="G261" s="78"/>
    </row>
    <row r="262" spans="5:7">
      <c r="E262" s="78"/>
      <c r="F262" s="78"/>
      <c r="G262" s="78"/>
    </row>
    <row r="263" spans="5:7">
      <c r="E263" s="78"/>
      <c r="F263" s="78"/>
      <c r="G263" s="78"/>
    </row>
    <row r="264" spans="5:7">
      <c r="E264" s="78"/>
      <c r="F264" s="78"/>
      <c r="G264" s="78"/>
    </row>
    <row r="265" spans="5:7">
      <c r="E265" s="78"/>
      <c r="F265" s="78"/>
      <c r="G265" s="78"/>
    </row>
    <row r="266" spans="5:7">
      <c r="E266" s="78"/>
      <c r="F266" s="78"/>
      <c r="G266" s="78"/>
    </row>
    <row r="267" spans="5:7">
      <c r="E267" s="78"/>
      <c r="F267" s="78"/>
      <c r="G267" s="78"/>
    </row>
    <row r="268" spans="5:7">
      <c r="E268" s="78"/>
      <c r="F268" s="78"/>
      <c r="G268" s="78"/>
    </row>
    <row r="269" spans="5:7">
      <c r="E269" s="78"/>
      <c r="F269" s="78"/>
      <c r="G269" s="78"/>
    </row>
    <row r="270" spans="5:7">
      <c r="E270" s="78"/>
      <c r="F270" s="78"/>
      <c r="G270" s="78"/>
    </row>
    <row r="271" spans="5:7">
      <c r="E271" s="78"/>
      <c r="F271" s="78"/>
      <c r="G271" s="78"/>
    </row>
    <row r="272" spans="5:7">
      <c r="E272" s="78"/>
      <c r="F272" s="78"/>
      <c r="G272" s="78"/>
    </row>
    <row r="273" spans="5:7">
      <c r="E273" s="78"/>
      <c r="F273" s="78"/>
      <c r="G273" s="78"/>
    </row>
    <row r="274" spans="5:7">
      <c r="E274" s="78"/>
      <c r="F274" s="78"/>
      <c r="G274" s="78"/>
    </row>
    <row r="275" spans="5:7">
      <c r="E275" s="78"/>
      <c r="F275" s="78"/>
      <c r="G275" s="78"/>
    </row>
    <row r="276" spans="5:7">
      <c r="E276" s="78"/>
      <c r="F276" s="78"/>
      <c r="G276" s="78"/>
    </row>
    <row r="277" spans="5:7">
      <c r="E277" s="78"/>
      <c r="F277" s="78"/>
      <c r="G277" s="78"/>
    </row>
    <row r="278" spans="5:7">
      <c r="E278" s="78"/>
      <c r="F278" s="78"/>
      <c r="G278" s="78"/>
    </row>
    <row r="279" spans="5:7">
      <c r="E279" s="78"/>
      <c r="F279" s="78"/>
      <c r="G279" s="78"/>
    </row>
    <row r="280" spans="5:7">
      <c r="E280" s="78"/>
      <c r="F280" s="78"/>
      <c r="G280" s="78"/>
    </row>
    <row r="281" spans="5:7">
      <c r="E281" s="78"/>
      <c r="F281" s="78"/>
      <c r="G281" s="78"/>
    </row>
    <row r="282" spans="5:7">
      <c r="E282" s="78"/>
      <c r="F282" s="78"/>
      <c r="G282" s="78"/>
    </row>
    <row r="283" spans="5:7">
      <c r="E283" s="78"/>
      <c r="F283" s="78"/>
      <c r="G283" s="78"/>
    </row>
    <row r="284" spans="5:7">
      <c r="E284" s="78"/>
      <c r="F284" s="78"/>
      <c r="G284" s="78"/>
    </row>
    <row r="285" spans="5:7">
      <c r="E285" s="78"/>
      <c r="F285" s="78"/>
      <c r="G285" s="78"/>
    </row>
    <row r="286" spans="5:7">
      <c r="E286" s="78"/>
      <c r="F286" s="78"/>
      <c r="G286" s="78"/>
    </row>
    <row r="287" spans="5:7">
      <c r="E287" s="78"/>
      <c r="F287" s="78"/>
      <c r="G287" s="78"/>
    </row>
    <row r="288" spans="5:7">
      <c r="E288" s="78"/>
      <c r="F288" s="78"/>
      <c r="G288" s="78"/>
    </row>
    <row r="289" spans="5:7">
      <c r="E289" s="78"/>
      <c r="F289" s="78"/>
      <c r="G289" s="78"/>
    </row>
    <row r="290" spans="5:7">
      <c r="E290" s="78"/>
      <c r="F290" s="78"/>
      <c r="G290" s="78"/>
    </row>
    <row r="291" spans="5:7">
      <c r="E291" s="78"/>
      <c r="F291" s="78"/>
      <c r="G291" s="78"/>
    </row>
    <row r="292" spans="5:7">
      <c r="E292" s="78"/>
      <c r="F292" s="78"/>
      <c r="G292" s="78"/>
    </row>
    <row r="293" spans="5:7">
      <c r="E293" s="78"/>
      <c r="F293" s="78"/>
      <c r="G293" s="78"/>
    </row>
    <row r="294" spans="5:7">
      <c r="E294" s="78"/>
      <c r="F294" s="78"/>
      <c r="G294" s="78"/>
    </row>
    <row r="295" spans="5:7">
      <c r="E295" s="78"/>
      <c r="F295" s="78"/>
      <c r="G295" s="78"/>
    </row>
    <row r="296" spans="5:7">
      <c r="E296" s="78"/>
      <c r="F296" s="78"/>
      <c r="G296" s="78"/>
    </row>
    <row r="297" spans="5:7">
      <c r="E297" s="78"/>
      <c r="F297" s="78"/>
      <c r="G297" s="78"/>
    </row>
    <row r="298" spans="5:7">
      <c r="E298" s="78"/>
      <c r="F298" s="78"/>
      <c r="G298" s="78"/>
    </row>
    <row r="299" spans="5:7">
      <c r="E299" s="78"/>
      <c r="F299" s="78"/>
      <c r="G299" s="78"/>
    </row>
    <row r="300" spans="5:7">
      <c r="E300" s="78"/>
      <c r="F300" s="78"/>
      <c r="G300" s="78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479D-F8D8-45EA-8144-3EC31FD8A490}">
  <sheetPr codeName="Hoja17">
    <tabColor theme="5" tint="0.39997558519241921"/>
  </sheetPr>
  <dimension ref="A1:R1"/>
  <sheetViews>
    <sheetView workbookViewId="0">
      <selection activeCell="Q37" sqref="Q37"/>
    </sheetView>
  </sheetViews>
  <sheetFormatPr baseColWidth="10" defaultColWidth="11.5546875" defaultRowHeight="14.4"/>
  <cols>
    <col min="1" max="1" width="5.44140625" bestFit="1" customWidth="1"/>
    <col min="2" max="2" width="13" bestFit="1" customWidth="1"/>
    <col min="3" max="3" width="8.44140625" bestFit="1" customWidth="1"/>
    <col min="4" max="4" width="4.44140625" bestFit="1" customWidth="1"/>
    <col min="5" max="5" width="8" bestFit="1" customWidth="1"/>
    <col min="6" max="6" width="5.88671875" bestFit="1" customWidth="1"/>
    <col min="7" max="7" width="6.88671875" bestFit="1" customWidth="1"/>
    <col min="8" max="8" width="5.88671875" bestFit="1" customWidth="1"/>
    <col min="9" max="9" width="8.88671875" bestFit="1" customWidth="1"/>
    <col min="10" max="10" width="7.88671875" bestFit="1" customWidth="1"/>
    <col min="11" max="11" width="10.5546875" bestFit="1" customWidth="1"/>
    <col min="12" max="12" width="9.44140625" bestFit="1" customWidth="1"/>
    <col min="13" max="13" width="14.109375" bestFit="1" customWidth="1"/>
    <col min="14" max="14" width="8.88671875" bestFit="1" customWidth="1"/>
    <col min="15" max="15" width="5.44140625" bestFit="1" customWidth="1"/>
    <col min="16" max="16" width="5.5546875" bestFit="1" customWidth="1"/>
    <col min="17" max="17" width="16.109375" bestFit="1" customWidth="1"/>
    <col min="18" max="18" width="13.88671875" bestFit="1" customWidth="1"/>
  </cols>
  <sheetData>
    <row r="1" spans="1:18">
      <c r="A1" s="82" t="s">
        <v>750</v>
      </c>
      <c r="B1" s="82" t="s">
        <v>751</v>
      </c>
      <c r="C1" s="82" t="s">
        <v>752</v>
      </c>
      <c r="D1" s="82" t="s">
        <v>753</v>
      </c>
      <c r="E1" s="82" t="s">
        <v>754</v>
      </c>
      <c r="F1" s="82" t="s">
        <v>755</v>
      </c>
      <c r="G1" s="82" t="s">
        <v>78</v>
      </c>
      <c r="H1" s="82" t="s">
        <v>756</v>
      </c>
      <c r="I1" s="82" t="s">
        <v>757</v>
      </c>
      <c r="J1" s="82" t="s">
        <v>15</v>
      </c>
      <c r="K1" s="82" t="s">
        <v>758</v>
      </c>
      <c r="L1" s="82" t="s">
        <v>759</v>
      </c>
      <c r="M1" s="82" t="s">
        <v>760</v>
      </c>
      <c r="N1" s="82" t="s">
        <v>761</v>
      </c>
      <c r="O1" s="82" t="s">
        <v>762</v>
      </c>
      <c r="P1" s="82" t="s">
        <v>763</v>
      </c>
      <c r="Q1" s="82" t="s">
        <v>764</v>
      </c>
      <c r="R1" s="82" t="s">
        <v>765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9486E-64B2-4719-B34F-2E28BB46807B}">
  <sheetPr codeName="Hoja16"/>
  <dimension ref="A1:D218"/>
  <sheetViews>
    <sheetView workbookViewId="0">
      <selection activeCell="D218" sqref="A212:D218"/>
    </sheetView>
  </sheetViews>
  <sheetFormatPr baseColWidth="10" defaultColWidth="11" defaultRowHeight="14.4"/>
  <cols>
    <col min="1" max="1" width="3.88671875" bestFit="1" customWidth="1"/>
    <col min="2" max="2" width="66" bestFit="1" customWidth="1"/>
    <col min="3" max="3" width="6.88671875" bestFit="1" customWidth="1"/>
    <col min="4" max="4" width="22.44140625" bestFit="1" customWidth="1"/>
  </cols>
  <sheetData>
    <row r="1" spans="1:4">
      <c r="A1" s="1" t="s">
        <v>742</v>
      </c>
      <c r="B1" s="1" t="s">
        <v>741</v>
      </c>
      <c r="C1" s="1" t="s">
        <v>740</v>
      </c>
      <c r="D1" s="1" t="s">
        <v>739</v>
      </c>
    </row>
    <row r="2" spans="1:4">
      <c r="A2">
        <v>0</v>
      </c>
      <c r="B2" t="s">
        <v>738</v>
      </c>
      <c r="C2">
        <v>2</v>
      </c>
      <c r="D2">
        <v>2</v>
      </c>
    </row>
    <row r="3" spans="1:4">
      <c r="A3">
        <v>1</v>
      </c>
      <c r="B3" t="s">
        <v>737</v>
      </c>
      <c r="C3">
        <v>0</v>
      </c>
      <c r="D3" t="s">
        <v>691</v>
      </c>
    </row>
    <row r="4" spans="1:4">
      <c r="A4">
        <v>2</v>
      </c>
      <c r="B4" t="s">
        <v>736</v>
      </c>
      <c r="C4">
        <v>0</v>
      </c>
      <c r="D4" t="s">
        <v>691</v>
      </c>
    </row>
    <row r="5" spans="1:4">
      <c r="A5">
        <v>3</v>
      </c>
      <c r="B5" t="s">
        <v>735</v>
      </c>
      <c r="C5">
        <v>0</v>
      </c>
      <c r="D5" t="s">
        <v>691</v>
      </c>
    </row>
    <row r="6" spans="1:4">
      <c r="A6">
        <v>4</v>
      </c>
      <c r="B6" t="s">
        <v>734</v>
      </c>
      <c r="C6">
        <v>0</v>
      </c>
      <c r="D6" t="s">
        <v>691</v>
      </c>
    </row>
    <row r="7" spans="1:4">
      <c r="A7">
        <v>5</v>
      </c>
      <c r="B7" t="s">
        <v>733</v>
      </c>
      <c r="C7">
        <v>1</v>
      </c>
      <c r="D7">
        <v>1</v>
      </c>
    </row>
    <row r="8" spans="1:4">
      <c r="A8">
        <v>6</v>
      </c>
      <c r="B8" t="s">
        <v>732</v>
      </c>
      <c r="C8">
        <v>1</v>
      </c>
      <c r="D8">
        <v>1</v>
      </c>
    </row>
    <row r="9" spans="1:4">
      <c r="A9">
        <v>7</v>
      </c>
      <c r="B9" t="s">
        <v>731</v>
      </c>
      <c r="C9">
        <v>1</v>
      </c>
      <c r="D9">
        <v>1</v>
      </c>
    </row>
    <row r="10" spans="1:4">
      <c r="A10">
        <v>8</v>
      </c>
      <c r="B10" t="s">
        <v>730</v>
      </c>
      <c r="C10">
        <v>1</v>
      </c>
      <c r="D10">
        <v>1</v>
      </c>
    </row>
    <row r="11" spans="1:4">
      <c r="A11">
        <v>9</v>
      </c>
      <c r="B11" t="s">
        <v>729</v>
      </c>
      <c r="C11">
        <v>1</v>
      </c>
      <c r="D11">
        <v>1</v>
      </c>
    </row>
    <row r="12" spans="1:4">
      <c r="A12">
        <v>10</v>
      </c>
      <c r="B12" t="s">
        <v>728</v>
      </c>
      <c r="C12">
        <v>1</v>
      </c>
      <c r="D12">
        <v>1</v>
      </c>
    </row>
    <row r="13" spans="1:4">
      <c r="A13">
        <v>11</v>
      </c>
      <c r="B13" t="s">
        <v>727</v>
      </c>
      <c r="C13">
        <v>1</v>
      </c>
      <c r="D13">
        <v>1</v>
      </c>
    </row>
    <row r="14" spans="1:4">
      <c r="A14">
        <v>12</v>
      </c>
      <c r="B14" t="s">
        <v>726</v>
      </c>
      <c r="C14">
        <v>0</v>
      </c>
      <c r="D14" t="s">
        <v>691</v>
      </c>
    </row>
    <row r="15" spans="1:4">
      <c r="A15">
        <v>13</v>
      </c>
      <c r="B15" t="s">
        <v>725</v>
      </c>
      <c r="C15">
        <v>0</v>
      </c>
      <c r="D15" t="s">
        <v>691</v>
      </c>
    </row>
    <row r="16" spans="1:4">
      <c r="A16">
        <v>14</v>
      </c>
      <c r="B16" t="s">
        <v>724</v>
      </c>
      <c r="C16">
        <v>0</v>
      </c>
      <c r="D16" t="s">
        <v>691</v>
      </c>
    </row>
    <row r="17" spans="1:4">
      <c r="A17">
        <v>15</v>
      </c>
      <c r="B17" t="s">
        <v>723</v>
      </c>
      <c r="C17">
        <v>0</v>
      </c>
      <c r="D17" t="s">
        <v>691</v>
      </c>
    </row>
    <row r="18" spans="1:4">
      <c r="A18">
        <v>16</v>
      </c>
      <c r="B18" t="s">
        <v>722</v>
      </c>
      <c r="C18">
        <v>0</v>
      </c>
      <c r="D18" t="s">
        <v>691</v>
      </c>
    </row>
    <row r="19" spans="1:4">
      <c r="A19">
        <v>17</v>
      </c>
      <c r="B19" t="s">
        <v>721</v>
      </c>
      <c r="C19">
        <v>0</v>
      </c>
      <c r="D19" t="s">
        <v>691</v>
      </c>
    </row>
    <row r="20" spans="1:4">
      <c r="A20">
        <v>18</v>
      </c>
      <c r="B20" t="s">
        <v>720</v>
      </c>
      <c r="C20">
        <v>0</v>
      </c>
      <c r="D20" t="s">
        <v>691</v>
      </c>
    </row>
    <row r="21" spans="1:4">
      <c r="A21">
        <v>19</v>
      </c>
      <c r="B21" t="s">
        <v>719</v>
      </c>
      <c r="C21">
        <v>0</v>
      </c>
      <c r="D21" t="s">
        <v>691</v>
      </c>
    </row>
    <row r="22" spans="1:4">
      <c r="A22">
        <v>20</v>
      </c>
      <c r="B22" t="s">
        <v>718</v>
      </c>
      <c r="C22">
        <v>0</v>
      </c>
      <c r="D22" t="s">
        <v>691</v>
      </c>
    </row>
    <row r="23" spans="1:4">
      <c r="A23">
        <v>21</v>
      </c>
      <c r="B23" t="s">
        <v>717</v>
      </c>
      <c r="C23">
        <v>0</v>
      </c>
      <c r="D23" t="s">
        <v>691</v>
      </c>
    </row>
    <row r="24" spans="1:4">
      <c r="A24">
        <v>22</v>
      </c>
      <c r="B24" t="s">
        <v>716</v>
      </c>
      <c r="C24">
        <v>0</v>
      </c>
      <c r="D24" t="s">
        <v>691</v>
      </c>
    </row>
    <row r="25" spans="1:4">
      <c r="A25">
        <v>23</v>
      </c>
      <c r="B25" t="s">
        <v>715</v>
      </c>
      <c r="C25">
        <v>0</v>
      </c>
      <c r="D25" t="s">
        <v>691</v>
      </c>
    </row>
    <row r="26" spans="1:4">
      <c r="A26">
        <v>24</v>
      </c>
      <c r="B26" t="s">
        <v>714</v>
      </c>
      <c r="C26">
        <v>0</v>
      </c>
      <c r="D26" t="s">
        <v>691</v>
      </c>
    </row>
    <row r="27" spans="1:4">
      <c r="A27">
        <v>25</v>
      </c>
      <c r="B27" t="s">
        <v>713</v>
      </c>
      <c r="C27">
        <v>0</v>
      </c>
      <c r="D27" t="s">
        <v>691</v>
      </c>
    </row>
    <row r="28" spans="1:4">
      <c r="A28">
        <v>26</v>
      </c>
      <c r="B28" t="s">
        <v>712</v>
      </c>
      <c r="C28">
        <v>0</v>
      </c>
      <c r="D28" t="s">
        <v>691</v>
      </c>
    </row>
    <row r="29" spans="1:4">
      <c r="A29">
        <v>27</v>
      </c>
      <c r="B29" t="s">
        <v>711</v>
      </c>
      <c r="C29">
        <v>0</v>
      </c>
      <c r="D29" t="s">
        <v>691</v>
      </c>
    </row>
    <row r="30" spans="1:4">
      <c r="A30">
        <v>28</v>
      </c>
      <c r="B30" t="s">
        <v>710</v>
      </c>
      <c r="C30">
        <v>0</v>
      </c>
      <c r="D30" t="s">
        <v>691</v>
      </c>
    </row>
    <row r="31" spans="1:4">
      <c r="A31">
        <v>29</v>
      </c>
      <c r="B31" t="s">
        <v>709</v>
      </c>
      <c r="C31">
        <v>0</v>
      </c>
      <c r="D31" t="s">
        <v>691</v>
      </c>
    </row>
    <row r="32" spans="1:4">
      <c r="A32">
        <v>30</v>
      </c>
      <c r="B32" t="s">
        <v>708</v>
      </c>
      <c r="C32">
        <v>0</v>
      </c>
      <c r="D32" t="s">
        <v>693</v>
      </c>
    </row>
    <row r="33" spans="1:4">
      <c r="A33">
        <v>31</v>
      </c>
      <c r="B33" t="s">
        <v>707</v>
      </c>
      <c r="C33">
        <v>0</v>
      </c>
      <c r="D33" t="s">
        <v>693</v>
      </c>
    </row>
    <row r="34" spans="1:4">
      <c r="A34">
        <v>32</v>
      </c>
      <c r="B34" t="s">
        <v>706</v>
      </c>
      <c r="C34">
        <v>0</v>
      </c>
      <c r="D34" t="s">
        <v>693</v>
      </c>
    </row>
    <row r="35" spans="1:4">
      <c r="A35">
        <v>33</v>
      </c>
      <c r="B35" t="s">
        <v>705</v>
      </c>
      <c r="C35">
        <v>0</v>
      </c>
      <c r="D35" t="s">
        <v>693</v>
      </c>
    </row>
    <row r="36" spans="1:4">
      <c r="A36">
        <v>34</v>
      </c>
      <c r="B36" t="s">
        <v>704</v>
      </c>
      <c r="C36">
        <v>0</v>
      </c>
      <c r="D36" t="s">
        <v>693</v>
      </c>
    </row>
    <row r="37" spans="1:4">
      <c r="A37">
        <v>35</v>
      </c>
      <c r="B37" t="s">
        <v>703</v>
      </c>
      <c r="C37">
        <v>0</v>
      </c>
      <c r="D37" t="s">
        <v>693</v>
      </c>
    </row>
    <row r="38" spans="1:4">
      <c r="A38">
        <v>36</v>
      </c>
      <c r="B38" t="s">
        <v>702</v>
      </c>
      <c r="C38">
        <v>0</v>
      </c>
      <c r="D38" t="s">
        <v>693</v>
      </c>
    </row>
    <row r="39" spans="1:4">
      <c r="A39">
        <v>37</v>
      </c>
      <c r="B39" t="s">
        <v>701</v>
      </c>
      <c r="C39">
        <v>0</v>
      </c>
      <c r="D39" t="s">
        <v>693</v>
      </c>
    </row>
    <row r="40" spans="1:4">
      <c r="A40">
        <v>38</v>
      </c>
      <c r="B40" t="s">
        <v>700</v>
      </c>
      <c r="C40">
        <v>0</v>
      </c>
      <c r="D40" t="s">
        <v>693</v>
      </c>
    </row>
    <row r="41" spans="1:4">
      <c r="A41">
        <v>39</v>
      </c>
      <c r="B41" t="s">
        <v>699</v>
      </c>
      <c r="C41">
        <v>0</v>
      </c>
      <c r="D41" t="s">
        <v>693</v>
      </c>
    </row>
    <row r="42" spans="1:4">
      <c r="A42">
        <v>40</v>
      </c>
      <c r="B42" t="s">
        <v>698</v>
      </c>
      <c r="C42">
        <v>0</v>
      </c>
      <c r="D42" t="s">
        <v>693</v>
      </c>
    </row>
    <row r="43" spans="1:4">
      <c r="A43">
        <v>41</v>
      </c>
      <c r="B43" t="s">
        <v>697</v>
      </c>
      <c r="C43">
        <v>0</v>
      </c>
      <c r="D43" t="s">
        <v>693</v>
      </c>
    </row>
    <row r="44" spans="1:4">
      <c r="A44">
        <v>42</v>
      </c>
      <c r="B44" t="s">
        <v>696</v>
      </c>
      <c r="C44">
        <v>0</v>
      </c>
      <c r="D44" t="s">
        <v>693</v>
      </c>
    </row>
    <row r="45" spans="1:4">
      <c r="A45">
        <v>43</v>
      </c>
      <c r="B45" t="s">
        <v>695</v>
      </c>
      <c r="C45">
        <v>0</v>
      </c>
      <c r="D45" t="s">
        <v>693</v>
      </c>
    </row>
    <row r="46" spans="1:4">
      <c r="A46">
        <v>44</v>
      </c>
      <c r="B46" t="s">
        <v>694</v>
      </c>
      <c r="C46">
        <v>0</v>
      </c>
      <c r="D46" t="s">
        <v>693</v>
      </c>
    </row>
    <row r="47" spans="1:4">
      <c r="A47">
        <v>45</v>
      </c>
      <c r="B47" t="s">
        <v>692</v>
      </c>
      <c r="C47">
        <v>0</v>
      </c>
      <c r="D47" t="s">
        <v>691</v>
      </c>
    </row>
    <row r="48" spans="1:4">
      <c r="A48">
        <v>45</v>
      </c>
      <c r="B48" t="s">
        <v>692</v>
      </c>
      <c r="C48">
        <v>0</v>
      </c>
      <c r="D48" t="s">
        <v>691</v>
      </c>
    </row>
    <row r="49" spans="1:4">
      <c r="A49">
        <v>46</v>
      </c>
      <c r="B49" t="s">
        <v>692</v>
      </c>
      <c r="C49">
        <v>0</v>
      </c>
      <c r="D49" t="s">
        <v>691</v>
      </c>
    </row>
    <row r="50" spans="1:4">
      <c r="A50">
        <v>46</v>
      </c>
      <c r="B50" t="s">
        <v>692</v>
      </c>
      <c r="C50">
        <v>0</v>
      </c>
      <c r="D50" t="s">
        <v>691</v>
      </c>
    </row>
    <row r="51" spans="1:4">
      <c r="A51">
        <v>47</v>
      </c>
      <c r="B51" t="s">
        <v>692</v>
      </c>
      <c r="C51">
        <v>1</v>
      </c>
      <c r="D51">
        <v>1</v>
      </c>
    </row>
    <row r="52" spans="1:4">
      <c r="A52">
        <v>48</v>
      </c>
      <c r="B52" t="s">
        <v>692</v>
      </c>
      <c r="C52">
        <v>1</v>
      </c>
      <c r="D52">
        <v>1</v>
      </c>
    </row>
    <row r="53" spans="1:4">
      <c r="A53">
        <v>49</v>
      </c>
      <c r="B53" t="s">
        <v>692</v>
      </c>
      <c r="C53">
        <v>1</v>
      </c>
      <c r="D53">
        <v>1</v>
      </c>
    </row>
    <row r="54" spans="1:4">
      <c r="A54">
        <v>50</v>
      </c>
      <c r="B54" t="s">
        <v>692</v>
      </c>
      <c r="C54">
        <v>0</v>
      </c>
      <c r="D54" t="s">
        <v>691</v>
      </c>
    </row>
    <row r="55" spans="1:4">
      <c r="A55">
        <v>50</v>
      </c>
      <c r="B55" t="s">
        <v>692</v>
      </c>
      <c r="C55">
        <v>0</v>
      </c>
      <c r="D55" t="s">
        <v>691</v>
      </c>
    </row>
    <row r="56" spans="1:4">
      <c r="A56">
        <v>51</v>
      </c>
      <c r="B56" t="s">
        <v>692</v>
      </c>
      <c r="C56">
        <v>0</v>
      </c>
      <c r="D56" t="s">
        <v>691</v>
      </c>
    </row>
    <row r="57" spans="1:4">
      <c r="A57">
        <v>51</v>
      </c>
      <c r="B57" t="s">
        <v>692</v>
      </c>
      <c r="C57">
        <v>0</v>
      </c>
      <c r="D57" t="s">
        <v>691</v>
      </c>
    </row>
    <row r="58" spans="1:4">
      <c r="A58">
        <v>52</v>
      </c>
      <c r="B58" t="s">
        <v>690</v>
      </c>
      <c r="C58">
        <v>39.31</v>
      </c>
      <c r="D58" t="s">
        <v>646</v>
      </c>
    </row>
    <row r="59" spans="1:4">
      <c r="A59">
        <v>53</v>
      </c>
      <c r="B59" t="s">
        <v>689</v>
      </c>
      <c r="C59">
        <v>7.19</v>
      </c>
      <c r="D59" t="s">
        <v>646</v>
      </c>
    </row>
    <row r="60" spans="1:4">
      <c r="A60">
        <v>54</v>
      </c>
      <c r="B60" t="s">
        <v>688</v>
      </c>
      <c r="C60">
        <v>53.86</v>
      </c>
      <c r="D60" t="s">
        <v>646</v>
      </c>
    </row>
    <row r="61" spans="1:4">
      <c r="A61">
        <v>55</v>
      </c>
      <c r="B61" t="s">
        <v>687</v>
      </c>
      <c r="C61">
        <v>51.25</v>
      </c>
      <c r="D61" t="s">
        <v>646</v>
      </c>
    </row>
    <row r="62" spans="1:4">
      <c r="A62">
        <v>56</v>
      </c>
      <c r="B62" t="s">
        <v>686</v>
      </c>
      <c r="C62">
        <v>4.09</v>
      </c>
      <c r="D62" t="s">
        <v>646</v>
      </c>
    </row>
    <row r="63" spans="1:4">
      <c r="A63">
        <v>57</v>
      </c>
      <c r="B63" t="s">
        <v>685</v>
      </c>
      <c r="C63">
        <v>18.010000000000002</v>
      </c>
      <c r="D63" t="s">
        <v>646</v>
      </c>
    </row>
    <row r="64" spans="1:4">
      <c r="A64">
        <v>58</v>
      </c>
      <c r="B64" t="s">
        <v>684</v>
      </c>
      <c r="C64">
        <v>42.74</v>
      </c>
      <c r="D64" t="s">
        <v>646</v>
      </c>
    </row>
    <row r="65" spans="1:4">
      <c r="A65">
        <v>59</v>
      </c>
      <c r="B65" t="s">
        <v>683</v>
      </c>
      <c r="C65">
        <v>58</v>
      </c>
      <c r="D65" t="s">
        <v>646</v>
      </c>
    </row>
    <row r="66" spans="1:4">
      <c r="A66">
        <v>60</v>
      </c>
      <c r="B66" t="s">
        <v>682</v>
      </c>
      <c r="C66">
        <v>19.57</v>
      </c>
      <c r="D66" t="s">
        <v>646</v>
      </c>
    </row>
    <row r="67" spans="1:4">
      <c r="A67">
        <v>61</v>
      </c>
      <c r="B67" t="s">
        <v>681</v>
      </c>
      <c r="C67">
        <v>28.42</v>
      </c>
      <c r="D67" t="s">
        <v>646</v>
      </c>
    </row>
    <row r="68" spans="1:4">
      <c r="A68">
        <v>62</v>
      </c>
      <c r="B68" t="s">
        <v>680</v>
      </c>
      <c r="C68">
        <v>42.56</v>
      </c>
      <c r="D68" t="s">
        <v>646</v>
      </c>
    </row>
    <row r="69" spans="1:4">
      <c r="A69">
        <v>63</v>
      </c>
      <c r="B69" t="s">
        <v>679</v>
      </c>
      <c r="C69">
        <v>10.71</v>
      </c>
      <c r="D69" t="s">
        <v>646</v>
      </c>
    </row>
    <row r="70" spans="1:4">
      <c r="A70">
        <v>64</v>
      </c>
      <c r="B70" t="s">
        <v>678</v>
      </c>
      <c r="C70">
        <v>102.62</v>
      </c>
      <c r="D70" t="s">
        <v>646</v>
      </c>
    </row>
    <row r="71" spans="1:4">
      <c r="A71">
        <v>65</v>
      </c>
      <c r="B71" t="s">
        <v>677</v>
      </c>
      <c r="C71">
        <v>39.31</v>
      </c>
      <c r="D71" t="s">
        <v>646</v>
      </c>
    </row>
    <row r="72" spans="1:4">
      <c r="A72">
        <v>66</v>
      </c>
      <c r="B72" t="s">
        <v>676</v>
      </c>
      <c r="C72">
        <v>3.26</v>
      </c>
      <c r="D72" t="s">
        <v>646</v>
      </c>
    </row>
    <row r="73" spans="1:4">
      <c r="A73">
        <v>67</v>
      </c>
      <c r="B73" t="s">
        <v>675</v>
      </c>
      <c r="C73">
        <v>23.52</v>
      </c>
      <c r="D73" t="s">
        <v>646</v>
      </c>
    </row>
    <row r="74" spans="1:4">
      <c r="A74">
        <v>68</v>
      </c>
      <c r="B74" t="s">
        <v>674</v>
      </c>
      <c r="C74">
        <v>21.58</v>
      </c>
      <c r="D74" t="s">
        <v>646</v>
      </c>
    </row>
    <row r="75" spans="1:4">
      <c r="A75">
        <v>69</v>
      </c>
      <c r="B75" t="s">
        <v>673</v>
      </c>
      <c r="C75">
        <v>122.86</v>
      </c>
      <c r="D75" t="s">
        <v>646</v>
      </c>
    </row>
    <row r="76" spans="1:4">
      <c r="A76">
        <v>70</v>
      </c>
      <c r="B76" t="s">
        <v>672</v>
      </c>
      <c r="C76">
        <v>51.41</v>
      </c>
      <c r="D76" t="s">
        <v>646</v>
      </c>
    </row>
    <row r="77" spans="1:4">
      <c r="A77">
        <v>71</v>
      </c>
      <c r="B77" t="s">
        <v>671</v>
      </c>
      <c r="C77">
        <v>29.45</v>
      </c>
      <c r="D77" t="s">
        <v>646</v>
      </c>
    </row>
    <row r="78" spans="1:4">
      <c r="A78">
        <v>72</v>
      </c>
      <c r="B78" t="s">
        <v>670</v>
      </c>
      <c r="C78">
        <v>95.27</v>
      </c>
      <c r="D78" t="s">
        <v>646</v>
      </c>
    </row>
    <row r="79" spans="1:4">
      <c r="A79">
        <v>73</v>
      </c>
      <c r="B79" t="s">
        <v>669</v>
      </c>
      <c r="C79">
        <v>88.42</v>
      </c>
      <c r="D79" t="s">
        <v>646</v>
      </c>
    </row>
    <row r="80" spans="1:4">
      <c r="A80">
        <v>74</v>
      </c>
      <c r="B80" t="s">
        <v>668</v>
      </c>
      <c r="C80">
        <v>7.32</v>
      </c>
      <c r="D80" t="s">
        <v>646</v>
      </c>
    </row>
    <row r="81" spans="1:4">
      <c r="A81">
        <v>75</v>
      </c>
      <c r="B81" t="s">
        <v>667</v>
      </c>
      <c r="C81">
        <v>5.81</v>
      </c>
      <c r="D81" t="s">
        <v>646</v>
      </c>
    </row>
    <row r="82" spans="1:4">
      <c r="A82">
        <v>76</v>
      </c>
      <c r="B82" t="s">
        <v>666</v>
      </c>
      <c r="C82">
        <v>12.93</v>
      </c>
      <c r="D82" t="s">
        <v>646</v>
      </c>
    </row>
    <row r="83" spans="1:4">
      <c r="A83">
        <v>77</v>
      </c>
      <c r="B83" t="s">
        <v>665</v>
      </c>
      <c r="C83">
        <v>7.62</v>
      </c>
      <c r="D83" t="s">
        <v>646</v>
      </c>
    </row>
    <row r="84" spans="1:4">
      <c r="A84">
        <v>78</v>
      </c>
      <c r="B84" t="s">
        <v>664</v>
      </c>
      <c r="C84">
        <v>0</v>
      </c>
      <c r="D84" t="s">
        <v>646</v>
      </c>
    </row>
    <row r="85" spans="1:4">
      <c r="A85">
        <v>79</v>
      </c>
      <c r="B85" t="s">
        <v>663</v>
      </c>
      <c r="C85">
        <v>1.88</v>
      </c>
      <c r="D85" t="s">
        <v>646</v>
      </c>
    </row>
    <row r="86" spans="1:4">
      <c r="A86">
        <v>80</v>
      </c>
      <c r="B86" t="s">
        <v>662</v>
      </c>
      <c r="C86">
        <v>8.18</v>
      </c>
      <c r="D86" t="s">
        <v>646</v>
      </c>
    </row>
    <row r="87" spans="1:4">
      <c r="A87">
        <v>81</v>
      </c>
      <c r="B87" t="s">
        <v>661</v>
      </c>
      <c r="C87">
        <v>11.71</v>
      </c>
      <c r="D87" t="s">
        <v>646</v>
      </c>
    </row>
    <row r="88" spans="1:4">
      <c r="A88">
        <v>82</v>
      </c>
      <c r="B88" t="s">
        <v>660</v>
      </c>
      <c r="C88">
        <v>7.51</v>
      </c>
      <c r="D88" t="s">
        <v>646</v>
      </c>
    </row>
    <row r="89" spans="1:4">
      <c r="A89">
        <v>83</v>
      </c>
      <c r="B89" t="s">
        <v>659</v>
      </c>
      <c r="C89">
        <v>8.07</v>
      </c>
      <c r="D89" t="s">
        <v>646</v>
      </c>
    </row>
    <row r="90" spans="1:4">
      <c r="A90">
        <v>84</v>
      </c>
      <c r="B90" t="s">
        <v>658</v>
      </c>
      <c r="C90">
        <v>7.11</v>
      </c>
      <c r="D90" t="s">
        <v>646</v>
      </c>
    </row>
    <row r="91" spans="1:4">
      <c r="A91">
        <v>85</v>
      </c>
      <c r="B91" t="s">
        <v>657</v>
      </c>
      <c r="C91">
        <v>0</v>
      </c>
      <c r="D91" t="s">
        <v>646</v>
      </c>
    </row>
    <row r="92" spans="1:4">
      <c r="A92">
        <v>86</v>
      </c>
      <c r="B92" t="s">
        <v>656</v>
      </c>
      <c r="C92">
        <v>2.59</v>
      </c>
      <c r="D92" t="s">
        <v>646</v>
      </c>
    </row>
    <row r="93" spans="1:4">
      <c r="A93">
        <v>87</v>
      </c>
      <c r="B93" t="s">
        <v>655</v>
      </c>
      <c r="C93">
        <v>2.71</v>
      </c>
      <c r="D93" t="s">
        <v>646</v>
      </c>
    </row>
    <row r="94" spans="1:4">
      <c r="A94">
        <v>88</v>
      </c>
      <c r="B94" t="s">
        <v>654</v>
      </c>
      <c r="C94">
        <v>3.26</v>
      </c>
      <c r="D94" t="s">
        <v>646</v>
      </c>
    </row>
    <row r="95" spans="1:4">
      <c r="A95">
        <v>89</v>
      </c>
      <c r="B95" t="s">
        <v>653</v>
      </c>
      <c r="C95">
        <v>1.62</v>
      </c>
      <c r="D95" t="s">
        <v>646</v>
      </c>
    </row>
    <row r="96" spans="1:4">
      <c r="A96">
        <v>90</v>
      </c>
      <c r="B96" t="s">
        <v>652</v>
      </c>
      <c r="C96">
        <v>8.09</v>
      </c>
      <c r="D96" t="s">
        <v>646</v>
      </c>
    </row>
    <row r="97" spans="1:4">
      <c r="A97">
        <v>91</v>
      </c>
      <c r="B97" t="s">
        <v>651</v>
      </c>
      <c r="C97">
        <v>31.41</v>
      </c>
      <c r="D97" t="s">
        <v>646</v>
      </c>
    </row>
    <row r="98" spans="1:4">
      <c r="A98">
        <v>92</v>
      </c>
      <c r="B98" t="s">
        <v>650</v>
      </c>
      <c r="C98">
        <v>13.88</v>
      </c>
      <c r="D98" t="s">
        <v>646</v>
      </c>
    </row>
    <row r="99" spans="1:4">
      <c r="A99">
        <v>93</v>
      </c>
      <c r="B99" t="s">
        <v>649</v>
      </c>
      <c r="C99">
        <v>5.94</v>
      </c>
      <c r="D99" t="s">
        <v>646</v>
      </c>
    </row>
    <row r="100" spans="1:4">
      <c r="A100">
        <v>94</v>
      </c>
      <c r="B100" t="s">
        <v>648</v>
      </c>
      <c r="C100">
        <v>30.63</v>
      </c>
      <c r="D100" t="s">
        <v>646</v>
      </c>
    </row>
    <row r="101" spans="1:4">
      <c r="A101">
        <v>95</v>
      </c>
      <c r="B101" t="s">
        <v>647</v>
      </c>
      <c r="C101">
        <v>2.46</v>
      </c>
      <c r="D101" t="s">
        <v>646</v>
      </c>
    </row>
    <row r="102" spans="1:4">
      <c r="A102">
        <v>96</v>
      </c>
      <c r="B102" t="s">
        <v>645</v>
      </c>
      <c r="C102">
        <v>0</v>
      </c>
      <c r="D102" t="s">
        <v>579</v>
      </c>
    </row>
    <row r="103" spans="1:4">
      <c r="A103">
        <v>97</v>
      </c>
      <c r="B103" t="s">
        <v>644</v>
      </c>
      <c r="C103">
        <v>0</v>
      </c>
      <c r="D103" t="s">
        <v>579</v>
      </c>
    </row>
    <row r="104" spans="1:4">
      <c r="A104">
        <v>98</v>
      </c>
      <c r="B104" t="s">
        <v>643</v>
      </c>
      <c r="C104">
        <v>0</v>
      </c>
      <c r="D104" t="s">
        <v>579</v>
      </c>
    </row>
    <row r="105" spans="1:4">
      <c r="A105">
        <v>99</v>
      </c>
      <c r="B105" t="s">
        <v>642</v>
      </c>
      <c r="C105">
        <v>0</v>
      </c>
      <c r="D105" t="s">
        <v>579</v>
      </c>
    </row>
    <row r="106" spans="1:4">
      <c r="A106">
        <v>100</v>
      </c>
      <c r="B106" t="s">
        <v>641</v>
      </c>
      <c r="C106">
        <v>0</v>
      </c>
      <c r="D106" t="s">
        <v>579</v>
      </c>
    </row>
    <row r="107" spans="1:4">
      <c r="A107">
        <v>101</v>
      </c>
      <c r="B107" t="s">
        <v>640</v>
      </c>
      <c r="C107">
        <v>0</v>
      </c>
      <c r="D107" t="s">
        <v>579</v>
      </c>
    </row>
    <row r="108" spans="1:4">
      <c r="A108">
        <v>102</v>
      </c>
      <c r="B108" t="s">
        <v>639</v>
      </c>
      <c r="C108">
        <v>0</v>
      </c>
      <c r="D108" t="s">
        <v>579</v>
      </c>
    </row>
    <row r="109" spans="1:4">
      <c r="A109">
        <v>103</v>
      </c>
      <c r="B109" t="s">
        <v>638</v>
      </c>
      <c r="C109">
        <v>0</v>
      </c>
      <c r="D109" t="s">
        <v>579</v>
      </c>
    </row>
    <row r="110" spans="1:4">
      <c r="A110">
        <v>104</v>
      </c>
      <c r="B110" t="s">
        <v>637</v>
      </c>
      <c r="C110">
        <v>0</v>
      </c>
      <c r="D110" t="s">
        <v>579</v>
      </c>
    </row>
    <row r="111" spans="1:4">
      <c r="A111">
        <v>105</v>
      </c>
      <c r="B111" t="s">
        <v>636</v>
      </c>
      <c r="C111">
        <v>0</v>
      </c>
      <c r="D111" t="s">
        <v>579</v>
      </c>
    </row>
    <row r="112" spans="1:4">
      <c r="A112">
        <v>106</v>
      </c>
      <c r="B112" t="s">
        <v>635</v>
      </c>
      <c r="C112">
        <v>0</v>
      </c>
      <c r="D112" t="s">
        <v>579</v>
      </c>
    </row>
    <row r="113" spans="1:4">
      <c r="A113">
        <v>107</v>
      </c>
      <c r="B113" t="s">
        <v>634</v>
      </c>
      <c r="C113">
        <v>0</v>
      </c>
      <c r="D113" t="s">
        <v>579</v>
      </c>
    </row>
    <row r="114" spans="1:4">
      <c r="A114">
        <v>108</v>
      </c>
      <c r="B114" t="s">
        <v>633</v>
      </c>
      <c r="C114">
        <v>0</v>
      </c>
      <c r="D114" t="s">
        <v>579</v>
      </c>
    </row>
    <row r="115" spans="1:4">
      <c r="A115">
        <v>109</v>
      </c>
      <c r="B115" t="s">
        <v>632</v>
      </c>
      <c r="C115">
        <v>0</v>
      </c>
      <c r="D115" t="s">
        <v>579</v>
      </c>
    </row>
    <row r="116" spans="1:4">
      <c r="A116">
        <v>110</v>
      </c>
      <c r="B116" t="s">
        <v>631</v>
      </c>
      <c r="C116">
        <v>0</v>
      </c>
      <c r="D116" t="s">
        <v>579</v>
      </c>
    </row>
    <row r="117" spans="1:4">
      <c r="A117">
        <v>111</v>
      </c>
      <c r="B117" t="s">
        <v>630</v>
      </c>
      <c r="C117">
        <v>0</v>
      </c>
      <c r="D117" t="s">
        <v>579</v>
      </c>
    </row>
    <row r="118" spans="1:4">
      <c r="A118">
        <v>112</v>
      </c>
      <c r="B118" t="s">
        <v>629</v>
      </c>
      <c r="C118">
        <v>0</v>
      </c>
      <c r="D118" t="s">
        <v>579</v>
      </c>
    </row>
    <row r="119" spans="1:4">
      <c r="A119">
        <v>113</v>
      </c>
      <c r="B119" t="s">
        <v>628</v>
      </c>
      <c r="C119">
        <v>0</v>
      </c>
      <c r="D119" t="s">
        <v>579</v>
      </c>
    </row>
    <row r="120" spans="1:4">
      <c r="A120">
        <v>114</v>
      </c>
      <c r="B120" t="s">
        <v>627</v>
      </c>
      <c r="C120">
        <v>0</v>
      </c>
      <c r="D120" t="s">
        <v>579</v>
      </c>
    </row>
    <row r="121" spans="1:4">
      <c r="A121">
        <v>115</v>
      </c>
      <c r="B121" t="s">
        <v>626</v>
      </c>
      <c r="C121">
        <v>0</v>
      </c>
      <c r="D121" t="s">
        <v>579</v>
      </c>
    </row>
    <row r="122" spans="1:4">
      <c r="A122">
        <v>116</v>
      </c>
      <c r="B122" t="s">
        <v>625</v>
      </c>
      <c r="C122">
        <v>0</v>
      </c>
      <c r="D122" t="s">
        <v>579</v>
      </c>
    </row>
    <row r="123" spans="1:4">
      <c r="A123">
        <v>117</v>
      </c>
      <c r="B123" t="s">
        <v>624</v>
      </c>
      <c r="C123">
        <v>0</v>
      </c>
      <c r="D123" t="s">
        <v>579</v>
      </c>
    </row>
    <row r="124" spans="1:4">
      <c r="A124">
        <v>118</v>
      </c>
      <c r="B124" t="s">
        <v>623</v>
      </c>
      <c r="C124">
        <v>0</v>
      </c>
      <c r="D124" t="s">
        <v>579</v>
      </c>
    </row>
    <row r="125" spans="1:4">
      <c r="A125">
        <v>119</v>
      </c>
      <c r="B125" t="s">
        <v>622</v>
      </c>
      <c r="C125">
        <v>0</v>
      </c>
      <c r="D125" t="s">
        <v>579</v>
      </c>
    </row>
    <row r="126" spans="1:4">
      <c r="A126">
        <v>120</v>
      </c>
      <c r="B126" t="s">
        <v>621</v>
      </c>
      <c r="C126">
        <v>0</v>
      </c>
      <c r="D126" t="s">
        <v>579</v>
      </c>
    </row>
    <row r="127" spans="1:4">
      <c r="A127">
        <v>121</v>
      </c>
      <c r="B127" t="s">
        <v>620</v>
      </c>
      <c r="C127">
        <v>0</v>
      </c>
      <c r="D127" t="s">
        <v>579</v>
      </c>
    </row>
    <row r="128" spans="1:4">
      <c r="A128">
        <v>122</v>
      </c>
      <c r="B128" t="s">
        <v>619</v>
      </c>
      <c r="C128">
        <v>0</v>
      </c>
      <c r="D128" t="s">
        <v>579</v>
      </c>
    </row>
    <row r="129" spans="1:4">
      <c r="A129">
        <v>123</v>
      </c>
      <c r="B129" t="s">
        <v>618</v>
      </c>
      <c r="C129">
        <v>0</v>
      </c>
      <c r="D129" t="s">
        <v>579</v>
      </c>
    </row>
    <row r="130" spans="1:4">
      <c r="A130">
        <v>124</v>
      </c>
      <c r="B130" t="s">
        <v>617</v>
      </c>
      <c r="C130">
        <v>0</v>
      </c>
      <c r="D130" t="s">
        <v>579</v>
      </c>
    </row>
    <row r="131" spans="1:4">
      <c r="A131">
        <v>125</v>
      </c>
      <c r="B131" t="s">
        <v>616</v>
      </c>
      <c r="C131">
        <v>0</v>
      </c>
      <c r="D131" t="s">
        <v>579</v>
      </c>
    </row>
    <row r="132" spans="1:4">
      <c r="A132">
        <v>126</v>
      </c>
      <c r="B132" t="s">
        <v>615</v>
      </c>
      <c r="C132">
        <v>0</v>
      </c>
      <c r="D132" t="s">
        <v>579</v>
      </c>
    </row>
    <row r="133" spans="1:4">
      <c r="A133">
        <v>127</v>
      </c>
      <c r="B133" t="s">
        <v>614</v>
      </c>
      <c r="C133">
        <v>0</v>
      </c>
      <c r="D133" t="s">
        <v>579</v>
      </c>
    </row>
    <row r="134" spans="1:4">
      <c r="A134">
        <v>128</v>
      </c>
      <c r="B134" t="s">
        <v>613</v>
      </c>
      <c r="C134">
        <v>0</v>
      </c>
      <c r="D134" t="s">
        <v>579</v>
      </c>
    </row>
    <row r="135" spans="1:4">
      <c r="A135">
        <v>129</v>
      </c>
      <c r="B135" t="s">
        <v>612</v>
      </c>
      <c r="C135">
        <v>0</v>
      </c>
      <c r="D135" t="s">
        <v>579</v>
      </c>
    </row>
    <row r="136" spans="1:4">
      <c r="A136">
        <v>130</v>
      </c>
      <c r="B136" t="s">
        <v>611</v>
      </c>
      <c r="C136">
        <v>0</v>
      </c>
      <c r="D136" t="s">
        <v>579</v>
      </c>
    </row>
    <row r="137" spans="1:4">
      <c r="A137">
        <v>131</v>
      </c>
      <c r="B137" t="s">
        <v>610</v>
      </c>
      <c r="C137">
        <v>0</v>
      </c>
      <c r="D137" t="s">
        <v>579</v>
      </c>
    </row>
    <row r="138" spans="1:4">
      <c r="A138">
        <v>132</v>
      </c>
      <c r="B138" t="s">
        <v>609</v>
      </c>
      <c r="C138">
        <v>0</v>
      </c>
      <c r="D138" t="s">
        <v>579</v>
      </c>
    </row>
    <row r="139" spans="1:4">
      <c r="A139">
        <v>133</v>
      </c>
      <c r="B139" t="s">
        <v>608</v>
      </c>
      <c r="C139">
        <v>0</v>
      </c>
      <c r="D139" t="s">
        <v>579</v>
      </c>
    </row>
    <row r="140" spans="1:4">
      <c r="A140">
        <v>134</v>
      </c>
      <c r="B140" t="s">
        <v>607</v>
      </c>
      <c r="C140">
        <v>0</v>
      </c>
      <c r="D140" t="s">
        <v>579</v>
      </c>
    </row>
    <row r="141" spans="1:4">
      <c r="A141">
        <v>135</v>
      </c>
      <c r="B141" t="s">
        <v>606</v>
      </c>
      <c r="C141">
        <v>0</v>
      </c>
      <c r="D141" t="s">
        <v>579</v>
      </c>
    </row>
    <row r="142" spans="1:4">
      <c r="A142">
        <v>136</v>
      </c>
      <c r="B142" t="s">
        <v>605</v>
      </c>
      <c r="C142">
        <v>0</v>
      </c>
      <c r="D142" t="s">
        <v>579</v>
      </c>
    </row>
    <row r="143" spans="1:4">
      <c r="A143">
        <v>137</v>
      </c>
      <c r="B143" t="s">
        <v>604</v>
      </c>
      <c r="C143">
        <v>0</v>
      </c>
      <c r="D143" t="s">
        <v>579</v>
      </c>
    </row>
    <row r="144" spans="1:4">
      <c r="A144">
        <v>138</v>
      </c>
      <c r="B144" t="s">
        <v>603</v>
      </c>
      <c r="C144">
        <v>0</v>
      </c>
      <c r="D144" t="s">
        <v>579</v>
      </c>
    </row>
    <row r="145" spans="1:4">
      <c r="A145">
        <v>139</v>
      </c>
      <c r="B145" t="s">
        <v>602</v>
      </c>
      <c r="C145">
        <v>0</v>
      </c>
      <c r="D145" t="s">
        <v>579</v>
      </c>
    </row>
    <row r="146" spans="1:4">
      <c r="A146">
        <v>140</v>
      </c>
      <c r="B146" t="s">
        <v>601</v>
      </c>
      <c r="C146">
        <v>0</v>
      </c>
      <c r="D146" t="s">
        <v>579</v>
      </c>
    </row>
    <row r="147" spans="1:4">
      <c r="A147">
        <v>141</v>
      </c>
      <c r="B147" t="s">
        <v>600</v>
      </c>
      <c r="C147">
        <v>0</v>
      </c>
      <c r="D147" t="s">
        <v>579</v>
      </c>
    </row>
    <row r="148" spans="1:4">
      <c r="A148">
        <v>142</v>
      </c>
      <c r="B148" t="s">
        <v>599</v>
      </c>
      <c r="C148">
        <v>0</v>
      </c>
      <c r="D148" t="s">
        <v>579</v>
      </c>
    </row>
    <row r="149" spans="1:4">
      <c r="A149">
        <v>143</v>
      </c>
      <c r="B149" t="s">
        <v>598</v>
      </c>
      <c r="C149">
        <v>0</v>
      </c>
      <c r="D149" t="s">
        <v>579</v>
      </c>
    </row>
    <row r="150" spans="1:4">
      <c r="A150">
        <v>144</v>
      </c>
      <c r="B150" t="s">
        <v>597</v>
      </c>
      <c r="C150">
        <v>0</v>
      </c>
      <c r="D150" t="s">
        <v>579</v>
      </c>
    </row>
    <row r="151" spans="1:4">
      <c r="A151">
        <v>145</v>
      </c>
      <c r="B151" t="s">
        <v>596</v>
      </c>
      <c r="C151">
        <v>0</v>
      </c>
      <c r="D151" t="s">
        <v>579</v>
      </c>
    </row>
    <row r="152" spans="1:4">
      <c r="A152">
        <v>146</v>
      </c>
      <c r="B152" t="s">
        <v>595</v>
      </c>
      <c r="C152">
        <v>0</v>
      </c>
      <c r="D152" t="s">
        <v>579</v>
      </c>
    </row>
    <row r="153" spans="1:4">
      <c r="A153">
        <v>147</v>
      </c>
      <c r="B153" t="s">
        <v>594</v>
      </c>
      <c r="C153">
        <v>0</v>
      </c>
      <c r="D153" t="s">
        <v>579</v>
      </c>
    </row>
    <row r="154" spans="1:4">
      <c r="A154">
        <v>148</v>
      </c>
      <c r="B154" t="s">
        <v>593</v>
      </c>
      <c r="C154">
        <v>0</v>
      </c>
      <c r="D154" t="s">
        <v>579</v>
      </c>
    </row>
    <row r="155" spans="1:4">
      <c r="A155">
        <v>149</v>
      </c>
      <c r="B155" t="s">
        <v>592</v>
      </c>
      <c r="C155">
        <v>0</v>
      </c>
      <c r="D155" t="s">
        <v>579</v>
      </c>
    </row>
    <row r="156" spans="1:4">
      <c r="A156">
        <v>150</v>
      </c>
      <c r="B156" t="s">
        <v>591</v>
      </c>
      <c r="C156">
        <v>0</v>
      </c>
      <c r="D156" t="s">
        <v>579</v>
      </c>
    </row>
    <row r="157" spans="1:4">
      <c r="A157">
        <v>151</v>
      </c>
      <c r="B157" t="s">
        <v>590</v>
      </c>
      <c r="C157">
        <v>0</v>
      </c>
      <c r="D157" t="s">
        <v>579</v>
      </c>
    </row>
    <row r="158" spans="1:4">
      <c r="A158">
        <v>152</v>
      </c>
      <c r="B158" t="s">
        <v>589</v>
      </c>
      <c r="C158">
        <v>0</v>
      </c>
      <c r="D158" t="s">
        <v>579</v>
      </c>
    </row>
    <row r="159" spans="1:4">
      <c r="A159">
        <v>153</v>
      </c>
      <c r="B159" t="s">
        <v>588</v>
      </c>
      <c r="C159">
        <v>0</v>
      </c>
      <c r="D159" t="s">
        <v>579</v>
      </c>
    </row>
    <row r="160" spans="1:4">
      <c r="A160">
        <v>154</v>
      </c>
      <c r="B160" t="s">
        <v>587</v>
      </c>
      <c r="C160">
        <v>0</v>
      </c>
      <c r="D160" t="s">
        <v>579</v>
      </c>
    </row>
    <row r="161" spans="1:4">
      <c r="A161">
        <v>155</v>
      </c>
      <c r="B161" t="s">
        <v>586</v>
      </c>
      <c r="C161">
        <v>0</v>
      </c>
      <c r="D161" t="s">
        <v>579</v>
      </c>
    </row>
    <row r="162" spans="1:4">
      <c r="A162">
        <v>156</v>
      </c>
      <c r="B162" t="s">
        <v>585</v>
      </c>
      <c r="C162">
        <v>0</v>
      </c>
      <c r="D162" t="s">
        <v>579</v>
      </c>
    </row>
    <row r="163" spans="1:4">
      <c r="A163">
        <v>157</v>
      </c>
      <c r="B163" t="s">
        <v>584</v>
      </c>
      <c r="C163">
        <v>0</v>
      </c>
      <c r="D163" t="s">
        <v>579</v>
      </c>
    </row>
    <row r="164" spans="1:4">
      <c r="A164">
        <v>158</v>
      </c>
      <c r="B164" t="s">
        <v>583</v>
      </c>
      <c r="C164">
        <v>0</v>
      </c>
      <c r="D164" t="s">
        <v>579</v>
      </c>
    </row>
    <row r="165" spans="1:4">
      <c r="A165">
        <v>159</v>
      </c>
      <c r="B165" t="s">
        <v>582</v>
      </c>
      <c r="C165">
        <v>0</v>
      </c>
      <c r="D165" t="s">
        <v>579</v>
      </c>
    </row>
    <row r="166" spans="1:4">
      <c r="A166">
        <v>160</v>
      </c>
      <c r="B166" t="s">
        <v>581</v>
      </c>
      <c r="C166">
        <v>0</v>
      </c>
      <c r="D166" t="s">
        <v>579</v>
      </c>
    </row>
    <row r="167" spans="1:4">
      <c r="A167">
        <v>161</v>
      </c>
      <c r="B167" t="s">
        <v>580</v>
      </c>
      <c r="C167">
        <v>0</v>
      </c>
      <c r="D167" t="s">
        <v>579</v>
      </c>
    </row>
    <row r="168" spans="1:4">
      <c r="A168">
        <v>162</v>
      </c>
      <c r="B168" t="s">
        <v>578</v>
      </c>
      <c r="C168">
        <v>500</v>
      </c>
      <c r="D168" t="s">
        <v>577</v>
      </c>
    </row>
    <row r="169" spans="1:4">
      <c r="A169">
        <v>163</v>
      </c>
      <c r="B169" t="s">
        <v>576</v>
      </c>
      <c r="C169">
        <v>72</v>
      </c>
      <c r="D169">
        <v>72</v>
      </c>
    </row>
    <row r="170" spans="1:4">
      <c r="A170">
        <v>164</v>
      </c>
      <c r="B170" t="s">
        <v>575</v>
      </c>
      <c r="C170">
        <v>500</v>
      </c>
      <c r="D170" t="s">
        <v>534</v>
      </c>
    </row>
    <row r="171" spans="1:4">
      <c r="A171">
        <v>165</v>
      </c>
      <c r="B171" t="s">
        <v>574</v>
      </c>
      <c r="C171">
        <v>62</v>
      </c>
      <c r="D171">
        <v>62</v>
      </c>
    </row>
    <row r="172" spans="1:4">
      <c r="A172">
        <v>166</v>
      </c>
      <c r="B172" t="s">
        <v>573</v>
      </c>
      <c r="C172">
        <v>500</v>
      </c>
      <c r="D172" t="s">
        <v>534</v>
      </c>
    </row>
    <row r="173" spans="1:4">
      <c r="A173">
        <v>167</v>
      </c>
      <c r="B173" t="s">
        <v>572</v>
      </c>
      <c r="C173">
        <v>29</v>
      </c>
      <c r="D173">
        <v>29</v>
      </c>
    </row>
    <row r="174" spans="1:4">
      <c r="A174">
        <v>168</v>
      </c>
      <c r="B174" t="s">
        <v>571</v>
      </c>
      <c r="C174">
        <v>500</v>
      </c>
      <c r="D174" t="s">
        <v>534</v>
      </c>
    </row>
    <row r="175" spans="1:4">
      <c r="A175">
        <v>169</v>
      </c>
      <c r="B175" t="s">
        <v>570</v>
      </c>
      <c r="C175">
        <v>23</v>
      </c>
      <c r="D175">
        <v>23</v>
      </c>
    </row>
    <row r="176" spans="1:4">
      <c r="A176">
        <v>170</v>
      </c>
      <c r="B176" t="s">
        <v>569</v>
      </c>
      <c r="C176">
        <v>500</v>
      </c>
      <c r="D176" t="s">
        <v>534</v>
      </c>
    </row>
    <row r="177" spans="1:4">
      <c r="A177">
        <v>171</v>
      </c>
      <c r="B177" t="s">
        <v>568</v>
      </c>
      <c r="C177">
        <v>1</v>
      </c>
      <c r="D177">
        <v>1</v>
      </c>
    </row>
    <row r="178" spans="1:4">
      <c r="A178">
        <v>172</v>
      </c>
      <c r="B178" t="s">
        <v>567</v>
      </c>
      <c r="C178">
        <v>500</v>
      </c>
      <c r="D178" t="s">
        <v>534</v>
      </c>
    </row>
    <row r="179" spans="1:4">
      <c r="A179">
        <v>173</v>
      </c>
      <c r="B179" t="s">
        <v>566</v>
      </c>
      <c r="C179">
        <v>1</v>
      </c>
      <c r="D179">
        <v>1</v>
      </c>
    </row>
    <row r="180" spans="1:4">
      <c r="A180">
        <v>174</v>
      </c>
      <c r="B180" t="s">
        <v>565</v>
      </c>
      <c r="C180">
        <v>500</v>
      </c>
      <c r="D180" t="s">
        <v>534</v>
      </c>
    </row>
    <row r="181" spans="1:4">
      <c r="A181">
        <v>175</v>
      </c>
      <c r="B181" t="s">
        <v>564</v>
      </c>
      <c r="C181">
        <v>1</v>
      </c>
      <c r="D181">
        <v>1</v>
      </c>
    </row>
    <row r="182" spans="1:4">
      <c r="A182">
        <v>176</v>
      </c>
      <c r="B182" t="s">
        <v>563</v>
      </c>
      <c r="C182">
        <v>500</v>
      </c>
      <c r="D182" t="s">
        <v>534</v>
      </c>
    </row>
    <row r="183" spans="1:4">
      <c r="A183">
        <v>177</v>
      </c>
      <c r="B183" t="s">
        <v>562</v>
      </c>
      <c r="C183">
        <v>1</v>
      </c>
      <c r="D183">
        <v>1</v>
      </c>
    </row>
    <row r="184" spans="1:4">
      <c r="A184">
        <v>178</v>
      </c>
      <c r="B184" t="s">
        <v>561</v>
      </c>
      <c r="C184">
        <v>500</v>
      </c>
      <c r="D184" t="s">
        <v>534</v>
      </c>
    </row>
    <row r="185" spans="1:4">
      <c r="A185">
        <v>179</v>
      </c>
      <c r="B185" t="s">
        <v>560</v>
      </c>
      <c r="C185">
        <v>1</v>
      </c>
      <c r="D185">
        <v>1</v>
      </c>
    </row>
    <row r="186" spans="1:4">
      <c r="A186">
        <v>180</v>
      </c>
      <c r="B186" t="s">
        <v>559</v>
      </c>
      <c r="C186">
        <v>500</v>
      </c>
      <c r="D186" t="s">
        <v>534</v>
      </c>
    </row>
    <row r="187" spans="1:4">
      <c r="A187">
        <v>181</v>
      </c>
      <c r="B187" t="s">
        <v>558</v>
      </c>
      <c r="C187">
        <v>1</v>
      </c>
      <c r="D187">
        <v>1</v>
      </c>
    </row>
    <row r="188" spans="1:4">
      <c r="A188">
        <v>182</v>
      </c>
      <c r="B188" t="s">
        <v>557</v>
      </c>
      <c r="C188">
        <v>500</v>
      </c>
      <c r="D188" t="s">
        <v>534</v>
      </c>
    </row>
    <row r="189" spans="1:4">
      <c r="A189">
        <v>183</v>
      </c>
      <c r="B189" t="s">
        <v>556</v>
      </c>
      <c r="C189">
        <v>1</v>
      </c>
      <c r="D189">
        <v>1</v>
      </c>
    </row>
    <row r="190" spans="1:4">
      <c r="A190">
        <v>184</v>
      </c>
      <c r="B190" t="s">
        <v>555</v>
      </c>
      <c r="C190">
        <v>500</v>
      </c>
      <c r="D190" t="s">
        <v>534</v>
      </c>
    </row>
    <row r="191" spans="1:4">
      <c r="A191">
        <v>185</v>
      </c>
      <c r="B191" t="s">
        <v>554</v>
      </c>
      <c r="C191">
        <v>1</v>
      </c>
      <c r="D191">
        <v>1</v>
      </c>
    </row>
    <row r="192" spans="1:4">
      <c r="A192">
        <v>186</v>
      </c>
      <c r="B192" t="s">
        <v>553</v>
      </c>
      <c r="C192">
        <v>500</v>
      </c>
      <c r="D192" t="s">
        <v>534</v>
      </c>
    </row>
    <row r="193" spans="1:4">
      <c r="A193">
        <v>187</v>
      </c>
      <c r="B193" t="s">
        <v>552</v>
      </c>
      <c r="C193">
        <v>1</v>
      </c>
      <c r="D193">
        <v>1</v>
      </c>
    </row>
    <row r="194" spans="1:4">
      <c r="A194">
        <v>188</v>
      </c>
      <c r="B194" t="s">
        <v>551</v>
      </c>
      <c r="C194">
        <v>500</v>
      </c>
      <c r="D194" t="s">
        <v>534</v>
      </c>
    </row>
    <row r="195" spans="1:4">
      <c r="A195">
        <v>189</v>
      </c>
      <c r="B195" t="s">
        <v>550</v>
      </c>
      <c r="C195">
        <v>1</v>
      </c>
      <c r="D195">
        <v>1</v>
      </c>
    </row>
    <row r="196" spans="1:4">
      <c r="A196">
        <v>190</v>
      </c>
      <c r="B196" t="s">
        <v>549</v>
      </c>
      <c r="C196">
        <v>500</v>
      </c>
      <c r="D196" t="s">
        <v>534</v>
      </c>
    </row>
    <row r="197" spans="1:4">
      <c r="A197">
        <v>191</v>
      </c>
      <c r="B197" t="s">
        <v>548</v>
      </c>
      <c r="C197">
        <v>1</v>
      </c>
      <c r="D197">
        <v>1</v>
      </c>
    </row>
    <row r="198" spans="1:4">
      <c r="A198">
        <v>192</v>
      </c>
      <c r="B198" t="s">
        <v>547</v>
      </c>
      <c r="C198">
        <v>500</v>
      </c>
      <c r="D198" t="s">
        <v>534</v>
      </c>
    </row>
    <row r="199" spans="1:4">
      <c r="A199">
        <v>193</v>
      </c>
      <c r="B199" t="s">
        <v>546</v>
      </c>
      <c r="C199">
        <v>1</v>
      </c>
      <c r="D199">
        <v>1</v>
      </c>
    </row>
    <row r="200" spans="1:4">
      <c r="A200">
        <v>194</v>
      </c>
      <c r="B200" t="s">
        <v>545</v>
      </c>
      <c r="C200">
        <v>500</v>
      </c>
      <c r="D200" t="s">
        <v>534</v>
      </c>
    </row>
    <row r="201" spans="1:4">
      <c r="A201">
        <v>195</v>
      </c>
      <c r="B201" t="s">
        <v>544</v>
      </c>
      <c r="C201">
        <v>1</v>
      </c>
      <c r="D201">
        <v>1</v>
      </c>
    </row>
    <row r="202" spans="1:4">
      <c r="A202">
        <v>196</v>
      </c>
      <c r="B202" t="s">
        <v>543</v>
      </c>
      <c r="C202">
        <v>500</v>
      </c>
      <c r="D202" t="s">
        <v>534</v>
      </c>
    </row>
    <row r="203" spans="1:4">
      <c r="A203">
        <v>197</v>
      </c>
      <c r="B203" t="s">
        <v>542</v>
      </c>
      <c r="C203">
        <v>1</v>
      </c>
      <c r="D203">
        <v>1</v>
      </c>
    </row>
    <row r="204" spans="1:4">
      <c r="A204">
        <v>198</v>
      </c>
      <c r="B204" t="s">
        <v>541</v>
      </c>
      <c r="C204">
        <v>500</v>
      </c>
      <c r="D204" t="s">
        <v>534</v>
      </c>
    </row>
    <row r="205" spans="1:4">
      <c r="A205">
        <v>199</v>
      </c>
      <c r="B205" t="s">
        <v>540</v>
      </c>
      <c r="C205">
        <v>1</v>
      </c>
      <c r="D205">
        <v>1</v>
      </c>
    </row>
    <row r="206" spans="1:4">
      <c r="A206">
        <v>200</v>
      </c>
      <c r="B206" t="s">
        <v>539</v>
      </c>
      <c r="C206">
        <v>500</v>
      </c>
      <c r="D206" t="s">
        <v>534</v>
      </c>
    </row>
    <row r="207" spans="1:4">
      <c r="A207">
        <v>201</v>
      </c>
      <c r="B207" t="s">
        <v>538</v>
      </c>
      <c r="C207">
        <v>1</v>
      </c>
      <c r="D207">
        <v>1</v>
      </c>
    </row>
    <row r="208" spans="1:4">
      <c r="A208">
        <v>202</v>
      </c>
      <c r="B208" t="s">
        <v>537</v>
      </c>
      <c r="C208">
        <v>500</v>
      </c>
      <c r="D208" t="s">
        <v>534</v>
      </c>
    </row>
    <row r="209" spans="1:4">
      <c r="A209">
        <v>203</v>
      </c>
      <c r="B209" t="s">
        <v>536</v>
      </c>
      <c r="C209">
        <v>1</v>
      </c>
      <c r="D209">
        <v>1</v>
      </c>
    </row>
    <row r="210" spans="1:4">
      <c r="A210">
        <v>204</v>
      </c>
      <c r="B210" t="s">
        <v>535</v>
      </c>
      <c r="C210">
        <v>500</v>
      </c>
      <c r="D210" t="s">
        <v>534</v>
      </c>
    </row>
    <row r="211" spans="1:4">
      <c r="A211">
        <v>205</v>
      </c>
      <c r="B211" t="s">
        <v>533</v>
      </c>
      <c r="C211">
        <v>1</v>
      </c>
      <c r="D211">
        <v>1</v>
      </c>
    </row>
    <row r="212" spans="1:4">
      <c r="A212">
        <v>206</v>
      </c>
      <c r="B212" t="s">
        <v>743</v>
      </c>
      <c r="C212">
        <v>1</v>
      </c>
      <c r="D212" t="s">
        <v>579</v>
      </c>
    </row>
    <row r="213" spans="1:4">
      <c r="A213">
        <v>207</v>
      </c>
      <c r="B213" t="s">
        <v>744</v>
      </c>
      <c r="C213">
        <v>1</v>
      </c>
      <c r="D213" t="s">
        <v>579</v>
      </c>
    </row>
    <row r="214" spans="1:4">
      <c r="A214">
        <v>208</v>
      </c>
      <c r="B214" t="s">
        <v>745</v>
      </c>
      <c r="C214">
        <v>1</v>
      </c>
      <c r="D214" t="s">
        <v>579</v>
      </c>
    </row>
    <row r="215" spans="1:4">
      <c r="A215">
        <v>209</v>
      </c>
      <c r="B215" t="s">
        <v>746</v>
      </c>
      <c r="C215">
        <v>1</v>
      </c>
      <c r="D215" t="s">
        <v>579</v>
      </c>
    </row>
    <row r="216" spans="1:4">
      <c r="A216">
        <v>210</v>
      </c>
      <c r="B216" t="s">
        <v>747</v>
      </c>
      <c r="C216">
        <v>1</v>
      </c>
      <c r="D216" t="s">
        <v>579</v>
      </c>
    </row>
    <row r="217" spans="1:4">
      <c r="A217">
        <v>211</v>
      </c>
      <c r="B217" t="s">
        <v>748</v>
      </c>
      <c r="C217">
        <v>1</v>
      </c>
      <c r="D217" t="s">
        <v>579</v>
      </c>
    </row>
    <row r="218" spans="1:4">
      <c r="A218">
        <v>212</v>
      </c>
      <c r="B218" t="s">
        <v>749</v>
      </c>
      <c r="C218">
        <v>1</v>
      </c>
      <c r="D218" t="s">
        <v>579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58894-9B53-4AA9-9F78-E195F6DF7B33}">
  <sheetPr codeName="Hoja37"/>
  <dimension ref="A1:H396"/>
  <sheetViews>
    <sheetView workbookViewId="0">
      <selection sqref="A1:D1048576"/>
    </sheetView>
  </sheetViews>
  <sheetFormatPr baseColWidth="10" defaultColWidth="11.5546875" defaultRowHeight="14.4"/>
  <cols>
    <col min="1" max="1" width="14.5546875" bestFit="1" customWidth="1"/>
    <col min="2" max="4" width="19.44140625" style="5" customWidth="1"/>
  </cols>
  <sheetData>
    <row r="1" spans="1:8">
      <c r="A1" s="47" t="s">
        <v>80</v>
      </c>
      <c r="B1" s="48" t="s">
        <v>525</v>
      </c>
      <c r="C1" s="48" t="s">
        <v>526</v>
      </c>
      <c r="D1" s="48" t="s">
        <v>527</v>
      </c>
      <c r="E1" s="46" t="s">
        <v>528</v>
      </c>
      <c r="F1" s="46" t="s">
        <v>522</v>
      </c>
      <c r="G1" s="46" t="s">
        <v>523</v>
      </c>
      <c r="H1" s="46" t="s">
        <v>524</v>
      </c>
    </row>
    <row r="2" spans="1:8">
      <c r="A2" s="45" t="s">
        <v>130</v>
      </c>
      <c r="B2" s="5">
        <v>13.473146058270309</v>
      </c>
      <c r="C2" s="5">
        <v>21.357991670917492</v>
      </c>
      <c r="D2" s="5">
        <v>34.831137729187802</v>
      </c>
      <c r="E2">
        <v>35215.200000000004</v>
      </c>
      <c r="F2">
        <v>30084</v>
      </c>
      <c r="G2">
        <v>26418</v>
      </c>
      <c r="H2">
        <v>17256</v>
      </c>
    </row>
    <row r="3" spans="1:8">
      <c r="A3" s="45" t="s">
        <v>141</v>
      </c>
      <c r="B3" s="5">
        <v>4.2101086539364161</v>
      </c>
      <c r="C3" s="5">
        <v>6.7090689939503285</v>
      </c>
      <c r="D3" s="5">
        <v>10.919177647886745</v>
      </c>
      <c r="E3">
        <v>7748.6</v>
      </c>
      <c r="F3">
        <v>7045</v>
      </c>
      <c r="G3">
        <v>6643</v>
      </c>
      <c r="H3">
        <v>5286</v>
      </c>
    </row>
    <row r="4" spans="1:8">
      <c r="A4" s="45" t="s">
        <v>390</v>
      </c>
      <c r="B4" s="5">
        <v>0.51524541243568378</v>
      </c>
      <c r="C4" s="5">
        <v>1.3097064256553139</v>
      </c>
      <c r="D4" s="5">
        <v>1.8249518380909977</v>
      </c>
      <c r="E4">
        <v>29843.8</v>
      </c>
      <c r="F4">
        <v>25599</v>
      </c>
      <c r="G4">
        <v>21944</v>
      </c>
      <c r="H4">
        <v>14987</v>
      </c>
    </row>
    <row r="5" spans="1:8">
      <c r="A5" s="45" t="s">
        <v>320</v>
      </c>
      <c r="B5" s="5">
        <v>14.529269715876843</v>
      </c>
      <c r="C5" s="5">
        <v>9.7328573630728688</v>
      </c>
      <c r="D5" s="5">
        <v>24.26212707894971</v>
      </c>
      <c r="E5">
        <v>3683.2000000000003</v>
      </c>
      <c r="F5">
        <v>3696</v>
      </c>
      <c r="G5">
        <v>3801</v>
      </c>
      <c r="H5">
        <v>3728</v>
      </c>
    </row>
    <row r="6" spans="1:8">
      <c r="A6" s="45" t="s">
        <v>324</v>
      </c>
      <c r="B6" s="5">
        <v>4.789020986286868</v>
      </c>
      <c r="C6" s="5">
        <v>8.1535006533060592</v>
      </c>
      <c r="D6" s="5">
        <v>12.942521639592927</v>
      </c>
      <c r="E6">
        <v>22330.799999999999</v>
      </c>
      <c r="F6">
        <v>19638</v>
      </c>
      <c r="G6">
        <v>18564</v>
      </c>
      <c r="H6">
        <v>12906</v>
      </c>
    </row>
    <row r="7" spans="1:8">
      <c r="A7" s="45" t="s">
        <v>328</v>
      </c>
      <c r="B7" s="5">
        <v>5.3942820346775369</v>
      </c>
      <c r="C7" s="5">
        <v>6.3347793017292782</v>
      </c>
      <c r="D7" s="5">
        <v>11.729061336406815</v>
      </c>
      <c r="E7">
        <v>3602.3999999999996</v>
      </c>
      <c r="F7">
        <v>3878</v>
      </c>
      <c r="G7">
        <v>4048</v>
      </c>
      <c r="H7">
        <v>4567</v>
      </c>
    </row>
    <row r="8" spans="1:8">
      <c r="A8" s="45" t="s">
        <v>325</v>
      </c>
      <c r="B8" s="5">
        <v>11.951859910683757</v>
      </c>
      <c r="C8" s="5">
        <v>1.473794721746829</v>
      </c>
      <c r="D8" s="5">
        <v>13.425654632430586</v>
      </c>
      <c r="E8">
        <v>6176.8</v>
      </c>
      <c r="F8">
        <v>6288</v>
      </c>
      <c r="G8">
        <v>6348</v>
      </c>
      <c r="H8">
        <v>6566</v>
      </c>
    </row>
    <row r="9" spans="1:8">
      <c r="A9" s="45" t="s">
        <v>326</v>
      </c>
      <c r="B9" s="5">
        <v>11.313912880669521</v>
      </c>
      <c r="C9" s="5">
        <v>0.59927918815281267</v>
      </c>
      <c r="D9" s="5">
        <v>11.913192068822335</v>
      </c>
      <c r="E9">
        <v>7355.7999999999993</v>
      </c>
      <c r="F9">
        <v>7579</v>
      </c>
      <c r="G9">
        <v>6936</v>
      </c>
      <c r="H9">
        <v>8137</v>
      </c>
    </row>
    <row r="10" spans="1:8">
      <c r="A10" s="45" t="s">
        <v>327</v>
      </c>
      <c r="B10" s="5">
        <v>5.5760924324395598</v>
      </c>
      <c r="C10" s="5">
        <v>1.0894326311375198</v>
      </c>
      <c r="D10" s="5">
        <v>6.6655250635770793</v>
      </c>
      <c r="E10">
        <v>40.200000000000003</v>
      </c>
      <c r="F10">
        <v>37</v>
      </c>
      <c r="G10">
        <v>38</v>
      </c>
      <c r="H10">
        <v>29</v>
      </c>
    </row>
    <row r="11" spans="1:8">
      <c r="A11" s="45" t="s">
        <v>397</v>
      </c>
      <c r="B11" s="5">
        <v>5.7355840090617551</v>
      </c>
      <c r="C11" s="5">
        <v>9.5048231802476018</v>
      </c>
      <c r="D11" s="5">
        <v>15.240407189309357</v>
      </c>
      <c r="E11">
        <v>11025.999999999998</v>
      </c>
      <c r="F11">
        <v>11492</v>
      </c>
      <c r="G11">
        <v>10380</v>
      </c>
      <c r="H11">
        <v>12657</v>
      </c>
    </row>
    <row r="12" spans="1:8">
      <c r="A12" s="45" t="s">
        <v>321</v>
      </c>
      <c r="B12" s="5">
        <v>0.54011275982388052</v>
      </c>
      <c r="C12" s="5">
        <v>2.8799198418375775</v>
      </c>
      <c r="D12" s="5">
        <v>3.4200326016614579</v>
      </c>
      <c r="E12">
        <v>367.8</v>
      </c>
      <c r="F12">
        <v>333</v>
      </c>
      <c r="G12">
        <v>320</v>
      </c>
      <c r="H12">
        <v>246</v>
      </c>
    </row>
    <row r="13" spans="1:8">
      <c r="A13" s="45" t="s">
        <v>329</v>
      </c>
      <c r="B13" s="5">
        <v>3.1962772345093278</v>
      </c>
      <c r="C13" s="5">
        <v>14.806201131208827</v>
      </c>
      <c r="D13" s="5">
        <v>18.002478365718154</v>
      </c>
      <c r="E13">
        <v>27910.600000000002</v>
      </c>
      <c r="F13">
        <v>23299</v>
      </c>
      <c r="G13">
        <v>19557</v>
      </c>
      <c r="H13">
        <v>11770</v>
      </c>
    </row>
    <row r="14" spans="1:8">
      <c r="A14" s="45" t="s">
        <v>330</v>
      </c>
      <c r="B14" s="5">
        <v>1.8795006985623501</v>
      </c>
      <c r="C14" s="5">
        <v>12.090272112942932</v>
      </c>
      <c r="D14" s="5">
        <v>13.969772811505281</v>
      </c>
      <c r="E14">
        <v>29343.599999999995</v>
      </c>
      <c r="F14">
        <v>25572</v>
      </c>
      <c r="G14">
        <v>22665</v>
      </c>
      <c r="H14">
        <v>16143</v>
      </c>
    </row>
    <row r="15" spans="1:8">
      <c r="A15" s="45" t="s">
        <v>331</v>
      </c>
      <c r="B15" s="5">
        <v>2.5783767547947631</v>
      </c>
      <c r="C15" s="5">
        <v>1.5925254336496466</v>
      </c>
      <c r="D15" s="5">
        <v>4.1709021884444102</v>
      </c>
      <c r="E15">
        <v>0</v>
      </c>
      <c r="F15">
        <v>0</v>
      </c>
      <c r="G15">
        <v>0</v>
      </c>
      <c r="H15">
        <v>0</v>
      </c>
    </row>
    <row r="16" spans="1:8">
      <c r="A16" s="45" t="s">
        <v>332</v>
      </c>
      <c r="B16" s="5">
        <v>12.807014595816902</v>
      </c>
      <c r="C16" s="5">
        <v>1.9938702896122029</v>
      </c>
      <c r="D16" s="5">
        <v>14.800884885429106</v>
      </c>
      <c r="E16">
        <v>9436.2000000000007</v>
      </c>
      <c r="F16">
        <v>8589</v>
      </c>
      <c r="G16">
        <v>8032</v>
      </c>
      <c r="H16">
        <v>6471</v>
      </c>
    </row>
    <row r="17" spans="1:8">
      <c r="A17" s="45" t="s">
        <v>286</v>
      </c>
      <c r="B17" s="5">
        <v>17.478934191615807</v>
      </c>
      <c r="C17" s="5">
        <v>41.857920231648897</v>
      </c>
      <c r="D17" s="5">
        <v>59.336854423264704</v>
      </c>
      <c r="E17">
        <v>119616.40000000001</v>
      </c>
      <c r="F17">
        <v>105242</v>
      </c>
      <c r="G17">
        <v>93044</v>
      </c>
      <c r="H17">
        <v>69306</v>
      </c>
    </row>
    <row r="18" spans="1:8">
      <c r="A18" s="45" t="s">
        <v>339</v>
      </c>
      <c r="B18" s="5">
        <v>208.29349079949034</v>
      </c>
      <c r="C18" s="5">
        <v>136.59407083614187</v>
      </c>
      <c r="D18" s="5">
        <v>344.88756163563221</v>
      </c>
      <c r="E18">
        <v>152359.59999999992</v>
      </c>
      <c r="F18">
        <v>136538</v>
      </c>
      <c r="G18">
        <v>125811</v>
      </c>
      <c r="H18">
        <v>96984</v>
      </c>
    </row>
    <row r="19" spans="1:8">
      <c r="A19" s="45" t="s">
        <v>448</v>
      </c>
      <c r="B19" s="5">
        <v>12.413587591832032</v>
      </c>
      <c r="C19" s="5">
        <v>8.0324641827279972</v>
      </c>
      <c r="D19" s="5">
        <v>20.446051774560029</v>
      </c>
      <c r="E19">
        <v>5825.8</v>
      </c>
      <c r="F19">
        <v>5235</v>
      </c>
      <c r="G19">
        <v>4883</v>
      </c>
      <c r="H19">
        <v>3758</v>
      </c>
    </row>
    <row r="20" spans="1:8">
      <c r="A20" s="45" t="s">
        <v>285</v>
      </c>
      <c r="B20" s="5">
        <v>52.529917144594663</v>
      </c>
      <c r="C20" s="5">
        <v>32.961930485292932</v>
      </c>
      <c r="D20" s="5">
        <v>85.491847629887587</v>
      </c>
      <c r="E20">
        <v>46373</v>
      </c>
      <c r="F20">
        <v>37497</v>
      </c>
      <c r="G20">
        <v>28789</v>
      </c>
      <c r="H20">
        <v>15307</v>
      </c>
    </row>
    <row r="21" spans="1:8">
      <c r="A21" s="45" t="s">
        <v>443</v>
      </c>
      <c r="B21" s="5">
        <v>13.197567959490591</v>
      </c>
      <c r="C21" s="5">
        <v>22.924292295359098</v>
      </c>
      <c r="D21" s="5">
        <v>36.121860254849693</v>
      </c>
      <c r="E21">
        <v>11654.800000000001</v>
      </c>
      <c r="F21">
        <v>10554</v>
      </c>
      <c r="G21">
        <v>9715</v>
      </c>
      <c r="H21">
        <v>7802</v>
      </c>
    </row>
    <row r="22" spans="1:8">
      <c r="A22" s="45" t="s">
        <v>445</v>
      </c>
      <c r="B22" s="5">
        <v>18.42345663007724</v>
      </c>
      <c r="C22" s="5">
        <v>22.462168143396653</v>
      </c>
      <c r="D22" s="5">
        <v>40.885624773473893</v>
      </c>
      <c r="E22">
        <v>35086.800000000003</v>
      </c>
      <c r="F22">
        <v>30658</v>
      </c>
      <c r="G22">
        <v>26488</v>
      </c>
      <c r="H22">
        <v>19586</v>
      </c>
    </row>
    <row r="23" spans="1:8">
      <c r="A23" s="45" t="s">
        <v>457</v>
      </c>
      <c r="B23" s="5">
        <v>49.165115078751292</v>
      </c>
      <c r="C23" s="5">
        <v>22.490069810580422</v>
      </c>
      <c r="D23" s="5">
        <v>71.655184889331707</v>
      </c>
      <c r="E23">
        <v>13074.8</v>
      </c>
      <c r="F23">
        <v>11014</v>
      </c>
      <c r="G23">
        <v>9513</v>
      </c>
      <c r="H23">
        <v>5862</v>
      </c>
    </row>
    <row r="24" spans="1:8">
      <c r="A24" s="45" t="s">
        <v>428</v>
      </c>
      <c r="B24" s="5">
        <v>7.5193079970488421</v>
      </c>
      <c r="C24" s="5">
        <v>22.683556358279841</v>
      </c>
      <c r="D24" s="5">
        <v>30.202864355328682</v>
      </c>
      <c r="E24">
        <v>80516.199999999983</v>
      </c>
      <c r="F24">
        <v>75511</v>
      </c>
      <c r="G24">
        <v>71937</v>
      </c>
      <c r="H24">
        <v>62998</v>
      </c>
    </row>
    <row r="25" spans="1:8">
      <c r="A25" s="45" t="s">
        <v>438</v>
      </c>
      <c r="B25" s="5">
        <v>11.973118530833323</v>
      </c>
      <c r="C25" s="5">
        <v>6.2851612540472672</v>
      </c>
      <c r="D25" s="5">
        <v>18.258279784880592</v>
      </c>
      <c r="E25">
        <v>2221.6</v>
      </c>
      <c r="F25">
        <v>2122</v>
      </c>
      <c r="G25">
        <v>1983</v>
      </c>
      <c r="H25">
        <v>1873</v>
      </c>
    </row>
    <row r="26" spans="1:8">
      <c r="A26" s="45" t="s">
        <v>439</v>
      </c>
      <c r="B26" s="5">
        <v>12.096391326745385</v>
      </c>
      <c r="C26" s="5">
        <v>42.323831759996395</v>
      </c>
      <c r="D26" s="5">
        <v>54.420223086741778</v>
      </c>
      <c r="E26">
        <v>33920.399999999994</v>
      </c>
      <c r="F26">
        <v>29372</v>
      </c>
      <c r="G26">
        <v>24153</v>
      </c>
      <c r="H26">
        <v>18001</v>
      </c>
    </row>
    <row r="27" spans="1:8">
      <c r="A27" s="45" t="s">
        <v>440</v>
      </c>
      <c r="B27" s="5">
        <v>18.313813878999028</v>
      </c>
      <c r="C27" s="5">
        <v>35.148443411272403</v>
      </c>
      <c r="D27" s="5">
        <v>53.462257290271431</v>
      </c>
      <c r="E27">
        <v>20733.399999999998</v>
      </c>
      <c r="F27">
        <v>18241</v>
      </c>
      <c r="G27">
        <v>16677</v>
      </c>
      <c r="H27">
        <v>12010</v>
      </c>
    </row>
    <row r="28" spans="1:8">
      <c r="A28" s="45" t="s">
        <v>441</v>
      </c>
      <c r="B28" s="5">
        <v>6.6462975932431565</v>
      </c>
      <c r="C28" s="5">
        <v>14.137391434699948</v>
      </c>
      <c r="D28" s="5">
        <v>20.783689027943105</v>
      </c>
      <c r="E28">
        <v>2074</v>
      </c>
      <c r="F28">
        <v>1894</v>
      </c>
      <c r="G28">
        <v>1781</v>
      </c>
      <c r="H28">
        <v>1444</v>
      </c>
    </row>
    <row r="29" spans="1:8">
      <c r="A29" s="45" t="s">
        <v>236</v>
      </c>
      <c r="B29" s="5">
        <v>3.4062467433369745</v>
      </c>
      <c r="C29" s="5">
        <v>19.158613817057024</v>
      </c>
      <c r="D29" s="5">
        <v>22.564860560393999</v>
      </c>
      <c r="E29">
        <v>7560.4</v>
      </c>
      <c r="F29">
        <v>6808</v>
      </c>
      <c r="G29">
        <v>7536</v>
      </c>
      <c r="H29">
        <v>4927</v>
      </c>
    </row>
    <row r="30" spans="1:8">
      <c r="A30" s="45" t="s">
        <v>417</v>
      </c>
      <c r="B30" s="5">
        <v>1.9649804302665983</v>
      </c>
      <c r="C30" s="5">
        <v>15.560733570667312</v>
      </c>
      <c r="D30" s="5">
        <v>17.52571400093391</v>
      </c>
      <c r="E30">
        <v>2536.2000000000003</v>
      </c>
      <c r="F30">
        <v>2433</v>
      </c>
      <c r="G30">
        <v>2372</v>
      </c>
      <c r="H30">
        <v>2175</v>
      </c>
    </row>
    <row r="31" spans="1:8">
      <c r="A31" s="45" t="s">
        <v>418</v>
      </c>
      <c r="B31" s="5">
        <v>8.3328531571248465</v>
      </c>
      <c r="C31" s="5">
        <v>7.7081779441372564</v>
      </c>
      <c r="D31" s="5">
        <v>16.041031101262103</v>
      </c>
      <c r="E31">
        <v>2325.1999999999998</v>
      </c>
      <c r="F31">
        <v>2038</v>
      </c>
      <c r="G31">
        <v>1855</v>
      </c>
      <c r="H31">
        <v>1320</v>
      </c>
    </row>
    <row r="32" spans="1:8">
      <c r="A32" s="45" t="s">
        <v>419</v>
      </c>
      <c r="B32" s="5">
        <v>15.807981837210072</v>
      </c>
      <c r="C32" s="5">
        <v>19.207020985718589</v>
      </c>
      <c r="D32" s="5">
        <v>35.015002822928665</v>
      </c>
      <c r="E32">
        <v>4444.9999999999991</v>
      </c>
      <c r="F32">
        <v>3953</v>
      </c>
      <c r="G32">
        <v>3881</v>
      </c>
      <c r="H32">
        <v>2723</v>
      </c>
    </row>
    <row r="33" spans="1:8">
      <c r="A33" s="45" t="s">
        <v>240</v>
      </c>
      <c r="B33" s="5">
        <v>14.876724714507017</v>
      </c>
      <c r="C33" s="5">
        <v>6.105616154986901</v>
      </c>
      <c r="D33" s="5">
        <v>20.982340869493918</v>
      </c>
      <c r="E33">
        <v>23707</v>
      </c>
      <c r="F33">
        <v>19529</v>
      </c>
      <c r="G33">
        <v>15726</v>
      </c>
      <c r="H33">
        <v>9084</v>
      </c>
    </row>
    <row r="34" spans="1:8">
      <c r="A34" s="45" t="s">
        <v>434</v>
      </c>
      <c r="B34" s="5">
        <v>18.601073028858714</v>
      </c>
      <c r="C34" s="5">
        <v>3.359398384900719</v>
      </c>
      <c r="D34" s="5">
        <v>21.960471413759432</v>
      </c>
      <c r="E34">
        <v>555.6</v>
      </c>
      <c r="F34">
        <v>506</v>
      </c>
      <c r="G34">
        <v>495</v>
      </c>
      <c r="H34">
        <v>382</v>
      </c>
    </row>
    <row r="35" spans="1:8">
      <c r="A35" s="45" t="s">
        <v>507</v>
      </c>
      <c r="B35" s="5">
        <v>10.874636389105671</v>
      </c>
      <c r="C35" s="5">
        <v>27.784377876632735</v>
      </c>
      <c r="D35" s="5">
        <v>38.659014265738406</v>
      </c>
      <c r="E35">
        <v>31628.800000000003</v>
      </c>
      <c r="F35">
        <v>29980</v>
      </c>
      <c r="G35">
        <v>28987</v>
      </c>
      <c r="H35">
        <v>25858</v>
      </c>
    </row>
    <row r="36" spans="1:8">
      <c r="A36" s="45" t="s">
        <v>508</v>
      </c>
      <c r="B36" s="5">
        <v>10.251533936097156</v>
      </c>
      <c r="C36" s="5">
        <v>15.642961785984008</v>
      </c>
      <c r="D36" s="5">
        <v>25.894495722081164</v>
      </c>
      <c r="E36">
        <v>0</v>
      </c>
      <c r="F36">
        <v>0</v>
      </c>
      <c r="G36">
        <v>0</v>
      </c>
      <c r="H36">
        <v>0</v>
      </c>
    </row>
    <row r="37" spans="1:8">
      <c r="A37" s="45" t="s">
        <v>432</v>
      </c>
      <c r="B37" s="5">
        <v>5.0350476373772004</v>
      </c>
      <c r="C37" s="5">
        <v>13.105086694945889</v>
      </c>
      <c r="D37" s="5">
        <v>18.14013433232309</v>
      </c>
      <c r="E37">
        <v>6086.0000000000009</v>
      </c>
      <c r="F37">
        <v>5754</v>
      </c>
      <c r="G37">
        <v>6914</v>
      </c>
      <c r="H37">
        <v>4924</v>
      </c>
    </row>
    <row r="38" spans="1:8">
      <c r="A38" s="45" t="s">
        <v>431</v>
      </c>
      <c r="B38" s="5">
        <v>19.726619445994235</v>
      </c>
      <c r="C38" s="5">
        <v>10.020515153242629</v>
      </c>
      <c r="D38" s="5">
        <v>29.747134599236865</v>
      </c>
      <c r="E38">
        <v>3061.7999999999997</v>
      </c>
      <c r="F38">
        <v>2879</v>
      </c>
      <c r="G38">
        <v>2733</v>
      </c>
      <c r="H38">
        <v>2422</v>
      </c>
    </row>
    <row r="39" spans="1:8">
      <c r="A39" s="45" t="s">
        <v>232</v>
      </c>
      <c r="B39" s="5">
        <v>9.0213595758831762</v>
      </c>
      <c r="C39" s="5">
        <v>6.7637249561860697</v>
      </c>
      <c r="D39" s="5">
        <v>15.785084532069245</v>
      </c>
      <c r="E39">
        <v>3345.7999999999997</v>
      </c>
      <c r="F39">
        <v>2963</v>
      </c>
      <c r="G39">
        <v>2730</v>
      </c>
      <c r="H39">
        <v>2006</v>
      </c>
    </row>
    <row r="40" spans="1:8">
      <c r="A40" s="45" t="s">
        <v>291</v>
      </c>
      <c r="B40" s="5">
        <v>15.841071296517885</v>
      </c>
      <c r="C40" s="5">
        <v>11.123534520647564</v>
      </c>
      <c r="D40" s="5">
        <v>26.964605817165449</v>
      </c>
      <c r="E40">
        <v>3405.6</v>
      </c>
      <c r="F40">
        <v>2952</v>
      </c>
      <c r="G40">
        <v>2542</v>
      </c>
      <c r="H40">
        <v>1818</v>
      </c>
    </row>
    <row r="41" spans="1:8">
      <c r="A41" s="45" t="s">
        <v>345</v>
      </c>
      <c r="B41" s="5">
        <v>14.721751604743913</v>
      </c>
      <c r="C41" s="5">
        <v>4.1807954149517634</v>
      </c>
      <c r="D41" s="5">
        <v>18.902547019695675</v>
      </c>
      <c r="E41">
        <v>4481</v>
      </c>
      <c r="F41">
        <v>4045</v>
      </c>
      <c r="G41">
        <v>3840</v>
      </c>
      <c r="H41">
        <v>2955</v>
      </c>
    </row>
    <row r="42" spans="1:8">
      <c r="A42" s="45" t="s">
        <v>449</v>
      </c>
      <c r="B42" s="5">
        <v>49.900423019859204</v>
      </c>
      <c r="C42" s="5">
        <v>1.1158878115492838</v>
      </c>
      <c r="D42" s="5">
        <v>51.016310831408489</v>
      </c>
      <c r="E42">
        <v>15972.800000000001</v>
      </c>
      <c r="F42">
        <v>12922</v>
      </c>
      <c r="G42">
        <v>10982</v>
      </c>
      <c r="H42">
        <v>5295</v>
      </c>
    </row>
    <row r="43" spans="1:8">
      <c r="A43" s="45" t="s">
        <v>344</v>
      </c>
      <c r="B43" s="5">
        <v>30.520631634141377</v>
      </c>
      <c r="C43" s="5">
        <v>1.5766399176683594</v>
      </c>
      <c r="D43" s="5">
        <v>32.09727155180974</v>
      </c>
      <c r="E43">
        <v>1994.1999999999998</v>
      </c>
      <c r="F43">
        <v>1799</v>
      </c>
      <c r="G43">
        <v>1704</v>
      </c>
      <c r="H43">
        <v>1311</v>
      </c>
    </row>
    <row r="44" spans="1:8">
      <c r="A44" s="45" t="s">
        <v>343</v>
      </c>
      <c r="B44" s="5">
        <v>13.970599904837883</v>
      </c>
      <c r="C44" s="5">
        <v>16.901257991740543</v>
      </c>
      <c r="D44" s="5">
        <v>30.871857896578426</v>
      </c>
      <c r="E44">
        <v>22862</v>
      </c>
      <c r="F44">
        <v>17880</v>
      </c>
      <c r="G44">
        <v>13473</v>
      </c>
      <c r="H44">
        <v>5425</v>
      </c>
    </row>
    <row r="45" spans="1:8">
      <c r="A45" s="45" t="s">
        <v>338</v>
      </c>
      <c r="B45" s="5">
        <v>8.8756215791384427</v>
      </c>
      <c r="C45" s="5">
        <v>15.336988006050559</v>
      </c>
      <c r="D45" s="5">
        <v>24.212609585189</v>
      </c>
      <c r="E45">
        <v>26194.199999999997</v>
      </c>
      <c r="F45">
        <v>24199</v>
      </c>
      <c r="G45">
        <v>22207</v>
      </c>
      <c r="H45">
        <v>19211</v>
      </c>
    </row>
    <row r="46" spans="1:8">
      <c r="A46" s="45" t="s">
        <v>341</v>
      </c>
      <c r="B46" s="5">
        <v>9.9312682906634109</v>
      </c>
      <c r="C46" s="5">
        <v>114.55497166639245</v>
      </c>
      <c r="D46" s="5">
        <v>124.48623995705586</v>
      </c>
      <c r="E46">
        <v>46215.399999999994</v>
      </c>
      <c r="F46">
        <v>41257</v>
      </c>
      <c r="G46">
        <v>36691</v>
      </c>
      <c r="H46">
        <v>28861</v>
      </c>
    </row>
    <row r="47" spans="1:8">
      <c r="A47" s="45" t="s">
        <v>495</v>
      </c>
      <c r="B47" s="5">
        <v>21.830278259195076</v>
      </c>
      <c r="C47" s="5">
        <v>71.944066695940236</v>
      </c>
      <c r="D47" s="5">
        <v>93.774344955135319</v>
      </c>
      <c r="E47">
        <v>97764.000000000015</v>
      </c>
      <c r="F47">
        <v>90510</v>
      </c>
      <c r="G47">
        <v>84578</v>
      </c>
      <c r="H47">
        <v>72375</v>
      </c>
    </row>
    <row r="48" spans="1:8">
      <c r="A48" s="45" t="s">
        <v>335</v>
      </c>
      <c r="B48" s="5">
        <v>14.777210333813109</v>
      </c>
      <c r="C48" s="5">
        <v>13.467698888735992</v>
      </c>
      <c r="D48" s="5">
        <v>28.244909222549101</v>
      </c>
      <c r="E48">
        <v>32985</v>
      </c>
      <c r="F48">
        <v>29025</v>
      </c>
      <c r="G48">
        <v>25054</v>
      </c>
      <c r="H48">
        <v>19125</v>
      </c>
    </row>
    <row r="49" spans="1:8">
      <c r="A49" s="45" t="s">
        <v>336</v>
      </c>
      <c r="B49" s="5">
        <v>26.970217715592717</v>
      </c>
      <c r="C49" s="5">
        <v>15.781662947616006</v>
      </c>
      <c r="D49" s="5">
        <v>42.751880663208723</v>
      </c>
      <c r="E49">
        <v>53040.799999999996</v>
      </c>
      <c r="F49">
        <v>51920</v>
      </c>
      <c r="G49">
        <v>47951</v>
      </c>
      <c r="H49">
        <v>49118</v>
      </c>
    </row>
    <row r="50" spans="1:8">
      <c r="A50" s="45" t="s">
        <v>337</v>
      </c>
      <c r="B50" s="5">
        <v>56.64894252558166</v>
      </c>
      <c r="C50" s="5">
        <v>27.433767802826416</v>
      </c>
      <c r="D50" s="5">
        <v>84.082710328408069</v>
      </c>
      <c r="E50">
        <v>32289.000000000004</v>
      </c>
      <c r="F50">
        <v>27615</v>
      </c>
      <c r="G50">
        <v>20699</v>
      </c>
      <c r="H50">
        <v>15930</v>
      </c>
    </row>
    <row r="51" spans="1:8">
      <c r="A51" s="45" t="s">
        <v>346</v>
      </c>
      <c r="B51" s="5">
        <v>30.453096407414662</v>
      </c>
      <c r="C51" s="5">
        <v>141.70526415675798</v>
      </c>
      <c r="D51" s="5">
        <v>172.15836056417265</v>
      </c>
      <c r="E51">
        <v>270548.40000000008</v>
      </c>
      <c r="F51">
        <v>240810</v>
      </c>
      <c r="G51">
        <v>227400</v>
      </c>
      <c r="H51">
        <v>166464</v>
      </c>
    </row>
    <row r="52" spans="1:8">
      <c r="A52" s="45" t="s">
        <v>347</v>
      </c>
      <c r="B52" s="5">
        <v>3.836092950286246</v>
      </c>
      <c r="C52" s="5">
        <v>49.272316564320825</v>
      </c>
      <c r="D52" s="5">
        <v>53.108409514607068</v>
      </c>
      <c r="E52">
        <v>221329.40000000002</v>
      </c>
      <c r="F52">
        <v>198087</v>
      </c>
      <c r="G52">
        <v>166719</v>
      </c>
      <c r="H52">
        <v>139981</v>
      </c>
    </row>
    <row r="53" spans="1:8">
      <c r="A53" s="45" t="s">
        <v>340</v>
      </c>
      <c r="B53" s="5">
        <v>40.853983358028813</v>
      </c>
      <c r="C53" s="5">
        <v>15.396252503078285</v>
      </c>
      <c r="D53" s="5">
        <v>56.2502358611071</v>
      </c>
      <c r="E53">
        <v>50059.400000000016</v>
      </c>
      <c r="F53">
        <v>45021</v>
      </c>
      <c r="G53">
        <v>40702</v>
      </c>
      <c r="H53">
        <v>32425</v>
      </c>
    </row>
    <row r="54" spans="1:8">
      <c r="A54" s="45" t="s">
        <v>348</v>
      </c>
      <c r="B54" s="5">
        <v>80.387382529184634</v>
      </c>
      <c r="C54" s="5">
        <v>134.4305774847283</v>
      </c>
      <c r="D54" s="5">
        <v>214.81796001391294</v>
      </c>
      <c r="E54">
        <v>238189.60000000006</v>
      </c>
      <c r="F54">
        <v>217620</v>
      </c>
      <c r="G54">
        <v>198386</v>
      </c>
      <c r="H54">
        <v>166196</v>
      </c>
    </row>
    <row r="55" spans="1:8">
      <c r="A55" s="45" t="s">
        <v>349</v>
      </c>
      <c r="B55" s="5">
        <v>48.668301287135108</v>
      </c>
      <c r="C55" s="5">
        <v>99.300902274320251</v>
      </c>
      <c r="D55" s="5">
        <v>147.96920356145534</v>
      </c>
      <c r="E55">
        <v>359465.60000000015</v>
      </c>
      <c r="F55">
        <v>321172</v>
      </c>
      <c r="G55">
        <v>279296</v>
      </c>
      <c r="H55">
        <v>225438</v>
      </c>
    </row>
    <row r="56" spans="1:8">
      <c r="A56" s="45" t="s">
        <v>493</v>
      </c>
      <c r="B56" s="5">
        <v>9.2769787708942353</v>
      </c>
      <c r="C56" s="5">
        <v>1.5418772728123793</v>
      </c>
      <c r="D56" s="5">
        <v>10.818856043706614</v>
      </c>
      <c r="E56">
        <v>3156.6</v>
      </c>
      <c r="F56">
        <v>2641</v>
      </c>
      <c r="G56">
        <v>2233</v>
      </c>
      <c r="H56">
        <v>1352</v>
      </c>
    </row>
    <row r="57" spans="1:8">
      <c r="A57" s="45" t="s">
        <v>386</v>
      </c>
      <c r="B57" s="5">
        <v>0.91088201530468238</v>
      </c>
      <c r="C57" s="5">
        <v>1.2578798590402593</v>
      </c>
      <c r="D57" s="5">
        <v>2.1687618743449417</v>
      </c>
      <c r="E57">
        <v>0</v>
      </c>
      <c r="F57">
        <v>0</v>
      </c>
      <c r="G57">
        <v>0</v>
      </c>
      <c r="H57">
        <v>0</v>
      </c>
    </row>
    <row r="58" spans="1:8">
      <c r="A58" s="45" t="s">
        <v>350</v>
      </c>
      <c r="B58" s="5">
        <v>0.43290268325941161</v>
      </c>
      <c r="C58" s="5">
        <v>0.6290089674498619</v>
      </c>
      <c r="D58" s="5">
        <v>1.0619116507092734</v>
      </c>
      <c r="E58">
        <v>1788.4</v>
      </c>
      <c r="F58">
        <v>1570</v>
      </c>
      <c r="G58">
        <v>1405</v>
      </c>
      <c r="H58">
        <v>1024</v>
      </c>
    </row>
    <row r="59" spans="1:8">
      <c r="A59" s="45" t="s">
        <v>389</v>
      </c>
      <c r="B59" s="5">
        <v>0.71213527015982669</v>
      </c>
      <c r="C59" s="5">
        <v>9.7221969565364716</v>
      </c>
      <c r="D59" s="5">
        <v>10.434332226696299</v>
      </c>
      <c r="E59">
        <v>257093</v>
      </c>
      <c r="F59">
        <v>213195</v>
      </c>
      <c r="G59">
        <v>178784</v>
      </c>
      <c r="H59">
        <v>103450</v>
      </c>
    </row>
    <row r="60" spans="1:8">
      <c r="A60" s="45" t="s">
        <v>388</v>
      </c>
      <c r="B60" s="5">
        <v>2.4777830620573273</v>
      </c>
      <c r="C60" s="5">
        <v>4.4523450184790931</v>
      </c>
      <c r="D60" s="5">
        <v>6.93012808053642</v>
      </c>
      <c r="E60">
        <v>4607952.4000000004</v>
      </c>
      <c r="F60">
        <v>4045824</v>
      </c>
      <c r="G60">
        <v>3621433</v>
      </c>
      <c r="H60">
        <v>2640503</v>
      </c>
    </row>
    <row r="61" spans="1:8">
      <c r="A61" s="45" t="s">
        <v>375</v>
      </c>
      <c r="B61" s="5">
        <v>12.254066118877919</v>
      </c>
      <c r="C61" s="5">
        <v>3.0226633180022446</v>
      </c>
      <c r="D61" s="5">
        <v>15.276729436880164</v>
      </c>
      <c r="E61">
        <v>35.4</v>
      </c>
      <c r="F61">
        <v>33</v>
      </c>
      <c r="G61">
        <v>34</v>
      </c>
      <c r="H61">
        <v>27</v>
      </c>
    </row>
    <row r="62" spans="1:8">
      <c r="A62" s="45" t="s">
        <v>183</v>
      </c>
      <c r="B62" s="5">
        <v>6.5385976886562798</v>
      </c>
      <c r="C62" s="5">
        <v>2.0646808600035449</v>
      </c>
      <c r="D62" s="5">
        <v>8.6032785486598247</v>
      </c>
      <c r="E62">
        <v>558.6</v>
      </c>
      <c r="F62">
        <v>535</v>
      </c>
      <c r="G62">
        <v>515</v>
      </c>
      <c r="H62">
        <v>476</v>
      </c>
    </row>
    <row r="63" spans="1:8">
      <c r="A63" s="45" t="s">
        <v>374</v>
      </c>
      <c r="B63" s="5">
        <v>1.667183308041589</v>
      </c>
      <c r="C63" s="5">
        <v>5.899443782417821</v>
      </c>
      <c r="D63" s="5">
        <v>7.5666270904594102</v>
      </c>
      <c r="E63">
        <v>99381</v>
      </c>
      <c r="F63">
        <v>85111</v>
      </c>
      <c r="G63">
        <v>71738</v>
      </c>
      <c r="H63">
        <v>49436</v>
      </c>
    </row>
    <row r="64" spans="1:8">
      <c r="A64" s="45" t="s">
        <v>376</v>
      </c>
      <c r="B64" s="5">
        <v>2.1685970286085241</v>
      </c>
      <c r="C64" s="5">
        <v>4.5457246417838038</v>
      </c>
      <c r="D64" s="5">
        <v>6.7143216703923283</v>
      </c>
      <c r="E64">
        <v>31300.199999999997</v>
      </c>
      <c r="F64">
        <v>26911</v>
      </c>
      <c r="G64">
        <v>22856</v>
      </c>
      <c r="H64">
        <v>15938</v>
      </c>
    </row>
    <row r="65" spans="1:8">
      <c r="A65" s="45" t="s">
        <v>505</v>
      </c>
      <c r="B65" s="5">
        <v>1.9808543643726826</v>
      </c>
      <c r="C65" s="5">
        <v>8.7018117066810081</v>
      </c>
      <c r="D65" s="5">
        <v>10.68266607105369</v>
      </c>
      <c r="E65">
        <v>12147</v>
      </c>
      <c r="F65">
        <v>11605</v>
      </c>
      <c r="G65">
        <v>10878</v>
      </c>
      <c r="H65">
        <v>10250</v>
      </c>
    </row>
    <row r="66" spans="1:8">
      <c r="A66" s="45" t="s">
        <v>373</v>
      </c>
      <c r="B66" s="5">
        <v>2.5616264156305593</v>
      </c>
      <c r="C66" s="5">
        <v>18.122786322515317</v>
      </c>
      <c r="D66" s="5">
        <v>20.684412738145877</v>
      </c>
      <c r="E66">
        <v>52577</v>
      </c>
      <c r="F66">
        <v>45089</v>
      </c>
      <c r="G66">
        <v>41109</v>
      </c>
      <c r="H66">
        <v>26369</v>
      </c>
    </row>
    <row r="67" spans="1:8">
      <c r="A67" s="45" t="s">
        <v>400</v>
      </c>
      <c r="B67" s="5">
        <v>6.6335111902589761</v>
      </c>
      <c r="C67" s="5">
        <v>28.774580478046147</v>
      </c>
      <c r="D67" s="5">
        <v>35.408091668305126</v>
      </c>
      <c r="E67">
        <v>6837.2000000000007</v>
      </c>
      <c r="F67">
        <v>5982</v>
      </c>
      <c r="G67">
        <v>5338</v>
      </c>
      <c r="H67">
        <v>3844</v>
      </c>
    </row>
    <row r="68" spans="1:8">
      <c r="A68" s="45" t="s">
        <v>399</v>
      </c>
      <c r="B68" s="5">
        <v>1.1518108751796914</v>
      </c>
      <c r="C68" s="5">
        <v>8.9108087842072194</v>
      </c>
      <c r="D68" s="5">
        <v>10.062619659386911</v>
      </c>
      <c r="E68">
        <v>13213.8</v>
      </c>
      <c r="F68">
        <v>11879</v>
      </c>
      <c r="G68">
        <v>14363</v>
      </c>
      <c r="H68">
        <v>8542</v>
      </c>
    </row>
    <row r="69" spans="1:8">
      <c r="A69" s="45" t="s">
        <v>398</v>
      </c>
      <c r="B69" s="5">
        <v>7.2024092292951414</v>
      </c>
      <c r="C69" s="5">
        <v>17.994437695564947</v>
      </c>
      <c r="D69" s="5">
        <v>25.19684692486009</v>
      </c>
      <c r="E69">
        <v>73526.599999999991</v>
      </c>
      <c r="F69">
        <v>68081</v>
      </c>
      <c r="G69">
        <v>61932</v>
      </c>
      <c r="H69">
        <v>54467</v>
      </c>
    </row>
    <row r="70" spans="1:8">
      <c r="A70" s="45" t="s">
        <v>401</v>
      </c>
      <c r="B70" s="5">
        <v>7.160708068453129</v>
      </c>
      <c r="C70" s="5">
        <v>14.038733464491798</v>
      </c>
      <c r="D70" s="5">
        <v>21.199441532944928</v>
      </c>
      <c r="E70">
        <v>12570.199999999999</v>
      </c>
      <c r="F70">
        <v>11901</v>
      </c>
      <c r="G70">
        <v>11103</v>
      </c>
      <c r="H70">
        <v>10228</v>
      </c>
    </row>
    <row r="71" spans="1:8">
      <c r="A71" s="45" t="s">
        <v>402</v>
      </c>
      <c r="B71" s="5">
        <v>15.123661863603038</v>
      </c>
      <c r="C71" s="5">
        <v>16.920516193547787</v>
      </c>
      <c r="D71" s="5">
        <v>32.044178057150823</v>
      </c>
      <c r="E71">
        <v>3725.8</v>
      </c>
      <c r="F71">
        <v>3981</v>
      </c>
      <c r="G71">
        <v>3901</v>
      </c>
      <c r="H71">
        <v>4619</v>
      </c>
    </row>
    <row r="72" spans="1:8">
      <c r="A72" s="45" t="s">
        <v>247</v>
      </c>
      <c r="B72" s="5">
        <v>1.0862427519106355</v>
      </c>
      <c r="C72" s="5">
        <v>9.2453434426657104</v>
      </c>
      <c r="D72" s="5">
        <v>10.331586194576346</v>
      </c>
      <c r="E72">
        <v>232115.8</v>
      </c>
      <c r="F72">
        <v>198817</v>
      </c>
      <c r="G72">
        <v>162842</v>
      </c>
      <c r="H72">
        <v>115570</v>
      </c>
    </row>
    <row r="73" spans="1:8">
      <c r="A73" s="45" t="s">
        <v>408</v>
      </c>
      <c r="B73" s="5">
        <v>4.7575105087427216</v>
      </c>
      <c r="C73" s="5">
        <v>1.4997038551762747</v>
      </c>
      <c r="D73" s="5">
        <v>6.2572143639189965</v>
      </c>
      <c r="E73">
        <v>3802.6</v>
      </c>
      <c r="F73">
        <v>3971</v>
      </c>
      <c r="G73">
        <v>3934</v>
      </c>
      <c r="H73">
        <v>4392</v>
      </c>
    </row>
    <row r="74" spans="1:8">
      <c r="A74" s="45" t="s">
        <v>410</v>
      </c>
      <c r="B74" s="5">
        <v>1.8410739795525313</v>
      </c>
      <c r="C74" s="5">
        <v>0.35303344829102795</v>
      </c>
      <c r="D74" s="5">
        <v>2.1941074278435591</v>
      </c>
      <c r="E74">
        <v>0</v>
      </c>
      <c r="F74">
        <v>0</v>
      </c>
      <c r="G74">
        <v>0</v>
      </c>
      <c r="H74">
        <v>0</v>
      </c>
    </row>
    <row r="75" spans="1:8">
      <c r="A75" s="45" t="s">
        <v>409</v>
      </c>
      <c r="B75" s="5">
        <v>1.6333398788488744</v>
      </c>
      <c r="C75" s="5">
        <v>3.5602771733748324</v>
      </c>
      <c r="D75" s="5">
        <v>5.1936170522237068</v>
      </c>
      <c r="E75">
        <v>3137.6</v>
      </c>
      <c r="F75">
        <v>3720</v>
      </c>
      <c r="G75">
        <v>3989</v>
      </c>
      <c r="H75">
        <v>5176</v>
      </c>
    </row>
    <row r="76" spans="1:8">
      <c r="A76" s="45" t="s">
        <v>411</v>
      </c>
      <c r="B76" s="5">
        <v>8.0831208040144098</v>
      </c>
      <c r="C76" s="5">
        <v>0.53447026374371365</v>
      </c>
      <c r="D76" s="5">
        <v>8.6175910677581236</v>
      </c>
      <c r="E76">
        <v>267.39999999999998</v>
      </c>
      <c r="F76">
        <v>245</v>
      </c>
      <c r="G76">
        <v>245</v>
      </c>
      <c r="H76">
        <v>189</v>
      </c>
    </row>
    <row r="77" spans="1:8">
      <c r="A77" s="45" t="s">
        <v>413</v>
      </c>
      <c r="B77" s="5">
        <v>6.4072037712068148</v>
      </c>
      <c r="C77" s="5">
        <v>4.2631243923813731</v>
      </c>
      <c r="D77" s="5">
        <v>10.670328163588188</v>
      </c>
      <c r="E77">
        <v>7438</v>
      </c>
      <c r="F77">
        <v>7014</v>
      </c>
      <c r="G77">
        <v>6610</v>
      </c>
      <c r="H77">
        <v>5954</v>
      </c>
    </row>
    <row r="78" spans="1:8">
      <c r="A78" s="45" t="s">
        <v>412</v>
      </c>
      <c r="B78" s="5">
        <v>12.766751809290122</v>
      </c>
      <c r="C78" s="5">
        <v>1.8235781819669183</v>
      </c>
      <c r="D78" s="5">
        <v>14.59032999125704</v>
      </c>
      <c r="E78">
        <v>0</v>
      </c>
      <c r="F78">
        <v>0</v>
      </c>
      <c r="G78">
        <v>0</v>
      </c>
      <c r="H78">
        <v>0</v>
      </c>
    </row>
    <row r="79" spans="1:8">
      <c r="A79" s="45" t="s">
        <v>404</v>
      </c>
      <c r="B79" s="5">
        <v>5.2296062859117782</v>
      </c>
      <c r="C79" s="5">
        <v>12.598552013706522</v>
      </c>
      <c r="D79" s="5">
        <v>17.828158299618302</v>
      </c>
      <c r="E79">
        <v>46190.400000000001</v>
      </c>
      <c r="F79">
        <v>39542</v>
      </c>
      <c r="G79">
        <v>36121</v>
      </c>
      <c r="H79">
        <v>22921</v>
      </c>
    </row>
    <row r="80" spans="1:8">
      <c r="A80" s="45" t="s">
        <v>414</v>
      </c>
      <c r="B80" s="5">
        <v>9.7176697233610998</v>
      </c>
      <c r="C80" s="5">
        <v>19.200155801040928</v>
      </c>
      <c r="D80" s="5">
        <v>28.917825524402026</v>
      </c>
      <c r="E80">
        <v>9360.2000000000025</v>
      </c>
      <c r="F80">
        <v>8009</v>
      </c>
      <c r="G80">
        <v>6993</v>
      </c>
      <c r="H80">
        <v>4631</v>
      </c>
    </row>
    <row r="81" spans="1:8">
      <c r="A81" s="45" t="s">
        <v>403</v>
      </c>
      <c r="B81" s="5">
        <v>3.2516424073463845</v>
      </c>
      <c r="C81" s="5">
        <v>16.899447873217472</v>
      </c>
      <c r="D81" s="5">
        <v>20.151090280563857</v>
      </c>
      <c r="E81">
        <v>8564</v>
      </c>
      <c r="F81">
        <v>7134</v>
      </c>
      <c r="G81">
        <v>6032</v>
      </c>
      <c r="H81">
        <v>3559</v>
      </c>
    </row>
    <row r="82" spans="1:8">
      <c r="A82" s="45" t="s">
        <v>396</v>
      </c>
      <c r="B82" s="5">
        <v>4.5757291888311844</v>
      </c>
      <c r="C82" s="5">
        <v>4.7484564155170981</v>
      </c>
      <c r="D82" s="5">
        <v>9.3241856043482834</v>
      </c>
      <c r="E82">
        <v>1297</v>
      </c>
      <c r="F82">
        <v>1229</v>
      </c>
      <c r="G82">
        <v>1110</v>
      </c>
      <c r="H82">
        <v>1059</v>
      </c>
    </row>
    <row r="83" spans="1:8">
      <c r="A83" s="45" t="s">
        <v>395</v>
      </c>
      <c r="B83" s="5">
        <v>1.8691247887894193</v>
      </c>
      <c r="C83" s="5">
        <v>5.5331823584493263</v>
      </c>
      <c r="D83" s="5">
        <v>7.4023071472387461</v>
      </c>
      <c r="E83">
        <v>6338.2000000000007</v>
      </c>
      <c r="F83">
        <v>6189</v>
      </c>
      <c r="G83">
        <v>7642</v>
      </c>
      <c r="H83">
        <v>5816</v>
      </c>
    </row>
    <row r="84" spans="1:8">
      <c r="A84" s="45" t="s">
        <v>392</v>
      </c>
      <c r="B84" s="5">
        <v>0.4240979939335604</v>
      </c>
      <c r="C84" s="5">
        <v>3.0479927964649174</v>
      </c>
      <c r="D84" s="5">
        <v>3.4720907903984779</v>
      </c>
      <c r="E84">
        <v>1856.8</v>
      </c>
      <c r="F84">
        <v>1666</v>
      </c>
      <c r="G84">
        <v>1545</v>
      </c>
      <c r="H84">
        <v>1189</v>
      </c>
    </row>
    <row r="85" spans="1:8">
      <c r="A85" s="45" t="s">
        <v>203</v>
      </c>
      <c r="B85" s="5">
        <v>1.4339907387636885</v>
      </c>
      <c r="C85" s="5">
        <v>8.8965115916276396</v>
      </c>
      <c r="D85" s="5">
        <v>10.330502330391328</v>
      </c>
      <c r="E85">
        <v>20081.199999999997</v>
      </c>
      <c r="F85">
        <v>19282</v>
      </c>
      <c r="G85">
        <v>18315</v>
      </c>
      <c r="H85">
        <v>17284</v>
      </c>
    </row>
    <row r="86" spans="1:8">
      <c r="A86" s="45" t="s">
        <v>394</v>
      </c>
      <c r="B86" s="5">
        <v>0.70457134000585053</v>
      </c>
      <c r="C86" s="5">
        <v>1.8530534382060297</v>
      </c>
      <c r="D86" s="5">
        <v>2.5576247782118804</v>
      </c>
      <c r="E86">
        <v>0</v>
      </c>
      <c r="F86">
        <v>0</v>
      </c>
      <c r="G86">
        <v>0</v>
      </c>
      <c r="H86">
        <v>0</v>
      </c>
    </row>
    <row r="87" spans="1:8">
      <c r="A87" s="45" t="s">
        <v>509</v>
      </c>
      <c r="B87" s="5">
        <v>3.1970395625952728</v>
      </c>
      <c r="C87" s="5">
        <v>4.5381988510092794</v>
      </c>
      <c r="D87" s="5">
        <v>7.7352384136045522</v>
      </c>
      <c r="E87">
        <v>4473.2</v>
      </c>
      <c r="F87">
        <v>4232</v>
      </c>
      <c r="G87">
        <v>5518</v>
      </c>
      <c r="H87">
        <v>3629</v>
      </c>
    </row>
    <row r="88" spans="1:8">
      <c r="A88" s="45" t="s">
        <v>510</v>
      </c>
      <c r="B88" s="5">
        <v>0.41869493418875292</v>
      </c>
      <c r="C88" s="5">
        <v>3.2159729869568991</v>
      </c>
      <c r="D88" s="5">
        <v>3.6346679211456521</v>
      </c>
      <c r="E88">
        <v>0</v>
      </c>
      <c r="F88">
        <v>0</v>
      </c>
      <c r="G88">
        <v>0</v>
      </c>
      <c r="H88">
        <v>0</v>
      </c>
    </row>
    <row r="89" spans="1:8">
      <c r="A89" s="45" t="s">
        <v>379</v>
      </c>
      <c r="B89" s="5">
        <v>1.8369080366785326</v>
      </c>
      <c r="C89" s="5">
        <v>7.9184462386925958</v>
      </c>
      <c r="D89" s="5">
        <v>9.7553542753711291</v>
      </c>
      <c r="E89">
        <v>0</v>
      </c>
      <c r="F89">
        <v>0</v>
      </c>
      <c r="G89">
        <v>0</v>
      </c>
      <c r="H89">
        <v>0</v>
      </c>
    </row>
    <row r="90" spans="1:8">
      <c r="A90" s="45" t="s">
        <v>197</v>
      </c>
      <c r="B90" s="5">
        <v>0.16401414435842906</v>
      </c>
      <c r="C90" s="5">
        <v>11.188659690014036</v>
      </c>
      <c r="D90" s="5">
        <v>11.352673834372466</v>
      </c>
      <c r="E90">
        <v>94183.8</v>
      </c>
      <c r="F90">
        <v>83169</v>
      </c>
      <c r="G90">
        <v>76232</v>
      </c>
      <c r="H90">
        <v>55632</v>
      </c>
    </row>
    <row r="91" spans="1:8">
      <c r="A91" s="45" t="s">
        <v>372</v>
      </c>
      <c r="B91" s="5">
        <v>1.1028307840402227</v>
      </c>
      <c r="C91" s="5">
        <v>5.8387200748934864</v>
      </c>
      <c r="D91" s="5">
        <v>6.9415508589337094</v>
      </c>
      <c r="E91">
        <v>12130.8</v>
      </c>
      <c r="F91">
        <v>11150</v>
      </c>
      <c r="G91">
        <v>11191</v>
      </c>
      <c r="H91">
        <v>8698</v>
      </c>
    </row>
    <row r="92" spans="1:8">
      <c r="A92" s="45" t="s">
        <v>391</v>
      </c>
      <c r="B92" s="5">
        <v>0.15279115442756522</v>
      </c>
      <c r="C92" s="5">
        <v>14.709164954119064</v>
      </c>
      <c r="D92" s="5">
        <v>14.861956108546629</v>
      </c>
      <c r="E92">
        <v>107286.80000000002</v>
      </c>
      <c r="F92">
        <v>100216</v>
      </c>
      <c r="G92">
        <v>93346</v>
      </c>
      <c r="H92">
        <v>82539</v>
      </c>
    </row>
    <row r="93" spans="1:8">
      <c r="A93" s="45" t="s">
        <v>366</v>
      </c>
      <c r="B93" s="5">
        <v>1.206133592020064</v>
      </c>
      <c r="C93" s="5">
        <v>6.0770716977718653</v>
      </c>
      <c r="D93" s="5">
        <v>7.2832052897919297</v>
      </c>
      <c r="E93">
        <v>5456.8</v>
      </c>
      <c r="F93">
        <v>4984</v>
      </c>
      <c r="G93">
        <v>4570</v>
      </c>
      <c r="H93">
        <v>3802</v>
      </c>
    </row>
    <row r="94" spans="1:8">
      <c r="A94" s="45" t="s">
        <v>165</v>
      </c>
      <c r="B94" s="5">
        <v>0.54757373831587131</v>
      </c>
      <c r="C94" s="5">
        <v>8.1295899042980793</v>
      </c>
      <c r="D94" s="5">
        <v>8.6771636426139498</v>
      </c>
      <c r="E94">
        <v>3043</v>
      </c>
      <c r="F94">
        <v>2791</v>
      </c>
      <c r="G94">
        <v>2666</v>
      </c>
      <c r="H94">
        <v>2161</v>
      </c>
    </row>
    <row r="95" spans="1:8">
      <c r="A95" s="45" t="s">
        <v>229</v>
      </c>
      <c r="B95" s="5">
        <v>8.1078408591677302</v>
      </c>
      <c r="C95" s="5">
        <v>12.739111575374896</v>
      </c>
      <c r="D95" s="5">
        <v>20.846952434542626</v>
      </c>
      <c r="E95">
        <v>80854.8</v>
      </c>
      <c r="F95">
        <v>72188</v>
      </c>
      <c r="G95">
        <v>66673</v>
      </c>
      <c r="H95">
        <v>50521</v>
      </c>
    </row>
    <row r="96" spans="1:8">
      <c r="A96" s="45" t="s">
        <v>230</v>
      </c>
      <c r="B96" s="5">
        <v>7.4725474190346644</v>
      </c>
      <c r="C96" s="5">
        <v>14.263070519442731</v>
      </c>
      <c r="D96" s="5">
        <v>21.735617938477397</v>
      </c>
      <c r="E96">
        <v>12930.400000000001</v>
      </c>
      <c r="F96">
        <v>12074</v>
      </c>
      <c r="G96">
        <v>16382</v>
      </c>
      <c r="H96">
        <v>9933</v>
      </c>
    </row>
    <row r="97" spans="1:8">
      <c r="A97" s="45" t="s">
        <v>235</v>
      </c>
      <c r="B97" s="5">
        <v>1.7152934786764771</v>
      </c>
      <c r="C97" s="5">
        <v>1.4983391603091341</v>
      </c>
      <c r="D97" s="5">
        <v>3.2136326389856111</v>
      </c>
      <c r="E97">
        <v>0</v>
      </c>
      <c r="F97">
        <v>0</v>
      </c>
      <c r="G97">
        <v>0</v>
      </c>
      <c r="H97">
        <v>0</v>
      </c>
    </row>
    <row r="98" spans="1:8">
      <c r="A98" s="45" t="s">
        <v>424</v>
      </c>
      <c r="B98" s="5">
        <v>22.708629413288868</v>
      </c>
      <c r="C98" s="5">
        <v>12.06138058064556</v>
      </c>
      <c r="D98" s="5">
        <v>34.77000999393443</v>
      </c>
      <c r="E98">
        <v>24912.6</v>
      </c>
      <c r="F98">
        <v>23375</v>
      </c>
      <c r="G98">
        <v>22708</v>
      </c>
      <c r="H98">
        <v>19531</v>
      </c>
    </row>
    <row r="99" spans="1:8">
      <c r="A99" s="45" t="s">
        <v>420</v>
      </c>
      <c r="B99" s="5">
        <v>4.6539761488349329</v>
      </c>
      <c r="C99" s="5">
        <v>3.3658971963569488</v>
      </c>
      <c r="D99" s="5">
        <v>8.0198733451918827</v>
      </c>
      <c r="E99">
        <v>4295.3999999999996</v>
      </c>
      <c r="F99">
        <v>3453</v>
      </c>
      <c r="G99">
        <v>2846</v>
      </c>
      <c r="H99">
        <v>1347</v>
      </c>
    </row>
    <row r="100" spans="1:8">
      <c r="A100" s="45" t="s">
        <v>421</v>
      </c>
      <c r="B100" s="5">
        <v>5.5390527305098232</v>
      </c>
      <c r="C100" s="5">
        <v>8.585400590916219</v>
      </c>
      <c r="D100" s="5">
        <v>14.124453321426042</v>
      </c>
      <c r="E100">
        <v>0</v>
      </c>
      <c r="F100">
        <v>0</v>
      </c>
      <c r="G100">
        <v>0</v>
      </c>
      <c r="H100">
        <v>0</v>
      </c>
    </row>
    <row r="101" spans="1:8">
      <c r="A101" s="45" t="s">
        <v>415</v>
      </c>
      <c r="B101" s="5">
        <v>11.959650890323847</v>
      </c>
      <c r="C101" s="5">
        <v>10.909492829994987</v>
      </c>
      <c r="D101" s="5">
        <v>22.869143720318831</v>
      </c>
      <c r="E101">
        <v>439</v>
      </c>
      <c r="F101">
        <v>399</v>
      </c>
      <c r="G101">
        <v>386</v>
      </c>
      <c r="H101">
        <v>299</v>
      </c>
    </row>
    <row r="102" spans="1:8">
      <c r="A102" s="45" t="s">
        <v>423</v>
      </c>
      <c r="B102" s="5">
        <v>23.619420521978547</v>
      </c>
      <c r="C102" s="5">
        <v>7.2841378022417071</v>
      </c>
      <c r="D102" s="5">
        <v>30.903558324220256</v>
      </c>
      <c r="E102">
        <v>1473.2</v>
      </c>
      <c r="F102">
        <v>1328</v>
      </c>
      <c r="G102">
        <v>1288</v>
      </c>
      <c r="H102">
        <v>965</v>
      </c>
    </row>
    <row r="103" spans="1:8">
      <c r="A103" s="45" t="s">
        <v>422</v>
      </c>
      <c r="B103" s="5">
        <v>3.1285423163925481</v>
      </c>
      <c r="C103" s="5">
        <v>0.86189313914050736</v>
      </c>
      <c r="D103" s="5">
        <v>3.9904354555330555</v>
      </c>
      <c r="E103">
        <v>0</v>
      </c>
      <c r="F103">
        <v>0</v>
      </c>
      <c r="G103">
        <v>0</v>
      </c>
      <c r="H103">
        <v>0</v>
      </c>
    </row>
    <row r="104" spans="1:8">
      <c r="A104" s="45" t="s">
        <v>436</v>
      </c>
      <c r="B104" s="5">
        <v>26.277039425465251</v>
      </c>
      <c r="C104" s="5">
        <v>0</v>
      </c>
      <c r="D104" s="5">
        <v>26.277039425465251</v>
      </c>
      <c r="E104">
        <v>0</v>
      </c>
      <c r="F104">
        <v>0</v>
      </c>
      <c r="G104">
        <v>0</v>
      </c>
      <c r="H104">
        <v>0</v>
      </c>
    </row>
    <row r="105" spans="1:8">
      <c r="A105" s="45" t="s">
        <v>511</v>
      </c>
      <c r="B105" s="5">
        <v>11.076279197463501</v>
      </c>
      <c r="C105" s="5">
        <v>13.116409880463735</v>
      </c>
      <c r="D105" s="5">
        <v>24.192689077927234</v>
      </c>
      <c r="E105">
        <v>0</v>
      </c>
      <c r="F105">
        <v>0</v>
      </c>
      <c r="G105">
        <v>0</v>
      </c>
      <c r="H105">
        <v>0</v>
      </c>
    </row>
    <row r="106" spans="1:8">
      <c r="A106" s="45" t="s">
        <v>512</v>
      </c>
      <c r="B106" s="5">
        <v>2.9084123748422295</v>
      </c>
      <c r="C106" s="5">
        <v>5.6772867689757041</v>
      </c>
      <c r="D106" s="5">
        <v>8.5856991438179335</v>
      </c>
      <c r="E106">
        <v>0</v>
      </c>
      <c r="F106">
        <v>0</v>
      </c>
      <c r="G106">
        <v>0</v>
      </c>
      <c r="H106">
        <v>0</v>
      </c>
    </row>
    <row r="107" spans="1:8">
      <c r="A107" s="45" t="s">
        <v>456</v>
      </c>
      <c r="B107" s="5">
        <v>21.530399966209828</v>
      </c>
      <c r="C107" s="5">
        <v>0.22888434015213863</v>
      </c>
      <c r="D107" s="5">
        <v>21.759284306361966</v>
      </c>
      <c r="E107">
        <v>0</v>
      </c>
      <c r="F107">
        <v>0</v>
      </c>
      <c r="G107">
        <v>0</v>
      </c>
      <c r="H107">
        <v>0</v>
      </c>
    </row>
    <row r="108" spans="1:8">
      <c r="A108" s="45" t="s">
        <v>451</v>
      </c>
      <c r="B108" s="5">
        <v>1.5982150827498272</v>
      </c>
      <c r="C108" s="5">
        <v>3.52545561874269</v>
      </c>
      <c r="D108" s="5">
        <v>5.1236707014925171</v>
      </c>
      <c r="E108">
        <v>3534.6</v>
      </c>
      <c r="F108">
        <v>3217</v>
      </c>
      <c r="G108">
        <v>3008</v>
      </c>
      <c r="H108">
        <v>2423</v>
      </c>
    </row>
    <row r="109" spans="1:8">
      <c r="A109" s="45" t="s">
        <v>458</v>
      </c>
      <c r="B109" s="5">
        <v>21.879936803249734</v>
      </c>
      <c r="C109" s="5">
        <v>5.5465755405050077</v>
      </c>
      <c r="D109" s="5">
        <v>27.426512343754741</v>
      </c>
      <c r="E109">
        <v>313</v>
      </c>
      <c r="F109">
        <v>285</v>
      </c>
      <c r="G109">
        <v>279</v>
      </c>
      <c r="H109">
        <v>215</v>
      </c>
    </row>
    <row r="110" spans="1:8">
      <c r="A110" s="45" t="s">
        <v>251</v>
      </c>
      <c r="B110" s="5">
        <v>10.213029106339617</v>
      </c>
      <c r="C110" s="5">
        <v>11.329429222676788</v>
      </c>
      <c r="D110" s="5">
        <v>21.542458329016405</v>
      </c>
      <c r="E110">
        <v>12010</v>
      </c>
      <c r="F110">
        <v>11344</v>
      </c>
      <c r="G110">
        <v>10312</v>
      </c>
      <c r="H110">
        <v>9679</v>
      </c>
    </row>
    <row r="111" spans="1:8">
      <c r="A111" s="45" t="s">
        <v>416</v>
      </c>
      <c r="B111" s="5">
        <v>11.92363269504774</v>
      </c>
      <c r="C111" s="5">
        <v>2.9649907144678447</v>
      </c>
      <c r="D111" s="5">
        <v>14.888623409515585</v>
      </c>
      <c r="E111">
        <v>0</v>
      </c>
      <c r="F111">
        <v>0</v>
      </c>
      <c r="G111">
        <v>0</v>
      </c>
      <c r="H111">
        <v>0</v>
      </c>
    </row>
    <row r="112" spans="1:8">
      <c r="A112" s="45" t="s">
        <v>435</v>
      </c>
      <c r="B112" s="5">
        <v>12.870657990809839</v>
      </c>
      <c r="C112" s="5">
        <v>3.0388272438592763</v>
      </c>
      <c r="D112" s="5">
        <v>15.909485234669116</v>
      </c>
      <c r="E112">
        <v>3263.8</v>
      </c>
      <c r="F112">
        <v>3377</v>
      </c>
      <c r="G112">
        <v>3606</v>
      </c>
      <c r="H112">
        <v>3660</v>
      </c>
    </row>
    <row r="113" spans="1:8">
      <c r="A113" s="45" t="s">
        <v>450</v>
      </c>
      <c r="B113" s="5">
        <v>5.37496339947631</v>
      </c>
      <c r="C113" s="5">
        <v>14.473413832703132</v>
      </c>
      <c r="D113" s="5">
        <v>19.848377232179441</v>
      </c>
      <c r="E113">
        <v>3322703.600000001</v>
      </c>
      <c r="F113">
        <v>2921792</v>
      </c>
      <c r="G113">
        <v>2667546</v>
      </c>
      <c r="H113">
        <v>1919513</v>
      </c>
    </row>
    <row r="114" spans="1:8">
      <c r="A114" s="45" t="s">
        <v>453</v>
      </c>
      <c r="B114" s="5">
        <v>6.8884070098656149</v>
      </c>
      <c r="C114" s="5">
        <v>18.909705278664362</v>
      </c>
      <c r="D114" s="5">
        <v>25.798112288529978</v>
      </c>
      <c r="E114">
        <v>6743.8000000000011</v>
      </c>
      <c r="F114">
        <v>6143</v>
      </c>
      <c r="G114">
        <v>4375</v>
      </c>
      <c r="H114">
        <v>4641</v>
      </c>
    </row>
    <row r="115" spans="1:8">
      <c r="A115" s="45" t="s">
        <v>454</v>
      </c>
      <c r="B115" s="5">
        <v>5.210642373334621</v>
      </c>
      <c r="C115" s="5">
        <v>4.2367623657633455</v>
      </c>
      <c r="D115" s="5">
        <v>9.4474047390979656</v>
      </c>
      <c r="E115">
        <v>661</v>
      </c>
      <c r="F115">
        <v>599</v>
      </c>
      <c r="G115">
        <v>576</v>
      </c>
      <c r="H115">
        <v>444</v>
      </c>
    </row>
    <row r="116" spans="1:8">
      <c r="A116" s="45" t="s">
        <v>455</v>
      </c>
      <c r="B116" s="5">
        <v>52.912771389547807</v>
      </c>
      <c r="C116" s="5">
        <v>6.1404122253449849</v>
      </c>
      <c r="D116" s="5">
        <v>59.053183614892788</v>
      </c>
      <c r="E116">
        <v>6037.2</v>
      </c>
      <c r="F116">
        <v>5070</v>
      </c>
      <c r="G116">
        <v>4270</v>
      </c>
      <c r="H116">
        <v>2652</v>
      </c>
    </row>
    <row r="117" spans="1:8">
      <c r="A117" s="45" t="s">
        <v>334</v>
      </c>
      <c r="B117" s="5">
        <v>14.731160238807878</v>
      </c>
      <c r="C117" s="5">
        <v>18.705239447097401</v>
      </c>
      <c r="D117" s="5">
        <v>33.436399685905279</v>
      </c>
      <c r="E117">
        <v>22689.399999999998</v>
      </c>
      <c r="F117">
        <v>19693</v>
      </c>
      <c r="G117">
        <v>17117</v>
      </c>
      <c r="H117">
        <v>12202</v>
      </c>
    </row>
    <row r="118" spans="1:8">
      <c r="A118" s="45" t="s">
        <v>484</v>
      </c>
      <c r="B118" s="5">
        <v>3.597200659089351</v>
      </c>
      <c r="C118" s="5">
        <v>14.796258362499238</v>
      </c>
      <c r="D118" s="5">
        <v>18.39345902158859</v>
      </c>
      <c r="E118">
        <v>15228</v>
      </c>
      <c r="F118">
        <v>15466</v>
      </c>
      <c r="G118">
        <v>15659</v>
      </c>
      <c r="H118">
        <v>16061</v>
      </c>
    </row>
    <row r="119" spans="1:8">
      <c r="A119" s="45" t="s">
        <v>482</v>
      </c>
      <c r="B119" s="5">
        <v>1.9431515393285783</v>
      </c>
      <c r="C119" s="5">
        <v>2.2854831770958786</v>
      </c>
      <c r="D119" s="5">
        <v>4.2286347164244571</v>
      </c>
      <c r="E119">
        <v>3196</v>
      </c>
      <c r="F119">
        <v>2866</v>
      </c>
      <c r="G119">
        <v>2653</v>
      </c>
      <c r="H119">
        <v>2041</v>
      </c>
    </row>
    <row r="120" spans="1:8">
      <c r="A120" s="45" t="s">
        <v>483</v>
      </c>
      <c r="B120" s="5">
        <v>3.9137689899829313</v>
      </c>
      <c r="C120" s="5">
        <v>2.594234087859566</v>
      </c>
      <c r="D120" s="5">
        <v>6.5080030778424973</v>
      </c>
      <c r="E120">
        <v>0</v>
      </c>
      <c r="F120">
        <v>0</v>
      </c>
      <c r="G120">
        <v>0</v>
      </c>
      <c r="H120">
        <v>0</v>
      </c>
    </row>
    <row r="121" spans="1:8">
      <c r="A121" s="45" t="s">
        <v>478</v>
      </c>
      <c r="B121" s="5">
        <v>8.9398745395634804E-2</v>
      </c>
      <c r="C121" s="5">
        <v>7.4988593137330142</v>
      </c>
      <c r="D121" s="5">
        <v>7.5882580591286493</v>
      </c>
      <c r="E121">
        <v>8158.8</v>
      </c>
      <c r="F121">
        <v>7818</v>
      </c>
      <c r="G121">
        <v>11596</v>
      </c>
      <c r="H121">
        <v>6966</v>
      </c>
    </row>
    <row r="122" spans="1:8">
      <c r="A122" s="45" t="s">
        <v>481</v>
      </c>
      <c r="B122" s="5">
        <v>3.1071976348295882</v>
      </c>
      <c r="C122" s="5">
        <v>4.5999706951248172</v>
      </c>
      <c r="D122" s="5">
        <v>7.7071683299544054</v>
      </c>
      <c r="E122">
        <v>65103.6</v>
      </c>
      <c r="F122">
        <v>59504</v>
      </c>
      <c r="G122">
        <v>54804</v>
      </c>
      <c r="H122">
        <v>45505</v>
      </c>
    </row>
    <row r="123" spans="1:8">
      <c r="A123" s="45" t="s">
        <v>479</v>
      </c>
      <c r="B123" s="5">
        <v>0.55730809406968174</v>
      </c>
      <c r="C123" s="5">
        <v>4.3631414166596123</v>
      </c>
      <c r="D123" s="5">
        <v>4.920449510729294</v>
      </c>
      <c r="E123">
        <v>223835.20000000004</v>
      </c>
      <c r="F123">
        <v>207114</v>
      </c>
      <c r="G123">
        <v>146490</v>
      </c>
      <c r="H123">
        <v>165311</v>
      </c>
    </row>
    <row r="124" spans="1:8">
      <c r="A124" s="45" t="s">
        <v>480</v>
      </c>
      <c r="B124" s="5">
        <v>2.8075418239956833E-2</v>
      </c>
      <c r="C124" s="5">
        <v>5.6894514026359451</v>
      </c>
      <c r="D124" s="5">
        <v>5.7175268208759018</v>
      </c>
      <c r="E124">
        <v>17967.600000000002</v>
      </c>
      <c r="F124">
        <v>16492</v>
      </c>
      <c r="G124">
        <v>14904</v>
      </c>
      <c r="H124">
        <v>12803</v>
      </c>
    </row>
    <row r="125" spans="1:8">
      <c r="A125" s="45" t="s">
        <v>486</v>
      </c>
      <c r="B125" s="5">
        <v>2.53420483135951</v>
      </c>
      <c r="C125" s="5">
        <v>3.6651778111883737</v>
      </c>
      <c r="D125" s="5">
        <v>6.1993826425478833</v>
      </c>
      <c r="E125">
        <v>1613.6</v>
      </c>
      <c r="F125">
        <v>1460</v>
      </c>
      <c r="G125">
        <v>1396</v>
      </c>
      <c r="H125">
        <v>1076</v>
      </c>
    </row>
    <row r="126" spans="1:8">
      <c r="A126" s="45" t="s">
        <v>487</v>
      </c>
      <c r="B126" s="5">
        <v>1.6633954987481694</v>
      </c>
      <c r="C126" s="5">
        <v>7.8856916228290519</v>
      </c>
      <c r="D126" s="5">
        <v>9.5490871215772213</v>
      </c>
      <c r="E126">
        <v>7750.6</v>
      </c>
      <c r="F126">
        <v>7297</v>
      </c>
      <c r="G126">
        <v>7095</v>
      </c>
      <c r="H126">
        <v>6163</v>
      </c>
    </row>
    <row r="127" spans="1:8">
      <c r="A127" s="45" t="s">
        <v>489</v>
      </c>
      <c r="B127" s="5">
        <v>1.7542516793260428</v>
      </c>
      <c r="C127" s="5">
        <v>10.95370858776962</v>
      </c>
      <c r="D127" s="5">
        <v>12.707960267095663</v>
      </c>
      <c r="E127">
        <v>16515.8</v>
      </c>
      <c r="F127">
        <v>15733</v>
      </c>
      <c r="G127">
        <v>15101</v>
      </c>
      <c r="H127">
        <v>13776</v>
      </c>
    </row>
    <row r="128" spans="1:8">
      <c r="A128" s="45" t="s">
        <v>488</v>
      </c>
      <c r="B128" s="5">
        <v>5.6443324380139224</v>
      </c>
      <c r="C128" s="5">
        <v>8.6642410880573433</v>
      </c>
      <c r="D128" s="5">
        <v>14.308573526071266</v>
      </c>
      <c r="E128">
        <v>9955.4</v>
      </c>
      <c r="F128">
        <v>8951</v>
      </c>
      <c r="G128">
        <v>8308</v>
      </c>
      <c r="H128">
        <v>6440</v>
      </c>
    </row>
    <row r="129" spans="1:8">
      <c r="A129" s="45" t="s">
        <v>490</v>
      </c>
      <c r="B129" s="5">
        <v>14.438584304723284</v>
      </c>
      <c r="C129" s="5">
        <v>16.125285649421453</v>
      </c>
      <c r="D129" s="5">
        <v>30.563869954144735</v>
      </c>
      <c r="E129">
        <v>65409.8</v>
      </c>
      <c r="F129">
        <v>57681</v>
      </c>
      <c r="G129">
        <v>52862</v>
      </c>
      <c r="H129">
        <v>38359</v>
      </c>
    </row>
    <row r="130" spans="1:8">
      <c r="A130" s="45" t="s">
        <v>491</v>
      </c>
      <c r="B130" s="5">
        <v>9.9319586249093508</v>
      </c>
      <c r="C130" s="5">
        <v>7.912013989035084</v>
      </c>
      <c r="D130" s="5">
        <v>17.843972613944434</v>
      </c>
      <c r="E130">
        <v>5976.4</v>
      </c>
      <c r="F130">
        <v>5424</v>
      </c>
      <c r="G130">
        <v>5127</v>
      </c>
      <c r="H130">
        <v>4043</v>
      </c>
    </row>
    <row r="131" spans="1:8">
      <c r="A131" s="45" t="s">
        <v>492</v>
      </c>
      <c r="B131" s="5">
        <v>2.3392370701259111</v>
      </c>
      <c r="C131" s="5">
        <v>4.0184608333118916</v>
      </c>
      <c r="D131" s="5">
        <v>6.3576979034378027</v>
      </c>
      <c r="E131">
        <v>5695</v>
      </c>
      <c r="F131">
        <v>6231</v>
      </c>
      <c r="G131">
        <v>6550</v>
      </c>
      <c r="H131">
        <v>7571</v>
      </c>
    </row>
    <row r="132" spans="1:8">
      <c r="A132" s="45" t="s">
        <v>494</v>
      </c>
      <c r="B132" s="5">
        <v>17.703225003009173</v>
      </c>
      <c r="C132" s="5">
        <v>1.3902001182857153</v>
      </c>
      <c r="D132" s="5">
        <v>19.093425121294889</v>
      </c>
      <c r="E132">
        <v>0</v>
      </c>
      <c r="F132">
        <v>0</v>
      </c>
      <c r="G132">
        <v>0</v>
      </c>
      <c r="H132">
        <v>0</v>
      </c>
    </row>
    <row r="133" spans="1:8">
      <c r="A133" s="45" t="s">
        <v>513</v>
      </c>
      <c r="B133" s="5">
        <v>0.31337037895214814</v>
      </c>
      <c r="C133" s="5">
        <v>3.610406505586464</v>
      </c>
      <c r="D133" s="5">
        <v>3.9237768845386123</v>
      </c>
      <c r="E133">
        <v>0</v>
      </c>
      <c r="F133">
        <v>0</v>
      </c>
      <c r="G133">
        <v>0</v>
      </c>
      <c r="H133">
        <v>0</v>
      </c>
    </row>
    <row r="134" spans="1:8">
      <c r="A134" s="45" t="s">
        <v>514</v>
      </c>
      <c r="B134" s="5">
        <v>0.98932358658258179</v>
      </c>
      <c r="C134" s="5">
        <v>0.96858228137508318</v>
      </c>
      <c r="D134" s="5">
        <v>1.9579058679576651</v>
      </c>
      <c r="E134">
        <v>0</v>
      </c>
      <c r="F134">
        <v>0</v>
      </c>
      <c r="G134">
        <v>0</v>
      </c>
      <c r="H134">
        <v>0</v>
      </c>
    </row>
    <row r="135" spans="1:8">
      <c r="A135" s="45" t="s">
        <v>465</v>
      </c>
      <c r="B135" s="5">
        <v>11.130895121985263</v>
      </c>
      <c r="C135" s="5">
        <v>20.62399809560247</v>
      </c>
      <c r="D135" s="5">
        <v>31.754893217587735</v>
      </c>
      <c r="E135">
        <v>6487.1999999999989</v>
      </c>
      <c r="F135">
        <v>5848</v>
      </c>
      <c r="G135">
        <v>5447</v>
      </c>
      <c r="H135">
        <v>4250</v>
      </c>
    </row>
    <row r="136" spans="1:8">
      <c r="A136" s="45" t="s">
        <v>464</v>
      </c>
      <c r="B136" s="5">
        <v>1.8321981724505816</v>
      </c>
      <c r="C136" s="5">
        <v>4.2111257987180206</v>
      </c>
      <c r="D136" s="5">
        <v>6.0433239711686024</v>
      </c>
      <c r="E136">
        <v>6646.4000000000005</v>
      </c>
      <c r="F136">
        <v>5746</v>
      </c>
      <c r="G136">
        <v>5184</v>
      </c>
      <c r="H136">
        <v>3495</v>
      </c>
    </row>
    <row r="137" spans="1:8">
      <c r="A137" s="45" t="s">
        <v>158</v>
      </c>
      <c r="B137" s="5">
        <v>6.7042541976768373</v>
      </c>
      <c r="C137" s="5">
        <v>13.539992028433968</v>
      </c>
      <c r="D137" s="5">
        <v>20.244246226110803</v>
      </c>
      <c r="E137">
        <v>67251</v>
      </c>
      <c r="F137">
        <v>59065</v>
      </c>
      <c r="G137">
        <v>52830</v>
      </c>
      <c r="H137">
        <v>38600</v>
      </c>
    </row>
    <row r="138" spans="1:8">
      <c r="A138" s="45" t="s">
        <v>506</v>
      </c>
      <c r="B138" s="5">
        <v>1.5255365906283691</v>
      </c>
      <c r="C138" s="5">
        <v>22.799837132143658</v>
      </c>
      <c r="D138" s="5">
        <v>24.325373722772028</v>
      </c>
      <c r="E138">
        <v>54705.200000000004</v>
      </c>
      <c r="F138">
        <v>48726</v>
      </c>
      <c r="G138">
        <v>45834</v>
      </c>
      <c r="H138">
        <v>33778</v>
      </c>
    </row>
    <row r="139" spans="1:8">
      <c r="A139" s="45" t="s">
        <v>466</v>
      </c>
      <c r="B139" s="5">
        <v>2.1118351887591338</v>
      </c>
      <c r="C139" s="5">
        <v>3.3738172014837406</v>
      </c>
      <c r="D139" s="5">
        <v>5.4856523902428744</v>
      </c>
      <c r="E139">
        <v>231915.2</v>
      </c>
      <c r="F139">
        <v>201822</v>
      </c>
      <c r="G139">
        <v>178786</v>
      </c>
      <c r="H139">
        <v>126589</v>
      </c>
    </row>
    <row r="140" spans="1:8">
      <c r="A140" s="45" t="s">
        <v>474</v>
      </c>
      <c r="B140" s="5">
        <v>4.3945116069980772</v>
      </c>
      <c r="C140" s="5">
        <v>9.0459156485074956</v>
      </c>
      <c r="D140" s="5">
        <v>13.440427255505572</v>
      </c>
      <c r="E140">
        <v>18606.000000000004</v>
      </c>
      <c r="F140">
        <v>18016</v>
      </c>
      <c r="G140">
        <v>17258</v>
      </c>
      <c r="H140">
        <v>16541</v>
      </c>
    </row>
    <row r="141" spans="1:8">
      <c r="A141" s="45" t="s">
        <v>473</v>
      </c>
      <c r="B141" s="5">
        <v>0.58142659609401826</v>
      </c>
      <c r="C141" s="5">
        <v>8.621049333739764</v>
      </c>
      <c r="D141" s="5">
        <v>9.202475929833783</v>
      </c>
      <c r="E141">
        <v>88001.8</v>
      </c>
      <c r="F141">
        <v>79699</v>
      </c>
      <c r="G141">
        <v>72070</v>
      </c>
      <c r="H141">
        <v>58942</v>
      </c>
    </row>
    <row r="142" spans="1:8">
      <c r="A142" s="45" t="s">
        <v>467</v>
      </c>
      <c r="B142" s="5">
        <v>0.85495869110333444</v>
      </c>
      <c r="C142" s="5">
        <v>4.8105927167579328</v>
      </c>
      <c r="D142" s="5">
        <v>5.6655514078612672</v>
      </c>
      <c r="E142">
        <v>1716299.1999999997</v>
      </c>
      <c r="F142">
        <v>1547330</v>
      </c>
      <c r="G142">
        <v>1397740</v>
      </c>
      <c r="H142">
        <v>1124907</v>
      </c>
    </row>
    <row r="143" spans="1:8">
      <c r="A143" s="45" t="s">
        <v>275</v>
      </c>
      <c r="B143" s="5">
        <v>4.1173764041977963</v>
      </c>
      <c r="C143" s="5">
        <v>15.048938446738573</v>
      </c>
      <c r="D143" s="5">
        <v>19.16631485093637</v>
      </c>
      <c r="E143">
        <v>328006.99999999994</v>
      </c>
      <c r="F143">
        <v>303133</v>
      </c>
      <c r="G143">
        <v>267555</v>
      </c>
      <c r="H143">
        <v>240948</v>
      </c>
    </row>
    <row r="144" spans="1:8">
      <c r="A144" s="45" t="s">
        <v>470</v>
      </c>
      <c r="B144" s="5">
        <v>5.421475516416125</v>
      </c>
      <c r="C144" s="5">
        <v>6.2631399794954827</v>
      </c>
      <c r="D144" s="5">
        <v>11.684615495911608</v>
      </c>
      <c r="E144">
        <v>8139.4</v>
      </c>
      <c r="F144">
        <v>7329</v>
      </c>
      <c r="G144">
        <v>6893</v>
      </c>
      <c r="H144">
        <v>5303</v>
      </c>
    </row>
    <row r="145" spans="1:8">
      <c r="A145" s="45" t="s">
        <v>469</v>
      </c>
      <c r="B145" s="5">
        <v>0.4408310320528831</v>
      </c>
      <c r="C145" s="5">
        <v>2.3368444858588422</v>
      </c>
      <c r="D145" s="5">
        <v>2.7776755179117254</v>
      </c>
      <c r="E145">
        <v>76158.2</v>
      </c>
      <c r="F145">
        <v>65313</v>
      </c>
      <c r="G145">
        <v>54642</v>
      </c>
      <c r="H145">
        <v>38200</v>
      </c>
    </row>
    <row r="146" spans="1:8">
      <c r="A146" s="45" t="s">
        <v>472</v>
      </c>
      <c r="B146" s="5">
        <v>2.3054103584062093</v>
      </c>
      <c r="C146" s="5">
        <v>10.494420435718441</v>
      </c>
      <c r="D146" s="5">
        <v>12.799830794124651</v>
      </c>
      <c r="E146">
        <v>66445.600000000006</v>
      </c>
      <c r="F146">
        <v>59744</v>
      </c>
      <c r="G146">
        <v>53911</v>
      </c>
      <c r="H146">
        <v>42990</v>
      </c>
    </row>
    <row r="147" spans="1:8">
      <c r="A147" s="45" t="s">
        <v>276</v>
      </c>
      <c r="B147" s="5">
        <v>2.029703652125697</v>
      </c>
      <c r="C147" s="5">
        <v>30.995983776418996</v>
      </c>
      <c r="D147" s="5">
        <v>33.025687428544693</v>
      </c>
      <c r="E147">
        <v>153904</v>
      </c>
      <c r="F147">
        <v>147182</v>
      </c>
      <c r="G147">
        <v>145304</v>
      </c>
      <c r="H147">
        <v>130377</v>
      </c>
    </row>
    <row r="148" spans="1:8">
      <c r="A148" s="45" t="s">
        <v>475</v>
      </c>
      <c r="B148" s="5">
        <v>8.4847774741147202</v>
      </c>
      <c r="C148" s="5">
        <v>16.014490304033956</v>
      </c>
      <c r="D148" s="5">
        <v>24.499267778148678</v>
      </c>
      <c r="E148">
        <v>11119.4</v>
      </c>
      <c r="F148">
        <v>10351</v>
      </c>
      <c r="G148">
        <v>9786</v>
      </c>
      <c r="H148">
        <v>8430</v>
      </c>
    </row>
    <row r="149" spans="1:8">
      <c r="A149" s="45" t="s">
        <v>477</v>
      </c>
      <c r="B149" s="5">
        <v>0.21923064133230002</v>
      </c>
      <c r="C149" s="5">
        <v>40.072386488829345</v>
      </c>
      <c r="D149" s="5">
        <v>40.291617130161647</v>
      </c>
      <c r="E149">
        <v>134958.00000000003</v>
      </c>
      <c r="F149">
        <v>122674</v>
      </c>
      <c r="G149">
        <v>111085</v>
      </c>
      <c r="H149">
        <v>91964</v>
      </c>
    </row>
    <row r="150" spans="1:8">
      <c r="A150" s="45" t="s">
        <v>476</v>
      </c>
      <c r="B150" s="5">
        <v>0.36479345284774639</v>
      </c>
      <c r="C150" s="5">
        <v>15.655628989359515</v>
      </c>
      <c r="D150" s="5">
        <v>16.020422442207263</v>
      </c>
      <c r="E150">
        <v>35821</v>
      </c>
      <c r="F150">
        <v>34481</v>
      </c>
      <c r="G150">
        <v>30943</v>
      </c>
      <c r="H150">
        <v>31131</v>
      </c>
    </row>
    <row r="151" spans="1:8">
      <c r="A151" s="45" t="s">
        <v>356</v>
      </c>
      <c r="B151" s="5">
        <v>3.2807359644997933</v>
      </c>
      <c r="C151" s="5">
        <v>7.7844988197297784</v>
      </c>
      <c r="D151" s="5">
        <v>11.065234784229572</v>
      </c>
      <c r="E151">
        <v>24719.000000000004</v>
      </c>
      <c r="F151">
        <v>22539</v>
      </c>
      <c r="G151">
        <v>21195</v>
      </c>
      <c r="H151">
        <v>17089</v>
      </c>
    </row>
    <row r="152" spans="1:8">
      <c r="A152" s="45" t="s">
        <v>359</v>
      </c>
      <c r="B152" s="5">
        <v>8.8989818587669323</v>
      </c>
      <c r="C152" s="5">
        <v>19.029444543408601</v>
      </c>
      <c r="D152" s="5">
        <v>27.928426402175532</v>
      </c>
      <c r="E152">
        <v>17902.2</v>
      </c>
      <c r="F152">
        <v>15175</v>
      </c>
      <c r="G152">
        <v>13115</v>
      </c>
      <c r="H152">
        <v>8357</v>
      </c>
    </row>
    <row r="153" spans="1:8">
      <c r="A153" s="45" t="s">
        <v>357</v>
      </c>
      <c r="B153" s="5">
        <v>3.2411639649732309</v>
      </c>
      <c r="C153" s="5">
        <v>7.1839236206543742</v>
      </c>
      <c r="D153" s="5">
        <v>10.425087585627605</v>
      </c>
      <c r="E153">
        <v>15857.599999999997</v>
      </c>
      <c r="F153">
        <v>13890</v>
      </c>
      <c r="G153">
        <v>12434</v>
      </c>
      <c r="H153">
        <v>8971</v>
      </c>
    </row>
    <row r="154" spans="1:8">
      <c r="A154" s="45" t="s">
        <v>358</v>
      </c>
      <c r="B154" s="5">
        <v>6.3044959912785998</v>
      </c>
      <c r="C154" s="5">
        <v>7.0465725435131077</v>
      </c>
      <c r="D154" s="5">
        <v>13.351068534791708</v>
      </c>
      <c r="E154">
        <v>6218.6000000000013</v>
      </c>
      <c r="F154">
        <v>5597</v>
      </c>
      <c r="G154">
        <v>5258</v>
      </c>
      <c r="H154">
        <v>4043</v>
      </c>
    </row>
    <row r="155" spans="1:8">
      <c r="A155" s="45" t="s">
        <v>361</v>
      </c>
      <c r="B155" s="5">
        <v>1.9348860309002025</v>
      </c>
      <c r="C155" s="5">
        <v>2.3679398199639077</v>
      </c>
      <c r="D155" s="5">
        <v>4.3028258508641102</v>
      </c>
      <c r="E155">
        <v>2818</v>
      </c>
      <c r="F155">
        <v>2540</v>
      </c>
      <c r="G155">
        <v>2397</v>
      </c>
      <c r="H155">
        <v>1845</v>
      </c>
    </row>
    <row r="156" spans="1:8">
      <c r="A156" s="45" t="s">
        <v>362</v>
      </c>
      <c r="B156" s="5">
        <v>3.9583817133874231</v>
      </c>
      <c r="C156" s="5">
        <v>0.98751172807849841</v>
      </c>
      <c r="D156" s="5">
        <v>4.9458934414659215</v>
      </c>
      <c r="E156">
        <v>2514.4</v>
      </c>
      <c r="F156">
        <v>2458</v>
      </c>
      <c r="G156">
        <v>2423</v>
      </c>
      <c r="H156">
        <v>2317</v>
      </c>
    </row>
    <row r="157" spans="1:8">
      <c r="A157" s="45" t="s">
        <v>369</v>
      </c>
      <c r="B157" s="5">
        <v>12.85879530655231</v>
      </c>
      <c r="C157" s="5">
        <v>1.2700358838794759</v>
      </c>
      <c r="D157" s="5">
        <v>14.128831190431786</v>
      </c>
      <c r="E157">
        <v>0</v>
      </c>
      <c r="F157">
        <v>0</v>
      </c>
      <c r="G157">
        <v>0</v>
      </c>
      <c r="H157">
        <v>0</v>
      </c>
    </row>
    <row r="158" spans="1:8">
      <c r="A158" s="45" t="s">
        <v>503</v>
      </c>
      <c r="B158" s="5">
        <v>0.6298022813511841</v>
      </c>
      <c r="C158" s="5">
        <v>5.4023461842798763</v>
      </c>
      <c r="D158" s="5">
        <v>6.0321484656310602</v>
      </c>
      <c r="E158">
        <v>17360.399999999998</v>
      </c>
      <c r="F158">
        <v>16370</v>
      </c>
      <c r="G158">
        <v>15797</v>
      </c>
      <c r="H158">
        <v>13894</v>
      </c>
    </row>
    <row r="159" spans="1:8">
      <c r="A159" s="45" t="s">
        <v>502</v>
      </c>
      <c r="B159" s="5">
        <v>1.0007229962692383</v>
      </c>
      <c r="C159" s="5">
        <v>9.7853158400515596</v>
      </c>
      <c r="D159" s="5">
        <v>10.786038836320799</v>
      </c>
      <c r="E159">
        <v>16137.800000000001</v>
      </c>
      <c r="F159">
        <v>14547</v>
      </c>
      <c r="G159">
        <v>13733</v>
      </c>
      <c r="H159">
        <v>10570</v>
      </c>
    </row>
    <row r="160" spans="1:8">
      <c r="A160" s="45" t="s">
        <v>405</v>
      </c>
      <c r="B160" s="5">
        <v>8.4638451585315444</v>
      </c>
      <c r="C160" s="5">
        <v>5.6872073458024435</v>
      </c>
      <c r="D160" s="5">
        <v>14.151052504333988</v>
      </c>
      <c r="E160">
        <v>0</v>
      </c>
      <c r="F160">
        <v>0</v>
      </c>
      <c r="G160">
        <v>0</v>
      </c>
      <c r="H160">
        <v>0</v>
      </c>
    </row>
    <row r="161" spans="1:8">
      <c r="A161" s="45" t="s">
        <v>447</v>
      </c>
      <c r="B161" s="5">
        <v>12.161076355952218</v>
      </c>
      <c r="C161" s="5">
        <v>30.997425672315071</v>
      </c>
      <c r="D161" s="5">
        <v>43.158502028267293</v>
      </c>
      <c r="E161">
        <v>15127.199999999999</v>
      </c>
      <c r="F161">
        <v>14014</v>
      </c>
      <c r="G161">
        <v>13344</v>
      </c>
      <c r="H161">
        <v>11231</v>
      </c>
    </row>
    <row r="162" spans="1:8">
      <c r="A162" s="45" t="s">
        <v>437</v>
      </c>
      <c r="B162" s="5">
        <v>37.420310235100523</v>
      </c>
      <c r="C162" s="5">
        <v>8.7874371375746083</v>
      </c>
      <c r="D162" s="5">
        <v>46.207747372675129</v>
      </c>
      <c r="E162">
        <v>4109.3999999999996</v>
      </c>
      <c r="F162">
        <v>4357</v>
      </c>
      <c r="G162">
        <v>3696</v>
      </c>
      <c r="H162">
        <v>4976</v>
      </c>
    </row>
    <row r="163" spans="1:8">
      <c r="A163" s="45" t="s">
        <v>459</v>
      </c>
      <c r="B163" s="5">
        <v>5.0666667595793085</v>
      </c>
      <c r="C163" s="5">
        <v>5.7081137548478198</v>
      </c>
      <c r="D163" s="5">
        <v>10.774780514427128</v>
      </c>
      <c r="E163">
        <v>3175.6000000000004</v>
      </c>
      <c r="F163">
        <v>3294</v>
      </c>
      <c r="G163">
        <v>3224</v>
      </c>
      <c r="H163">
        <v>3590</v>
      </c>
    </row>
    <row r="164" spans="1:8">
      <c r="A164" s="45" t="s">
        <v>460</v>
      </c>
      <c r="B164" s="5">
        <v>0.86046322546378184</v>
      </c>
      <c r="C164" s="5">
        <v>2.0177098611926505</v>
      </c>
      <c r="D164" s="5">
        <v>2.8781730866564326</v>
      </c>
      <c r="E164">
        <v>115356.4</v>
      </c>
      <c r="F164">
        <v>103186</v>
      </c>
      <c r="G164">
        <v>97775</v>
      </c>
      <c r="H164">
        <v>72760</v>
      </c>
    </row>
    <row r="165" spans="1:8">
      <c r="A165" s="45" t="s">
        <v>499</v>
      </c>
      <c r="B165" s="5">
        <v>3.2070189186301823</v>
      </c>
      <c r="C165" s="5">
        <v>6.6855274097750446</v>
      </c>
      <c r="D165" s="5">
        <v>9.8925463284052277</v>
      </c>
      <c r="E165">
        <v>25497.399999999998</v>
      </c>
      <c r="F165">
        <v>22609</v>
      </c>
      <c r="G165">
        <v>21195</v>
      </c>
      <c r="H165">
        <v>15388</v>
      </c>
    </row>
    <row r="166" spans="1:8">
      <c r="A166" s="45" t="s">
        <v>463</v>
      </c>
      <c r="B166" s="5">
        <v>3.5902018888374405</v>
      </c>
      <c r="C166" s="5">
        <v>6.701454031561882</v>
      </c>
      <c r="D166" s="5">
        <v>10.291655920399322</v>
      </c>
      <c r="E166">
        <v>4566.6000000000004</v>
      </c>
      <c r="F166">
        <v>4147</v>
      </c>
      <c r="G166">
        <v>3949</v>
      </c>
      <c r="H166">
        <v>3098</v>
      </c>
    </row>
    <row r="167" spans="1:8">
      <c r="A167" s="45" t="s">
        <v>461</v>
      </c>
      <c r="B167" s="5">
        <v>3.2638495148763598</v>
      </c>
      <c r="C167" s="5">
        <v>5.4275064108569246</v>
      </c>
      <c r="D167" s="5">
        <v>8.6913559257332835</v>
      </c>
      <c r="E167">
        <v>9562.8000000000011</v>
      </c>
      <c r="F167">
        <v>7900</v>
      </c>
      <c r="G167">
        <v>7130</v>
      </c>
      <c r="H167">
        <v>3743</v>
      </c>
    </row>
    <row r="168" spans="1:8">
      <c r="A168" s="45" t="s">
        <v>462</v>
      </c>
      <c r="B168" s="5">
        <v>4.7556732055685753</v>
      </c>
      <c r="C168" s="5">
        <v>2.2275093302346898</v>
      </c>
      <c r="D168" s="5">
        <v>6.9831825358032651</v>
      </c>
      <c r="E168">
        <v>0</v>
      </c>
      <c r="F168">
        <v>0</v>
      </c>
      <c r="G168">
        <v>0</v>
      </c>
      <c r="H168">
        <v>0</v>
      </c>
    </row>
    <row r="169" spans="1:8">
      <c r="A169" s="45" t="s">
        <v>351</v>
      </c>
      <c r="B169" s="5">
        <v>3.2829296254547677</v>
      </c>
      <c r="C169" s="5">
        <v>4.039913664506515</v>
      </c>
      <c r="D169" s="5">
        <v>7.3228432899612823</v>
      </c>
      <c r="E169">
        <v>69572.600000000006</v>
      </c>
      <c r="F169">
        <v>59401</v>
      </c>
      <c r="G169">
        <v>51403</v>
      </c>
      <c r="H169">
        <v>33972</v>
      </c>
    </row>
    <row r="170" spans="1:8">
      <c r="A170" s="45" t="s">
        <v>352</v>
      </c>
      <c r="B170" s="5">
        <v>6.6003322695047695</v>
      </c>
      <c r="C170" s="5">
        <v>0.62981297394701974</v>
      </c>
      <c r="D170" s="5">
        <v>7.2301452434517888</v>
      </c>
      <c r="E170">
        <v>1010.2</v>
      </c>
      <c r="F170">
        <v>915</v>
      </c>
      <c r="G170">
        <v>878</v>
      </c>
      <c r="H170">
        <v>677</v>
      </c>
    </row>
    <row r="171" spans="1:8">
      <c r="A171" s="45" t="s">
        <v>135</v>
      </c>
      <c r="B171" s="5">
        <v>10.628943797220057</v>
      </c>
      <c r="C171" s="5">
        <v>3.0227786077914822</v>
      </c>
      <c r="D171" s="5">
        <v>13.651722405011538</v>
      </c>
      <c r="E171">
        <v>7440.1999999999989</v>
      </c>
      <c r="F171">
        <v>6333</v>
      </c>
      <c r="G171">
        <v>5498</v>
      </c>
      <c r="H171">
        <v>3565</v>
      </c>
    </row>
    <row r="172" spans="1:8">
      <c r="A172" s="45" t="s">
        <v>353</v>
      </c>
      <c r="B172" s="5">
        <v>30.460890991787153</v>
      </c>
      <c r="C172" s="5">
        <v>5.6269501287474464</v>
      </c>
      <c r="D172" s="5">
        <v>36.087841120534598</v>
      </c>
      <c r="E172">
        <v>3584.4</v>
      </c>
      <c r="F172">
        <v>3576</v>
      </c>
      <c r="G172">
        <v>1943</v>
      </c>
      <c r="H172">
        <v>3555</v>
      </c>
    </row>
    <row r="173" spans="1:8">
      <c r="A173" s="45" t="s">
        <v>137</v>
      </c>
      <c r="B173" s="5">
        <v>13.385836943183605</v>
      </c>
      <c r="C173" s="5">
        <v>11.461259484375748</v>
      </c>
      <c r="D173" s="5">
        <v>24.847096427559354</v>
      </c>
      <c r="E173">
        <v>3417.2</v>
      </c>
      <c r="F173">
        <v>3078</v>
      </c>
      <c r="G173">
        <v>2963</v>
      </c>
      <c r="H173">
        <v>2230</v>
      </c>
    </row>
    <row r="174" spans="1:8">
      <c r="A174" s="45" t="s">
        <v>355</v>
      </c>
      <c r="B174" s="5">
        <v>5.3716147252381976</v>
      </c>
      <c r="C174" s="5">
        <v>8.1006053605190438</v>
      </c>
      <c r="D174" s="5">
        <v>13.472220085757241</v>
      </c>
      <c r="E174">
        <v>8655.4</v>
      </c>
      <c r="F174">
        <v>7575</v>
      </c>
      <c r="G174">
        <v>6939</v>
      </c>
      <c r="H174">
        <v>4874</v>
      </c>
    </row>
    <row r="175" spans="1:8">
      <c r="A175" s="45" t="s">
        <v>354</v>
      </c>
      <c r="B175" s="5">
        <v>28.51009283462605</v>
      </c>
      <c r="C175" s="5">
        <v>5.6659753621048363</v>
      </c>
      <c r="D175" s="5">
        <v>34.176068196730888</v>
      </c>
      <c r="E175">
        <v>3289.2</v>
      </c>
      <c r="F175">
        <v>2992</v>
      </c>
      <c r="G175">
        <v>2764</v>
      </c>
      <c r="H175">
        <v>2249</v>
      </c>
    </row>
    <row r="176" spans="1:8">
      <c r="A176" s="45" t="s">
        <v>153</v>
      </c>
      <c r="B176" s="5">
        <v>3.1794138293446235</v>
      </c>
      <c r="C176" s="5">
        <v>5.7073543690480966</v>
      </c>
      <c r="D176" s="5">
        <v>8.8867681983927191</v>
      </c>
      <c r="E176">
        <v>13473.6</v>
      </c>
      <c r="F176">
        <v>12330</v>
      </c>
      <c r="G176">
        <v>11514</v>
      </c>
      <c r="H176">
        <v>9471</v>
      </c>
    </row>
    <row r="177" spans="1:8">
      <c r="A177" s="45" t="s">
        <v>131</v>
      </c>
      <c r="B177" s="5">
        <v>4.8823888578539236</v>
      </c>
      <c r="C177" s="5">
        <v>4.5863272239993602</v>
      </c>
      <c r="D177" s="5">
        <v>9.4687160818532838</v>
      </c>
      <c r="E177">
        <v>12819</v>
      </c>
      <c r="F177">
        <v>11567</v>
      </c>
      <c r="G177">
        <v>10695</v>
      </c>
      <c r="H177">
        <v>8437</v>
      </c>
    </row>
    <row r="178" spans="1:8">
      <c r="A178" s="45" t="s">
        <v>452</v>
      </c>
      <c r="B178" s="5">
        <v>4.8359391806187659</v>
      </c>
      <c r="C178" s="5">
        <v>7.7236552548787238E-2</v>
      </c>
      <c r="D178" s="5">
        <v>4.9131757331675532</v>
      </c>
      <c r="E178">
        <v>0</v>
      </c>
      <c r="F178">
        <v>0</v>
      </c>
      <c r="G178">
        <v>0</v>
      </c>
      <c r="H178">
        <v>0</v>
      </c>
    </row>
    <row r="179" spans="1:8">
      <c r="A179" s="45" t="s">
        <v>433</v>
      </c>
      <c r="B179" s="5">
        <v>0.95171063390014032</v>
      </c>
      <c r="C179" s="5">
        <v>1.6157375243109413</v>
      </c>
      <c r="D179" s="5">
        <v>2.5674481582110817</v>
      </c>
      <c r="E179">
        <v>0</v>
      </c>
      <c r="F179">
        <v>0</v>
      </c>
      <c r="G179">
        <v>0</v>
      </c>
      <c r="H179">
        <v>0</v>
      </c>
    </row>
    <row r="180" spans="1:8">
      <c r="A180" s="45" t="s">
        <v>387</v>
      </c>
      <c r="B180" s="5">
        <v>0.67424383356246531</v>
      </c>
      <c r="C180" s="5">
        <v>4.3470028412831816</v>
      </c>
      <c r="D180" s="5">
        <v>5.0212466748456466</v>
      </c>
      <c r="E180">
        <v>28068.6</v>
      </c>
      <c r="F180">
        <v>22877</v>
      </c>
      <c r="G180">
        <v>18539</v>
      </c>
      <c r="H180">
        <v>9898</v>
      </c>
    </row>
    <row r="181" spans="1:8">
      <c r="A181" s="45" t="s">
        <v>442</v>
      </c>
      <c r="B181" s="5">
        <v>41.875476669303929</v>
      </c>
      <c r="C181" s="5">
        <v>4.6523307196060957</v>
      </c>
      <c r="D181" s="5">
        <v>46.527807388910027</v>
      </c>
      <c r="E181">
        <v>6785</v>
      </c>
      <c r="F181">
        <v>5571</v>
      </c>
      <c r="G181">
        <v>4905</v>
      </c>
      <c r="H181">
        <v>2536</v>
      </c>
    </row>
    <row r="182" spans="1:8">
      <c r="A182" s="45" t="s">
        <v>425</v>
      </c>
      <c r="B182" s="5">
        <v>4.3841586381014634</v>
      </c>
      <c r="C182" s="5">
        <v>12.981690661674749</v>
      </c>
      <c r="D182" s="5">
        <v>17.365849299776212</v>
      </c>
      <c r="E182">
        <v>3334.7999999999997</v>
      </c>
      <c r="F182">
        <v>3232</v>
      </c>
      <c r="G182">
        <v>7970</v>
      </c>
      <c r="H182">
        <v>2975</v>
      </c>
    </row>
    <row r="183" spans="1:8">
      <c r="A183" s="45" t="s">
        <v>214</v>
      </c>
      <c r="B183" s="5">
        <v>1.760159545117576</v>
      </c>
      <c r="C183" s="5">
        <v>9.6513657712682175</v>
      </c>
      <c r="D183" s="5">
        <v>11.411525316385793</v>
      </c>
      <c r="E183">
        <v>5808.8000000000011</v>
      </c>
      <c r="F183">
        <v>5304</v>
      </c>
      <c r="G183">
        <v>4623</v>
      </c>
      <c r="H183">
        <v>4042</v>
      </c>
    </row>
    <row r="184" spans="1:8">
      <c r="A184" s="45" t="s">
        <v>427</v>
      </c>
      <c r="B184" s="5">
        <v>0.8158159672780434</v>
      </c>
      <c r="C184" s="5">
        <v>13.895084230170525</v>
      </c>
      <c r="D184" s="5">
        <v>14.710900197448568</v>
      </c>
      <c r="E184">
        <v>55096.000000000007</v>
      </c>
      <c r="F184">
        <v>52622</v>
      </c>
      <c r="G184">
        <v>50987</v>
      </c>
      <c r="H184">
        <v>46437</v>
      </c>
    </row>
    <row r="185" spans="1:8">
      <c r="A185" s="45" t="s">
        <v>217</v>
      </c>
      <c r="B185" s="5">
        <v>3.47697049183998</v>
      </c>
      <c r="C185" s="5">
        <v>14.999262910757508</v>
      </c>
      <c r="D185" s="5">
        <v>18.476233402597487</v>
      </c>
      <c r="E185">
        <v>42265.200000000004</v>
      </c>
      <c r="F185">
        <v>37018</v>
      </c>
      <c r="G185">
        <v>32835</v>
      </c>
      <c r="H185">
        <v>23900</v>
      </c>
    </row>
    <row r="186" spans="1:8">
      <c r="A186" s="45" t="s">
        <v>429</v>
      </c>
      <c r="B186" s="5">
        <v>7.897037662254955</v>
      </c>
      <c r="C186" s="5">
        <v>20.429399153216231</v>
      </c>
      <c r="D186" s="5">
        <v>28.326436815471187</v>
      </c>
      <c r="E186">
        <v>10276.4</v>
      </c>
      <c r="F186">
        <v>10016</v>
      </c>
      <c r="G186">
        <v>9826</v>
      </c>
      <c r="H186">
        <v>9365</v>
      </c>
    </row>
    <row r="187" spans="1:8">
      <c r="A187" s="45" t="s">
        <v>319</v>
      </c>
      <c r="B187" s="5">
        <v>7.1589175659053934</v>
      </c>
      <c r="C187" s="5">
        <v>3.8311168110242257</v>
      </c>
      <c r="D187" s="5">
        <v>10.99003437692962</v>
      </c>
      <c r="E187">
        <v>480.8</v>
      </c>
      <c r="F187">
        <v>398</v>
      </c>
      <c r="G187">
        <v>740</v>
      </c>
      <c r="H187">
        <v>191</v>
      </c>
    </row>
    <row r="188" spans="1:8">
      <c r="A188" s="45" t="s">
        <v>139</v>
      </c>
      <c r="B188" s="5">
        <v>6.2744654600388845</v>
      </c>
      <c r="C188" s="5">
        <v>2.3226753401614371</v>
      </c>
      <c r="D188" s="5">
        <v>8.5971408002003216</v>
      </c>
      <c r="E188">
        <v>472</v>
      </c>
      <c r="F188">
        <v>430</v>
      </c>
      <c r="G188">
        <v>422</v>
      </c>
      <c r="H188">
        <v>325</v>
      </c>
    </row>
    <row r="189" spans="1:8">
      <c r="A189" s="45" t="s">
        <v>360</v>
      </c>
      <c r="B189" s="5">
        <v>6.5991756137843192</v>
      </c>
      <c r="C189" s="5">
        <v>10.567726301778359</v>
      </c>
      <c r="D189" s="5">
        <v>17.166901915562679</v>
      </c>
      <c r="E189">
        <v>14704.199999999999</v>
      </c>
      <c r="F189">
        <v>12959</v>
      </c>
      <c r="G189">
        <v>11040</v>
      </c>
      <c r="H189">
        <v>8596</v>
      </c>
    </row>
    <row r="190" spans="1:8">
      <c r="A190" s="45" t="s">
        <v>363</v>
      </c>
      <c r="B190" s="5">
        <v>3.2885695912416364</v>
      </c>
      <c r="C190" s="5">
        <v>11.615699172672073</v>
      </c>
      <c r="D190" s="5">
        <v>14.904268763913709</v>
      </c>
      <c r="E190">
        <v>20792.8</v>
      </c>
      <c r="F190">
        <v>18226</v>
      </c>
      <c r="G190">
        <v>16765</v>
      </c>
      <c r="H190">
        <v>11809</v>
      </c>
    </row>
    <row r="191" spans="1:8">
      <c r="A191" s="45" t="s">
        <v>176</v>
      </c>
      <c r="B191" s="5">
        <v>6.1805433918626473</v>
      </c>
      <c r="C191" s="5">
        <v>11.343645969642344</v>
      </c>
      <c r="D191" s="5">
        <v>17.524189361504991</v>
      </c>
      <c r="E191">
        <v>10471.800000000001</v>
      </c>
      <c r="F191">
        <v>9861</v>
      </c>
      <c r="G191">
        <v>9452</v>
      </c>
      <c r="H191">
        <v>8334</v>
      </c>
    </row>
    <row r="192" spans="1:8">
      <c r="A192" s="45" t="s">
        <v>364</v>
      </c>
      <c r="B192" s="5">
        <v>1.4820510127763706</v>
      </c>
      <c r="C192" s="5">
        <v>8.6476575585660882</v>
      </c>
      <c r="D192" s="5">
        <v>10.129708571342459</v>
      </c>
      <c r="E192">
        <v>26564.600000000002</v>
      </c>
      <c r="F192">
        <v>24479</v>
      </c>
      <c r="G192">
        <v>23383</v>
      </c>
      <c r="H192">
        <v>19265</v>
      </c>
    </row>
    <row r="193" spans="1:8">
      <c r="A193" s="45" t="s">
        <v>365</v>
      </c>
      <c r="B193" s="5">
        <v>0.38999904737970803</v>
      </c>
      <c r="C193" s="5">
        <v>2.0847642878720203</v>
      </c>
      <c r="D193" s="5">
        <v>2.4747633352517284</v>
      </c>
      <c r="E193">
        <v>281</v>
      </c>
      <c r="F193">
        <v>255</v>
      </c>
      <c r="G193">
        <v>247</v>
      </c>
      <c r="H193">
        <v>190</v>
      </c>
    </row>
    <row r="194" spans="1:8">
      <c r="A194" s="45" t="s">
        <v>367</v>
      </c>
      <c r="B194" s="5">
        <v>2.0196592184573969</v>
      </c>
      <c r="C194" s="5">
        <v>3.531764145996271</v>
      </c>
      <c r="D194" s="5">
        <v>5.5514233644536679</v>
      </c>
      <c r="E194">
        <v>2887.8</v>
      </c>
      <c r="F194">
        <v>2601</v>
      </c>
      <c r="G194">
        <v>2448</v>
      </c>
      <c r="H194">
        <v>1884</v>
      </c>
    </row>
    <row r="195" spans="1:8">
      <c r="A195" s="45" t="s">
        <v>368</v>
      </c>
      <c r="B195" s="5">
        <v>2.6547055023152604</v>
      </c>
      <c r="C195" s="5">
        <v>6.9014186341478645</v>
      </c>
      <c r="D195" s="5">
        <v>9.5561241364631258</v>
      </c>
      <c r="E195">
        <v>5169.5999999999995</v>
      </c>
      <c r="F195">
        <v>4724</v>
      </c>
      <c r="G195">
        <v>4378</v>
      </c>
      <c r="H195">
        <v>3610</v>
      </c>
    </row>
    <row r="196" spans="1:8">
      <c r="A196" s="45" t="s">
        <v>170</v>
      </c>
      <c r="B196" s="5">
        <v>4.8474018547955335</v>
      </c>
      <c r="C196" s="5">
        <v>10.59852409651706</v>
      </c>
      <c r="D196" s="5">
        <v>15.445925951312594</v>
      </c>
      <c r="E196">
        <v>1606.6</v>
      </c>
      <c r="F196">
        <v>1457</v>
      </c>
      <c r="G196">
        <v>1407</v>
      </c>
      <c r="H196">
        <v>1083</v>
      </c>
    </row>
    <row r="197" spans="1:8">
      <c r="A197" s="45" t="s">
        <v>196</v>
      </c>
      <c r="B197" s="5">
        <v>3.502231074893305</v>
      </c>
      <c r="C197" s="5">
        <v>2.5261745098360646</v>
      </c>
      <c r="D197" s="5">
        <v>6.02840558472937</v>
      </c>
      <c r="E197">
        <v>4139.3999999999996</v>
      </c>
      <c r="F197">
        <v>3687</v>
      </c>
      <c r="G197">
        <v>3440</v>
      </c>
      <c r="H197">
        <v>2556</v>
      </c>
    </row>
    <row r="198" spans="1:8">
      <c r="A198" s="45" t="s">
        <v>198</v>
      </c>
      <c r="B198" s="5">
        <v>2.1833649476452721</v>
      </c>
      <c r="C198" s="5">
        <v>4.290661468548036</v>
      </c>
      <c r="D198" s="5">
        <v>6.4740264161933077</v>
      </c>
      <c r="E198">
        <v>6599.8</v>
      </c>
      <c r="F198">
        <v>5891</v>
      </c>
      <c r="G198">
        <v>5508</v>
      </c>
      <c r="H198">
        <v>4119</v>
      </c>
    </row>
    <row r="199" spans="1:8">
      <c r="A199" s="45" t="s">
        <v>377</v>
      </c>
      <c r="B199" s="5">
        <v>0.41149200187531809</v>
      </c>
      <c r="C199" s="5">
        <v>2.9255678236055505</v>
      </c>
      <c r="D199" s="5">
        <v>3.3370598254808685</v>
      </c>
      <c r="E199">
        <v>114408.6</v>
      </c>
      <c r="F199">
        <v>101085</v>
      </c>
      <c r="G199">
        <v>92821</v>
      </c>
      <c r="H199">
        <v>67776</v>
      </c>
    </row>
    <row r="200" spans="1:8">
      <c r="A200" s="45" t="s">
        <v>378</v>
      </c>
      <c r="B200" s="5">
        <v>1.454794172269734</v>
      </c>
      <c r="C200" s="5">
        <v>5.31781410550981</v>
      </c>
      <c r="D200" s="5">
        <v>6.7726082777795442</v>
      </c>
      <c r="E200">
        <v>854.8</v>
      </c>
      <c r="F200">
        <v>846</v>
      </c>
      <c r="G200">
        <v>820</v>
      </c>
      <c r="H200">
        <v>824</v>
      </c>
    </row>
    <row r="201" spans="1:8">
      <c r="A201" s="45" t="s">
        <v>380</v>
      </c>
      <c r="B201" s="5">
        <v>4.4574172388494713</v>
      </c>
      <c r="C201" s="5">
        <v>8.0705426038750545</v>
      </c>
      <c r="D201" s="5">
        <v>12.527959842724526</v>
      </c>
      <c r="E201">
        <v>984.6</v>
      </c>
      <c r="F201">
        <v>903</v>
      </c>
      <c r="G201">
        <v>880</v>
      </c>
      <c r="H201">
        <v>699</v>
      </c>
    </row>
    <row r="202" spans="1:8">
      <c r="A202" s="45" t="s">
        <v>381</v>
      </c>
      <c r="B202" s="5">
        <v>0.15877227846106601</v>
      </c>
      <c r="C202" s="5">
        <v>12.252251773456996</v>
      </c>
      <c r="D202" s="5">
        <v>12.411024051918062</v>
      </c>
      <c r="E202">
        <v>44147.8</v>
      </c>
      <c r="F202">
        <v>39043</v>
      </c>
      <c r="G202">
        <v>35982</v>
      </c>
      <c r="H202">
        <v>26281</v>
      </c>
    </row>
    <row r="203" spans="1:8">
      <c r="A203" s="45" t="s">
        <v>382</v>
      </c>
      <c r="B203" s="5">
        <v>6.3759524699969594E-2</v>
      </c>
      <c r="C203" s="5">
        <v>5.6635352779361989</v>
      </c>
      <c r="D203" s="5">
        <v>5.7272948026361687</v>
      </c>
      <c r="E203">
        <v>218139.19999999998</v>
      </c>
      <c r="F203">
        <v>192730</v>
      </c>
      <c r="G203">
        <v>176958</v>
      </c>
      <c r="H203">
        <v>129207</v>
      </c>
    </row>
    <row r="204" spans="1:8">
      <c r="A204" s="45" t="s">
        <v>383</v>
      </c>
      <c r="B204" s="5">
        <v>0.58613450951117629</v>
      </c>
      <c r="C204" s="5">
        <v>2.9926769096104744</v>
      </c>
      <c r="D204" s="5">
        <v>3.5788114191216507</v>
      </c>
      <c r="E204">
        <v>1467.6</v>
      </c>
      <c r="F204">
        <v>1310</v>
      </c>
      <c r="G204">
        <v>1230</v>
      </c>
      <c r="H204">
        <v>916</v>
      </c>
    </row>
    <row r="205" spans="1:8">
      <c r="A205" s="45" t="s">
        <v>384</v>
      </c>
      <c r="B205" s="5">
        <v>2.16243853257075</v>
      </c>
      <c r="C205" s="5">
        <v>4.375276060780668</v>
      </c>
      <c r="D205" s="5">
        <v>6.537714593351418</v>
      </c>
      <c r="E205">
        <v>11777.4</v>
      </c>
      <c r="F205">
        <v>9875</v>
      </c>
      <c r="G205">
        <v>8040</v>
      </c>
      <c r="H205">
        <v>5119</v>
      </c>
    </row>
    <row r="206" spans="1:8">
      <c r="A206" s="45" t="s">
        <v>193</v>
      </c>
      <c r="B206" s="5">
        <v>0.65605321596549826</v>
      </c>
      <c r="C206" s="5">
        <v>4.2803984469726331</v>
      </c>
      <c r="D206" s="5">
        <v>4.936451662938131</v>
      </c>
      <c r="E206">
        <v>21397.4</v>
      </c>
      <c r="F206">
        <v>17969</v>
      </c>
      <c r="G206">
        <v>14275</v>
      </c>
      <c r="H206">
        <v>9398</v>
      </c>
    </row>
    <row r="207" spans="1:8">
      <c r="A207" s="45" t="s">
        <v>385</v>
      </c>
      <c r="B207" s="5">
        <v>0.21107347745950678</v>
      </c>
      <c r="C207" s="5">
        <v>4.4939262974519565</v>
      </c>
      <c r="D207" s="5">
        <v>4.7049997749114629</v>
      </c>
      <c r="E207">
        <v>6219.2</v>
      </c>
      <c r="F207">
        <v>5480</v>
      </c>
      <c r="G207">
        <v>4906</v>
      </c>
      <c r="H207">
        <v>3632</v>
      </c>
    </row>
    <row r="208" spans="1:8">
      <c r="A208" s="45" t="s">
        <v>188</v>
      </c>
      <c r="B208" s="5">
        <v>3.5325040936317329</v>
      </c>
      <c r="C208" s="5">
        <v>17.773376018341782</v>
      </c>
      <c r="D208" s="5">
        <v>21.305880111973515</v>
      </c>
      <c r="E208">
        <v>3562028.8</v>
      </c>
      <c r="F208">
        <v>3112470</v>
      </c>
      <c r="G208">
        <v>2769827</v>
      </c>
      <c r="H208">
        <v>1988573</v>
      </c>
    </row>
    <row r="209" spans="1:8">
      <c r="A209" s="45" t="s">
        <v>500</v>
      </c>
      <c r="B209" s="5">
        <v>12.588459932624936</v>
      </c>
      <c r="C209" s="5">
        <v>38.865802281949051</v>
      </c>
      <c r="D209" s="5">
        <v>51.454262214573987</v>
      </c>
      <c r="E209">
        <v>122243.59999999998</v>
      </c>
      <c r="F209">
        <v>108354</v>
      </c>
      <c r="G209">
        <v>100704</v>
      </c>
      <c r="H209">
        <v>73630</v>
      </c>
    </row>
    <row r="210" spans="1:8">
      <c r="A210" s="45" t="s">
        <v>504</v>
      </c>
      <c r="B210" s="5">
        <v>15.585535630494405</v>
      </c>
      <c r="C210" s="5">
        <v>12.447612127240021</v>
      </c>
      <c r="D210" s="5">
        <v>28.033147757734426</v>
      </c>
      <c r="E210">
        <v>109201.40000000001</v>
      </c>
      <c r="F210">
        <v>97309</v>
      </c>
      <c r="G210">
        <v>87642</v>
      </c>
      <c r="H210">
        <v>67578</v>
      </c>
    </row>
    <row r="211" spans="1:8">
      <c r="A211" s="45" t="s">
        <v>497</v>
      </c>
      <c r="B211" s="5">
        <v>3.7420620626307519</v>
      </c>
      <c r="C211" s="5">
        <v>10.757291237348547</v>
      </c>
      <c r="D211" s="5">
        <v>14.499353299979298</v>
      </c>
      <c r="E211">
        <v>40463.599999999999</v>
      </c>
      <c r="F211">
        <v>38410</v>
      </c>
      <c r="G211">
        <v>38227</v>
      </c>
      <c r="H211">
        <v>33276</v>
      </c>
    </row>
    <row r="212" spans="1:8">
      <c r="A212" s="45" t="s">
        <v>498</v>
      </c>
      <c r="B212" s="5">
        <v>15.662120115026831</v>
      </c>
      <c r="C212" s="5">
        <v>44.777046107096751</v>
      </c>
      <c r="D212" s="5">
        <v>60.439166222123582</v>
      </c>
      <c r="E212">
        <v>1874062.2000000009</v>
      </c>
      <c r="F212">
        <v>1683779</v>
      </c>
      <c r="G212">
        <v>1488616</v>
      </c>
      <c r="H212">
        <v>1208071</v>
      </c>
    </row>
    <row r="213" spans="1:8">
      <c r="A213" s="45" t="s">
        <v>501</v>
      </c>
      <c r="B213" s="5">
        <v>30.554129684764838</v>
      </c>
      <c r="C213" s="5">
        <v>4.2145214774459294</v>
      </c>
      <c r="D213" s="5">
        <v>34.768651162210766</v>
      </c>
      <c r="E213">
        <v>5794.7999999999993</v>
      </c>
      <c r="F213">
        <v>5282</v>
      </c>
      <c r="G213">
        <v>4700</v>
      </c>
      <c r="H213">
        <v>4000</v>
      </c>
    </row>
    <row r="214" spans="1:8">
      <c r="A214" s="45" t="s">
        <v>430</v>
      </c>
      <c r="B214" s="5">
        <v>24.971761682786628</v>
      </c>
      <c r="C214" s="5">
        <v>24.924246974593657</v>
      </c>
      <c r="D214" s="5">
        <v>49.896008657380285</v>
      </c>
      <c r="E214">
        <v>16290.800000000003</v>
      </c>
      <c r="F214">
        <v>17144</v>
      </c>
      <c r="G214">
        <v>17528</v>
      </c>
      <c r="H214">
        <v>19277</v>
      </c>
    </row>
    <row r="215" spans="1:8">
      <c r="A215" s="45" t="s">
        <v>444</v>
      </c>
      <c r="B215" s="5">
        <v>9.6589670110949868</v>
      </c>
      <c r="C215" s="5">
        <v>3.9265115757485241</v>
      </c>
      <c r="D215" s="5">
        <v>13.585478586843511</v>
      </c>
      <c r="E215">
        <v>4992.6000000000004</v>
      </c>
      <c r="F215">
        <v>4459</v>
      </c>
      <c r="G215">
        <v>4094</v>
      </c>
      <c r="H215">
        <v>3125</v>
      </c>
    </row>
    <row r="216" spans="1:8">
      <c r="A216" s="45" t="s">
        <v>468</v>
      </c>
      <c r="B216" s="5">
        <v>0.55636496090767273</v>
      </c>
      <c r="C216" s="5">
        <v>0.70908973191544733</v>
      </c>
      <c r="D216" s="5">
        <v>1.2654546928231201</v>
      </c>
      <c r="E216">
        <v>108378.2</v>
      </c>
      <c r="F216">
        <v>97711</v>
      </c>
      <c r="G216">
        <v>88293</v>
      </c>
      <c r="H216">
        <v>71043</v>
      </c>
    </row>
    <row r="217" spans="1:8">
      <c r="A217" s="45" t="s">
        <v>471</v>
      </c>
      <c r="B217" s="5">
        <v>0.60657806034519468</v>
      </c>
      <c r="C217" s="5">
        <v>0.78415252746847286</v>
      </c>
      <c r="D217" s="5">
        <v>1.3907305878136675</v>
      </c>
      <c r="E217">
        <v>10290</v>
      </c>
      <c r="F217">
        <v>8422</v>
      </c>
      <c r="G217">
        <v>7213</v>
      </c>
      <c r="H217">
        <v>3752</v>
      </c>
    </row>
    <row r="218" spans="1:8">
      <c r="A218" s="45" t="s">
        <v>485</v>
      </c>
      <c r="B218" s="5">
        <v>7.7110377845888944</v>
      </c>
      <c r="C218" s="5">
        <v>23.869497763244365</v>
      </c>
      <c r="D218" s="5">
        <v>31.580535547833257</v>
      </c>
      <c r="E218">
        <v>27142.800000000003</v>
      </c>
      <c r="F218">
        <v>25178</v>
      </c>
      <c r="G218">
        <v>24004</v>
      </c>
      <c r="H218">
        <v>20266</v>
      </c>
    </row>
    <row r="219" spans="1:8">
      <c r="A219" s="45" t="s">
        <v>244</v>
      </c>
      <c r="B219" s="5">
        <v>4.2742575397081026</v>
      </c>
      <c r="C219" s="5">
        <v>0.25915832555239343</v>
      </c>
      <c r="D219" s="5">
        <v>4.5334158652604959</v>
      </c>
      <c r="E219">
        <v>2726.8</v>
      </c>
      <c r="F219">
        <v>2416</v>
      </c>
      <c r="G219">
        <v>2277</v>
      </c>
      <c r="H219">
        <v>1639</v>
      </c>
    </row>
    <row r="220" spans="1:8">
      <c r="A220" s="45" t="s">
        <v>407</v>
      </c>
      <c r="B220" s="5">
        <v>15.934442759060625</v>
      </c>
      <c r="C220" s="5">
        <v>0.54584703118317857</v>
      </c>
      <c r="D220" s="5">
        <v>16.480289790243802</v>
      </c>
      <c r="E220">
        <v>0</v>
      </c>
      <c r="F220">
        <v>0</v>
      </c>
      <c r="G220">
        <v>0</v>
      </c>
      <c r="H220">
        <v>0</v>
      </c>
    </row>
    <row r="221" spans="1:8">
      <c r="A221" s="45" t="s">
        <v>122</v>
      </c>
      <c r="B221" s="5">
        <v>4.1360070918174756</v>
      </c>
      <c r="C221" s="5">
        <v>1.6234327439884271</v>
      </c>
      <c r="D221" s="5">
        <v>5.7594398358059031</v>
      </c>
      <c r="E221">
        <v>12320.399999999998</v>
      </c>
      <c r="F221">
        <v>10956</v>
      </c>
      <c r="G221">
        <v>9955</v>
      </c>
      <c r="H221">
        <v>7545</v>
      </c>
    </row>
    <row r="222" spans="1:8">
      <c r="A222" s="45" t="s">
        <v>121</v>
      </c>
      <c r="B222" s="5">
        <v>8.3640239003757415</v>
      </c>
      <c r="C222" s="5">
        <v>2.4035857631965802</v>
      </c>
      <c r="D222" s="5">
        <v>10.767609663572323</v>
      </c>
      <c r="E222">
        <v>862.2</v>
      </c>
      <c r="F222">
        <v>785</v>
      </c>
      <c r="G222">
        <v>768</v>
      </c>
      <c r="H222">
        <v>592</v>
      </c>
    </row>
    <row r="223" spans="1:8">
      <c r="A223" s="45" t="s">
        <v>123</v>
      </c>
      <c r="B223" s="5">
        <v>3.4281182360154996</v>
      </c>
      <c r="C223" s="5">
        <v>7.6636642696382324</v>
      </c>
      <c r="D223" s="5">
        <v>11.091782505653732</v>
      </c>
      <c r="E223">
        <v>10977.000000000002</v>
      </c>
      <c r="F223">
        <v>9339</v>
      </c>
      <c r="G223">
        <v>8115</v>
      </c>
      <c r="H223">
        <v>5244</v>
      </c>
    </row>
    <row r="224" spans="1:8">
      <c r="A224" s="45" t="s">
        <v>124</v>
      </c>
      <c r="B224" s="5">
        <v>6.2530948438104268</v>
      </c>
      <c r="C224" s="5">
        <v>1.3310520471797005</v>
      </c>
      <c r="D224" s="5">
        <v>7.5841468909901275</v>
      </c>
      <c r="E224">
        <v>20735.2</v>
      </c>
      <c r="F224">
        <v>17648</v>
      </c>
      <c r="G224">
        <v>14947</v>
      </c>
      <c r="H224">
        <v>9930</v>
      </c>
    </row>
    <row r="225" spans="1:8">
      <c r="A225" s="45" t="s">
        <v>120</v>
      </c>
      <c r="B225" s="5">
        <v>7.5943163851477244</v>
      </c>
      <c r="C225" s="5">
        <v>2.1955374291132351E-2</v>
      </c>
      <c r="D225" s="5">
        <v>7.6162717594388569</v>
      </c>
      <c r="E225">
        <v>130</v>
      </c>
      <c r="F225">
        <v>118</v>
      </c>
      <c r="G225">
        <v>115</v>
      </c>
      <c r="H225">
        <v>88</v>
      </c>
    </row>
    <row r="226" spans="1:8">
      <c r="A226" s="45" t="s">
        <v>133</v>
      </c>
      <c r="B226" s="5">
        <v>10.27054631831261</v>
      </c>
      <c r="C226" s="5">
        <v>6.0059869256921079</v>
      </c>
      <c r="D226" s="5">
        <v>16.276533244004717</v>
      </c>
      <c r="E226">
        <v>12081.600000000002</v>
      </c>
      <c r="F226">
        <v>10672</v>
      </c>
      <c r="G226">
        <v>9579</v>
      </c>
      <c r="H226">
        <v>7148</v>
      </c>
    </row>
    <row r="227" spans="1:8">
      <c r="A227" s="45" t="s">
        <v>126</v>
      </c>
      <c r="B227" s="5">
        <v>10.618071478810252</v>
      </c>
      <c r="C227" s="5">
        <v>8.478638412307637</v>
      </c>
      <c r="D227" s="5">
        <v>19.096709891117889</v>
      </c>
      <c r="E227">
        <v>18322</v>
      </c>
      <c r="F227">
        <v>15644</v>
      </c>
      <c r="G227">
        <v>13281</v>
      </c>
      <c r="H227">
        <v>8949</v>
      </c>
    </row>
    <row r="228" spans="1:8">
      <c r="A228" s="45" t="s">
        <v>125</v>
      </c>
      <c r="B228" s="5">
        <v>5.1129827948692332</v>
      </c>
      <c r="C228" s="5">
        <v>0.45733751603319239</v>
      </c>
      <c r="D228" s="5">
        <v>5.5703203109024253</v>
      </c>
      <c r="E228">
        <v>1543.2</v>
      </c>
      <c r="F228">
        <v>1390</v>
      </c>
      <c r="G228">
        <v>1310</v>
      </c>
      <c r="H228">
        <v>1007</v>
      </c>
    </row>
    <row r="229" spans="1:8">
      <c r="A229" s="45" t="s">
        <v>138</v>
      </c>
      <c r="B229" s="5">
        <v>19.222046546712701</v>
      </c>
      <c r="C229" s="5">
        <v>25.193910448861342</v>
      </c>
      <c r="D229" s="5">
        <v>44.415956995574042</v>
      </c>
      <c r="E229">
        <v>57604.600000000006</v>
      </c>
      <c r="F229">
        <v>50361</v>
      </c>
      <c r="G229">
        <v>43276</v>
      </c>
      <c r="H229">
        <v>32252</v>
      </c>
    </row>
    <row r="230" spans="1:8">
      <c r="A230" s="45" t="s">
        <v>136</v>
      </c>
      <c r="B230" s="5">
        <v>7.2729783611345384</v>
      </c>
      <c r="C230" s="5">
        <v>0.70483090497030354</v>
      </c>
      <c r="D230" s="5">
        <v>7.9778092661048419</v>
      </c>
      <c r="E230">
        <v>2224</v>
      </c>
      <c r="F230">
        <v>1912</v>
      </c>
      <c r="G230">
        <v>1879</v>
      </c>
      <c r="H230">
        <v>1132</v>
      </c>
    </row>
    <row r="231" spans="1:8">
      <c r="A231" s="45" t="s">
        <v>127</v>
      </c>
      <c r="B231" s="5">
        <v>4.8110455455282235</v>
      </c>
      <c r="C231" s="5">
        <v>1.4751651011680254</v>
      </c>
      <c r="D231" s="5">
        <v>6.2862106466962491</v>
      </c>
      <c r="E231">
        <v>1244.2</v>
      </c>
      <c r="F231">
        <v>1127</v>
      </c>
      <c r="G231">
        <v>1083</v>
      </c>
      <c r="H231">
        <v>834</v>
      </c>
    </row>
    <row r="232" spans="1:8">
      <c r="A232" s="45" t="s">
        <v>128</v>
      </c>
      <c r="B232" s="5">
        <v>4.5476547433558974</v>
      </c>
      <c r="C232" s="5">
        <v>11.258968334652671</v>
      </c>
      <c r="D232" s="5">
        <v>15.806623078008569</v>
      </c>
      <c r="E232">
        <v>28792.000000000004</v>
      </c>
      <c r="F232">
        <v>25456</v>
      </c>
      <c r="G232">
        <v>21951</v>
      </c>
      <c r="H232">
        <v>17116</v>
      </c>
    </row>
    <row r="233" spans="1:8">
      <c r="A233" s="45" t="s">
        <v>140</v>
      </c>
      <c r="B233" s="5">
        <v>12.125630374789656</v>
      </c>
      <c r="C233" s="5">
        <v>11.418207333602622</v>
      </c>
      <c r="D233" s="5">
        <v>23.543837708392278</v>
      </c>
      <c r="E233">
        <v>3795</v>
      </c>
      <c r="F233">
        <v>4021</v>
      </c>
      <c r="G233">
        <v>3910</v>
      </c>
      <c r="H233">
        <v>4586</v>
      </c>
    </row>
    <row r="234" spans="1:8">
      <c r="A234" s="45" t="s">
        <v>132</v>
      </c>
      <c r="B234" s="5">
        <v>1.6124196448505874</v>
      </c>
      <c r="C234" s="5">
        <v>6.9348522682378482</v>
      </c>
      <c r="D234" s="5">
        <v>8.5472719130884354</v>
      </c>
      <c r="E234">
        <v>0</v>
      </c>
      <c r="F234">
        <v>0</v>
      </c>
      <c r="G234">
        <v>0</v>
      </c>
      <c r="H234">
        <v>0</v>
      </c>
    </row>
    <row r="235" spans="1:8">
      <c r="A235" s="45" t="s">
        <v>129</v>
      </c>
      <c r="B235" s="5">
        <v>5.1200388744548189</v>
      </c>
      <c r="C235" s="5">
        <v>4.7931276678858001</v>
      </c>
      <c r="D235" s="5">
        <v>9.913166542340619</v>
      </c>
      <c r="E235">
        <v>18972.600000000002</v>
      </c>
      <c r="F235">
        <v>16277</v>
      </c>
      <c r="G235">
        <v>14811</v>
      </c>
      <c r="H235">
        <v>9538</v>
      </c>
    </row>
    <row r="236" spans="1:8">
      <c r="A236" s="45" t="s">
        <v>134</v>
      </c>
      <c r="B236" s="5">
        <v>4.1960990514376997</v>
      </c>
      <c r="C236" s="5">
        <v>5.8474284176919458</v>
      </c>
      <c r="D236" s="5">
        <v>10.043527469129646</v>
      </c>
      <c r="E236">
        <v>77315.8</v>
      </c>
      <c r="F236">
        <v>70333</v>
      </c>
      <c r="G236">
        <v>65792</v>
      </c>
      <c r="H236">
        <v>52876</v>
      </c>
    </row>
    <row r="237" spans="1:8">
      <c r="A237" s="45" t="s">
        <v>142</v>
      </c>
      <c r="B237" s="5">
        <v>6.754121245584356</v>
      </c>
      <c r="C237" s="5">
        <v>4.3430598235449276</v>
      </c>
      <c r="D237" s="5">
        <v>11.097181069129284</v>
      </c>
      <c r="E237">
        <v>3160</v>
      </c>
      <c r="F237">
        <v>2876</v>
      </c>
      <c r="G237">
        <v>2348</v>
      </c>
      <c r="H237">
        <v>2166</v>
      </c>
    </row>
    <row r="238" spans="1:8">
      <c r="A238" s="45" t="s">
        <v>181</v>
      </c>
      <c r="B238" s="5">
        <v>1.0961864216283024</v>
      </c>
      <c r="C238" s="5">
        <v>10.359344016490324</v>
      </c>
      <c r="D238" s="5">
        <v>11.455530438118625</v>
      </c>
      <c r="E238">
        <v>2406.1999999999998</v>
      </c>
      <c r="F238">
        <v>2447</v>
      </c>
      <c r="G238">
        <v>2329</v>
      </c>
      <c r="H238">
        <v>2549</v>
      </c>
    </row>
    <row r="239" spans="1:8">
      <c r="A239" s="45" t="s">
        <v>179</v>
      </c>
      <c r="B239" s="5">
        <v>5.4834171944598568E-4</v>
      </c>
      <c r="C239" s="5">
        <v>5.5802430329316213</v>
      </c>
      <c r="D239" s="5">
        <v>5.5807913746510671</v>
      </c>
      <c r="E239">
        <v>16581.800000000003</v>
      </c>
      <c r="F239">
        <v>14469</v>
      </c>
      <c r="G239">
        <v>13252</v>
      </c>
      <c r="H239">
        <v>9187</v>
      </c>
    </row>
    <row r="240" spans="1:8">
      <c r="A240" s="45" t="s">
        <v>143</v>
      </c>
      <c r="B240" s="5">
        <v>8.1854946588760438</v>
      </c>
      <c r="C240" s="5">
        <v>13.852733743991305</v>
      </c>
      <c r="D240" s="5">
        <v>22.038228402867347</v>
      </c>
      <c r="E240">
        <v>2095</v>
      </c>
      <c r="F240">
        <v>1879</v>
      </c>
      <c r="G240">
        <v>1771</v>
      </c>
      <c r="H240">
        <v>1339</v>
      </c>
    </row>
    <row r="241" spans="1:8">
      <c r="A241" s="45" t="s">
        <v>180</v>
      </c>
      <c r="B241" s="5">
        <v>0.411269728548736</v>
      </c>
      <c r="C241" s="5">
        <v>5.8411555417761498</v>
      </c>
      <c r="D241" s="5">
        <v>6.2524252703248857</v>
      </c>
      <c r="E241">
        <v>0</v>
      </c>
      <c r="F241">
        <v>0</v>
      </c>
      <c r="G241">
        <v>0</v>
      </c>
      <c r="H241">
        <v>0</v>
      </c>
    </row>
    <row r="242" spans="1:8">
      <c r="A242" s="45" t="s">
        <v>147</v>
      </c>
      <c r="B242" s="5">
        <v>7.3076908869074639</v>
      </c>
      <c r="C242" s="5">
        <v>16.666255443601692</v>
      </c>
      <c r="D242" s="5">
        <v>23.973946330509158</v>
      </c>
      <c r="E242">
        <v>5015.8</v>
      </c>
      <c r="F242">
        <v>4511</v>
      </c>
      <c r="G242">
        <v>4223</v>
      </c>
      <c r="H242">
        <v>3249</v>
      </c>
    </row>
    <row r="243" spans="1:8">
      <c r="A243" s="45" t="s">
        <v>146</v>
      </c>
      <c r="B243" s="5">
        <v>4.7579759631833509</v>
      </c>
      <c r="C243" s="5">
        <v>7.8863773012785163</v>
      </c>
      <c r="D243" s="5">
        <v>12.644353264461866</v>
      </c>
      <c r="E243">
        <v>3453.6</v>
      </c>
      <c r="F243">
        <v>3182</v>
      </c>
      <c r="G243">
        <v>3051</v>
      </c>
      <c r="H243">
        <v>2503</v>
      </c>
    </row>
    <row r="244" spans="1:8">
      <c r="A244" s="45" t="s">
        <v>145</v>
      </c>
      <c r="B244" s="5">
        <v>16.146518987725891</v>
      </c>
      <c r="C244" s="5">
        <v>10.183213219175988</v>
      </c>
      <c r="D244" s="5">
        <v>26.32973220690188</v>
      </c>
      <c r="E244">
        <v>5229</v>
      </c>
      <c r="F244">
        <v>4771</v>
      </c>
      <c r="G244">
        <v>3682</v>
      </c>
      <c r="H244">
        <v>3626</v>
      </c>
    </row>
    <row r="245" spans="1:8">
      <c r="A245" s="45" t="s">
        <v>144</v>
      </c>
      <c r="B245" s="5">
        <v>7.6693130786826211</v>
      </c>
      <c r="C245" s="5">
        <v>5.3051908978455344</v>
      </c>
      <c r="D245" s="5">
        <v>12.974503976528155</v>
      </c>
      <c r="E245">
        <v>0</v>
      </c>
      <c r="F245">
        <v>0</v>
      </c>
      <c r="G245">
        <v>0</v>
      </c>
      <c r="H245">
        <v>0</v>
      </c>
    </row>
    <row r="246" spans="1:8">
      <c r="A246" s="45" t="s">
        <v>178</v>
      </c>
      <c r="B246" s="5">
        <v>1.2000109789949023</v>
      </c>
      <c r="C246" s="5">
        <v>2.7071425465381935</v>
      </c>
      <c r="D246" s="5">
        <v>3.9071535255330958</v>
      </c>
      <c r="E246">
        <v>775.2</v>
      </c>
      <c r="F246">
        <v>706</v>
      </c>
      <c r="G246">
        <v>690</v>
      </c>
      <c r="H246">
        <v>533</v>
      </c>
    </row>
    <row r="247" spans="1:8">
      <c r="A247" s="45" t="s">
        <v>177</v>
      </c>
      <c r="B247" s="5">
        <v>6.044744598902323</v>
      </c>
      <c r="C247" s="5">
        <v>4.6672103169557531</v>
      </c>
      <c r="D247" s="5">
        <v>10.711954915858076</v>
      </c>
      <c r="E247">
        <v>748.80000000000007</v>
      </c>
      <c r="F247">
        <v>684</v>
      </c>
      <c r="G247">
        <v>675</v>
      </c>
      <c r="H247">
        <v>522</v>
      </c>
    </row>
    <row r="248" spans="1:8">
      <c r="A248" s="45" t="s">
        <v>175</v>
      </c>
      <c r="B248" s="5">
        <v>2.0201966057187706</v>
      </c>
      <c r="C248" s="5">
        <v>6.133845544547988</v>
      </c>
      <c r="D248" s="5">
        <v>8.1540421502667577</v>
      </c>
      <c r="E248">
        <v>4063.6</v>
      </c>
      <c r="F248">
        <v>3864</v>
      </c>
      <c r="G248">
        <v>3804</v>
      </c>
      <c r="H248">
        <v>3365</v>
      </c>
    </row>
    <row r="249" spans="1:8">
      <c r="A249" s="45" t="s">
        <v>174</v>
      </c>
      <c r="B249" s="5">
        <v>0.44820585447378786</v>
      </c>
      <c r="C249" s="5">
        <v>2.052163795353545</v>
      </c>
      <c r="D249" s="5">
        <v>2.5003696498273329</v>
      </c>
      <c r="E249">
        <v>10934.800000000001</v>
      </c>
      <c r="F249">
        <v>9844</v>
      </c>
      <c r="G249">
        <v>9388</v>
      </c>
      <c r="H249">
        <v>7117</v>
      </c>
    </row>
    <row r="250" spans="1:8">
      <c r="A250" s="45" t="s">
        <v>173</v>
      </c>
      <c r="B250" s="5">
        <v>0.13336933835064865</v>
      </c>
      <c r="C250" s="5">
        <v>2.5697427407925932</v>
      </c>
      <c r="D250" s="5">
        <v>2.7031120791432417</v>
      </c>
      <c r="E250">
        <v>1521</v>
      </c>
      <c r="F250">
        <v>1361</v>
      </c>
      <c r="G250">
        <v>1251</v>
      </c>
      <c r="H250">
        <v>961</v>
      </c>
    </row>
    <row r="251" spans="1:8">
      <c r="A251" s="45" t="s">
        <v>184</v>
      </c>
      <c r="B251" s="5">
        <v>4.1136994162687586</v>
      </c>
      <c r="C251" s="5">
        <v>3.3336529723914712</v>
      </c>
      <c r="D251" s="5">
        <v>7.4473523886602297</v>
      </c>
      <c r="E251">
        <v>1831.6</v>
      </c>
      <c r="F251">
        <v>1744</v>
      </c>
      <c r="G251">
        <v>1881</v>
      </c>
      <c r="H251">
        <v>1525</v>
      </c>
    </row>
    <row r="252" spans="1:8">
      <c r="A252" s="45" t="s">
        <v>182</v>
      </c>
      <c r="B252" s="5">
        <v>0.53067699773399624</v>
      </c>
      <c r="C252" s="5">
        <v>2.3227949568852044</v>
      </c>
      <c r="D252" s="5">
        <v>2.8534719546192004</v>
      </c>
      <c r="E252">
        <v>4733</v>
      </c>
      <c r="F252">
        <v>4059</v>
      </c>
      <c r="G252">
        <v>3072</v>
      </c>
      <c r="H252">
        <v>2374</v>
      </c>
    </row>
    <row r="253" spans="1:8">
      <c r="A253" s="45" t="s">
        <v>333</v>
      </c>
      <c r="B253" s="5">
        <v>0.67635526767130516</v>
      </c>
      <c r="C253" s="5">
        <v>1.384702556773314</v>
      </c>
      <c r="D253" s="5">
        <v>2.0610578244446192</v>
      </c>
      <c r="E253">
        <v>433070.00000000012</v>
      </c>
      <c r="F253">
        <v>364352</v>
      </c>
      <c r="G253">
        <v>310508</v>
      </c>
      <c r="H253">
        <v>192557</v>
      </c>
    </row>
    <row r="254" spans="1:8">
      <c r="A254" s="45" t="s">
        <v>192</v>
      </c>
      <c r="B254" s="5">
        <v>0.7591684269413782</v>
      </c>
      <c r="C254" s="5">
        <v>1.8734787450504045</v>
      </c>
      <c r="D254" s="5">
        <v>2.6326471719917826</v>
      </c>
      <c r="E254">
        <v>96.4</v>
      </c>
      <c r="F254">
        <v>88</v>
      </c>
      <c r="G254">
        <v>88</v>
      </c>
      <c r="H254">
        <v>67</v>
      </c>
    </row>
    <row r="255" spans="1:8">
      <c r="A255" s="45" t="s">
        <v>191</v>
      </c>
      <c r="B255" s="5">
        <v>0.29489275842216378</v>
      </c>
      <c r="C255" s="5">
        <v>2.9672000311343534</v>
      </c>
      <c r="D255" s="5">
        <v>3.262092789556517</v>
      </c>
      <c r="E255">
        <v>7205.6</v>
      </c>
      <c r="F255">
        <v>5876</v>
      </c>
      <c r="G255">
        <v>4866</v>
      </c>
      <c r="H255">
        <v>2552</v>
      </c>
    </row>
    <row r="256" spans="1:8">
      <c r="A256" s="45" t="s">
        <v>190</v>
      </c>
      <c r="B256" s="5">
        <v>0.66347820346963737</v>
      </c>
      <c r="C256" s="5">
        <v>3.7570910480444684</v>
      </c>
      <c r="D256" s="5">
        <v>4.420569251514106</v>
      </c>
      <c r="E256">
        <v>82839.599999999991</v>
      </c>
      <c r="F256">
        <v>71116</v>
      </c>
      <c r="G256">
        <v>60867</v>
      </c>
      <c r="H256">
        <v>41807</v>
      </c>
    </row>
    <row r="257" spans="1:8">
      <c r="A257" s="45" t="s">
        <v>189</v>
      </c>
      <c r="B257" s="5">
        <v>1.2382949133567545</v>
      </c>
      <c r="C257" s="5">
        <v>7.6060679431879343</v>
      </c>
      <c r="D257" s="5">
        <v>8.8443628565446879</v>
      </c>
      <c r="E257">
        <v>32270</v>
      </c>
      <c r="F257">
        <v>25868</v>
      </c>
      <c r="G257">
        <v>20977</v>
      </c>
      <c r="H257">
        <v>9863</v>
      </c>
    </row>
    <row r="258" spans="1:8">
      <c r="A258" s="45" t="s">
        <v>186</v>
      </c>
      <c r="B258" s="5">
        <v>1.8680818244090387</v>
      </c>
      <c r="C258" s="5">
        <v>12.324893627660151</v>
      </c>
      <c r="D258" s="5">
        <v>14.19297545206919</v>
      </c>
      <c r="E258">
        <v>24935.200000000001</v>
      </c>
      <c r="F258">
        <v>22254</v>
      </c>
      <c r="G258">
        <v>20333</v>
      </c>
      <c r="H258">
        <v>15551</v>
      </c>
    </row>
    <row r="259" spans="1:8">
      <c r="A259" s="45" t="s">
        <v>187</v>
      </c>
      <c r="B259" s="5">
        <v>0.38726766649061767</v>
      </c>
      <c r="C259" s="5">
        <v>10.680024679242058</v>
      </c>
      <c r="D259" s="5">
        <v>11.067292345732675</v>
      </c>
      <c r="E259">
        <v>24813.600000000006</v>
      </c>
      <c r="F259">
        <v>23328</v>
      </c>
      <c r="G259">
        <v>21787</v>
      </c>
      <c r="H259">
        <v>19614</v>
      </c>
    </row>
    <row r="260" spans="1:8">
      <c r="A260" s="45" t="s">
        <v>199</v>
      </c>
      <c r="B260" s="5">
        <v>10.969362064027598</v>
      </c>
      <c r="C260" s="5">
        <v>13.154403767744418</v>
      </c>
      <c r="D260" s="5">
        <v>24.123765831772015</v>
      </c>
      <c r="E260">
        <v>12533.2</v>
      </c>
      <c r="F260">
        <v>11562</v>
      </c>
      <c r="G260">
        <v>10897</v>
      </c>
      <c r="H260">
        <v>9134</v>
      </c>
    </row>
    <row r="261" spans="1:8">
      <c r="A261" s="45" t="s">
        <v>185</v>
      </c>
      <c r="B261" s="5">
        <v>0.27128071583327762</v>
      </c>
      <c r="C261" s="5">
        <v>8.8019238691100146</v>
      </c>
      <c r="D261" s="5">
        <v>9.0732045849432925</v>
      </c>
      <c r="E261">
        <v>73234.600000000006</v>
      </c>
      <c r="F261">
        <v>64727</v>
      </c>
      <c r="G261">
        <v>59469</v>
      </c>
      <c r="H261">
        <v>43458</v>
      </c>
    </row>
    <row r="262" spans="1:8">
      <c r="A262" s="45" t="s">
        <v>314</v>
      </c>
      <c r="B262" s="5">
        <v>0.88051233062505097</v>
      </c>
      <c r="C262" s="5">
        <v>14.350208890311768</v>
      </c>
      <c r="D262" s="5">
        <v>15.230721220936818</v>
      </c>
      <c r="E262">
        <v>110899.19999999998</v>
      </c>
      <c r="F262">
        <v>100628</v>
      </c>
      <c r="G262">
        <v>96067</v>
      </c>
      <c r="H262">
        <v>74950</v>
      </c>
    </row>
    <row r="263" spans="1:8">
      <c r="A263" s="45" t="s">
        <v>315</v>
      </c>
      <c r="B263" s="5">
        <v>5.8380406494234443</v>
      </c>
      <c r="C263" s="5">
        <v>18.187274915401769</v>
      </c>
      <c r="D263" s="5">
        <v>24.025315564825213</v>
      </c>
      <c r="E263">
        <v>6776</v>
      </c>
      <c r="F263">
        <v>6786</v>
      </c>
      <c r="G263">
        <v>6890</v>
      </c>
      <c r="H263">
        <v>6811</v>
      </c>
    </row>
    <row r="264" spans="1:8">
      <c r="A264" s="45" t="s">
        <v>194</v>
      </c>
      <c r="B264" s="5">
        <v>0.50962878124131072</v>
      </c>
      <c r="C264" s="5">
        <v>7.9802676088201032</v>
      </c>
      <c r="D264" s="5">
        <v>8.4898963900614142</v>
      </c>
      <c r="E264">
        <v>2456.7999999999997</v>
      </c>
      <c r="F264">
        <v>2392</v>
      </c>
      <c r="G264">
        <v>2313</v>
      </c>
      <c r="H264">
        <v>2230</v>
      </c>
    </row>
    <row r="265" spans="1:8">
      <c r="A265" s="45" t="s">
        <v>393</v>
      </c>
      <c r="B265" s="5">
        <v>2.272132020879952</v>
      </c>
      <c r="C265" s="5">
        <v>8.7408641323989436</v>
      </c>
      <c r="D265" s="5">
        <v>11.012996153278895</v>
      </c>
      <c r="E265">
        <v>9701.8000000000011</v>
      </c>
      <c r="F265">
        <v>9399</v>
      </c>
      <c r="G265">
        <v>9488</v>
      </c>
      <c r="H265">
        <v>8642</v>
      </c>
    </row>
    <row r="266" spans="1:8">
      <c r="A266" s="45" t="s">
        <v>195</v>
      </c>
      <c r="B266" s="5">
        <v>6.3705509020693833</v>
      </c>
      <c r="C266" s="5">
        <v>5.3140530407274689</v>
      </c>
      <c r="D266" s="5">
        <v>11.684603942796851</v>
      </c>
      <c r="E266">
        <v>3015</v>
      </c>
      <c r="F266">
        <v>2871</v>
      </c>
      <c r="G266">
        <v>2781</v>
      </c>
      <c r="H266">
        <v>2511</v>
      </c>
    </row>
    <row r="267" spans="1:8">
      <c r="A267" s="45" t="s">
        <v>200</v>
      </c>
      <c r="B267" s="5">
        <v>5.4518461203257509</v>
      </c>
      <c r="C267" s="5">
        <v>11.962078766866425</v>
      </c>
      <c r="D267" s="5">
        <v>17.413924887192174</v>
      </c>
      <c r="E267">
        <v>18714.400000000001</v>
      </c>
      <c r="F267">
        <v>18686</v>
      </c>
      <c r="G267">
        <v>18786</v>
      </c>
      <c r="H267">
        <v>18615</v>
      </c>
    </row>
    <row r="268" spans="1:8">
      <c r="A268" s="45" t="s">
        <v>202</v>
      </c>
      <c r="B268" s="5">
        <v>0.62177439942850776</v>
      </c>
      <c r="C268" s="5">
        <v>5.3648405680175237</v>
      </c>
      <c r="D268" s="5">
        <v>5.9866149674460312</v>
      </c>
      <c r="E268">
        <v>9387.2000000000007</v>
      </c>
      <c r="F268">
        <v>9900</v>
      </c>
      <c r="G268">
        <v>10573</v>
      </c>
      <c r="H268">
        <v>11182</v>
      </c>
    </row>
    <row r="269" spans="1:8">
      <c r="A269" s="45" t="s">
        <v>201</v>
      </c>
      <c r="B269" s="5">
        <v>3.4158727739165631</v>
      </c>
      <c r="C269" s="5">
        <v>19.837651326128487</v>
      </c>
      <c r="D269" s="5">
        <v>23.253524100045048</v>
      </c>
      <c r="E269">
        <v>5748.8000000000011</v>
      </c>
      <c r="F269">
        <v>5642</v>
      </c>
      <c r="G269">
        <v>5438</v>
      </c>
      <c r="H269">
        <v>5375</v>
      </c>
    </row>
    <row r="270" spans="1:8">
      <c r="A270" s="45" t="s">
        <v>163</v>
      </c>
      <c r="B270" s="5">
        <v>10.785931595127501</v>
      </c>
      <c r="C270" s="5">
        <v>1.8852224475477497</v>
      </c>
      <c r="D270" s="5">
        <v>12.671154042675251</v>
      </c>
      <c r="E270">
        <v>0</v>
      </c>
      <c r="F270">
        <v>0</v>
      </c>
      <c r="G270">
        <v>0</v>
      </c>
      <c r="H270">
        <v>0</v>
      </c>
    </row>
    <row r="271" spans="1:8">
      <c r="A271" s="45" t="s">
        <v>162</v>
      </c>
      <c r="B271" s="5">
        <v>43.349568975079549</v>
      </c>
      <c r="C271" s="5">
        <v>8.1164835594784499</v>
      </c>
      <c r="D271" s="5">
        <v>51.466052534558003</v>
      </c>
      <c r="E271">
        <v>1703.4</v>
      </c>
      <c r="F271">
        <v>1543</v>
      </c>
      <c r="G271">
        <v>1483</v>
      </c>
      <c r="H271">
        <v>1142</v>
      </c>
    </row>
    <row r="272" spans="1:8">
      <c r="A272" s="45" t="s">
        <v>161</v>
      </c>
      <c r="B272" s="5">
        <v>7.3108790059979469</v>
      </c>
      <c r="C272" s="5">
        <v>3.7118377408216485</v>
      </c>
      <c r="D272" s="5">
        <v>11.022716746819595</v>
      </c>
      <c r="E272">
        <v>8763</v>
      </c>
      <c r="F272">
        <v>8103</v>
      </c>
      <c r="G272">
        <v>7719</v>
      </c>
      <c r="H272">
        <v>6453</v>
      </c>
    </row>
    <row r="273" spans="1:8">
      <c r="A273" s="45" t="s">
        <v>160</v>
      </c>
      <c r="B273" s="5">
        <v>24.991471085023885</v>
      </c>
      <c r="C273" s="5">
        <v>1.7587371233403768</v>
      </c>
      <c r="D273" s="5">
        <v>26.750208208364263</v>
      </c>
      <c r="E273">
        <v>1558.3999999999999</v>
      </c>
      <c r="F273">
        <v>1406</v>
      </c>
      <c r="G273">
        <v>1333</v>
      </c>
      <c r="H273">
        <v>1025</v>
      </c>
    </row>
    <row r="274" spans="1:8">
      <c r="A274" s="45" t="s">
        <v>166</v>
      </c>
      <c r="B274" s="5">
        <v>9.836936689236639</v>
      </c>
      <c r="C274" s="5">
        <v>7.0335645188862204</v>
      </c>
      <c r="D274" s="5">
        <v>16.87050120812286</v>
      </c>
      <c r="E274">
        <v>1231.2</v>
      </c>
      <c r="F274">
        <v>1136</v>
      </c>
      <c r="G274">
        <v>1086</v>
      </c>
      <c r="H274">
        <v>898</v>
      </c>
    </row>
    <row r="275" spans="1:8">
      <c r="A275" s="45" t="s">
        <v>164</v>
      </c>
      <c r="B275" s="5">
        <v>4.4000074762755412</v>
      </c>
      <c r="C275" s="5">
        <v>8.6898145619925433</v>
      </c>
      <c r="D275" s="5">
        <v>13.089822038268085</v>
      </c>
      <c r="E275">
        <v>1035</v>
      </c>
      <c r="F275">
        <v>943</v>
      </c>
      <c r="G275">
        <v>922</v>
      </c>
      <c r="H275">
        <v>713</v>
      </c>
    </row>
    <row r="276" spans="1:8">
      <c r="A276" s="45" t="s">
        <v>167</v>
      </c>
      <c r="B276" s="5">
        <v>0.21263685626998205</v>
      </c>
      <c r="C276" s="5">
        <v>4.3258956684843346</v>
      </c>
      <c r="D276" s="5">
        <v>4.5385325247543165</v>
      </c>
      <c r="E276">
        <v>188.2</v>
      </c>
      <c r="F276">
        <v>171</v>
      </c>
      <c r="G276">
        <v>166</v>
      </c>
      <c r="H276">
        <v>128</v>
      </c>
    </row>
    <row r="277" spans="1:8">
      <c r="A277" s="45" t="s">
        <v>168</v>
      </c>
      <c r="B277" s="5">
        <v>1.1131342157059618</v>
      </c>
      <c r="C277" s="5">
        <v>4.384572389909529</v>
      </c>
      <c r="D277" s="5">
        <v>5.4977066056154911</v>
      </c>
      <c r="E277">
        <v>10179.199999999999</v>
      </c>
      <c r="F277">
        <v>9126</v>
      </c>
      <c r="G277">
        <v>8615</v>
      </c>
      <c r="H277">
        <v>6493</v>
      </c>
    </row>
    <row r="278" spans="1:8">
      <c r="A278" s="45" t="s">
        <v>370</v>
      </c>
      <c r="B278" s="5">
        <v>4.8188321408804056</v>
      </c>
      <c r="C278" s="5">
        <v>5.2862820577830778</v>
      </c>
      <c r="D278" s="5">
        <v>10.105114198663482</v>
      </c>
      <c r="E278">
        <v>4079</v>
      </c>
      <c r="F278">
        <v>4295</v>
      </c>
      <c r="G278">
        <v>4355</v>
      </c>
      <c r="H278">
        <v>4835</v>
      </c>
    </row>
    <row r="279" spans="1:8">
      <c r="A279" s="45" t="s">
        <v>171</v>
      </c>
      <c r="B279" s="5">
        <v>4.3669240734125152</v>
      </c>
      <c r="C279" s="5">
        <v>2.9251369157241895</v>
      </c>
      <c r="D279" s="5">
        <v>7.2920609891367043</v>
      </c>
      <c r="E279">
        <v>1136.5999999999999</v>
      </c>
      <c r="F279">
        <v>1579</v>
      </c>
      <c r="G279">
        <v>1726</v>
      </c>
      <c r="H279">
        <v>2685</v>
      </c>
    </row>
    <row r="280" spans="1:8">
      <c r="A280" s="45" t="s">
        <v>169</v>
      </c>
      <c r="B280" s="5">
        <v>1.8505156720387912</v>
      </c>
      <c r="C280" s="5">
        <v>6.1463453012970604</v>
      </c>
      <c r="D280" s="5">
        <v>7.9968609733358518</v>
      </c>
      <c r="E280">
        <v>2842.6000000000004</v>
      </c>
      <c r="F280">
        <v>2693</v>
      </c>
      <c r="G280">
        <v>3604</v>
      </c>
      <c r="H280">
        <v>2319</v>
      </c>
    </row>
    <row r="281" spans="1:8">
      <c r="A281" s="45" t="s">
        <v>371</v>
      </c>
      <c r="B281" s="5">
        <v>8.6227794054910571</v>
      </c>
      <c r="C281" s="5">
        <v>5.258491536402194</v>
      </c>
      <c r="D281" s="5">
        <v>13.881270941893252</v>
      </c>
      <c r="E281">
        <v>984.40000000000009</v>
      </c>
      <c r="F281">
        <v>892</v>
      </c>
      <c r="G281">
        <v>858</v>
      </c>
      <c r="H281">
        <v>661</v>
      </c>
    </row>
    <row r="282" spans="1:8">
      <c r="A282" s="45" t="s">
        <v>172</v>
      </c>
      <c r="B282" s="5">
        <v>3.9040485262392033</v>
      </c>
      <c r="C282" s="5">
        <v>4.9371119899590088</v>
      </c>
      <c r="D282" s="5">
        <v>8.8411605161982116</v>
      </c>
      <c r="E282">
        <v>780.2</v>
      </c>
      <c r="F282">
        <v>709</v>
      </c>
      <c r="G282">
        <v>689</v>
      </c>
      <c r="H282">
        <v>531</v>
      </c>
    </row>
    <row r="283" spans="1:8">
      <c r="A283" s="45" t="s">
        <v>205</v>
      </c>
      <c r="B283" s="5">
        <v>1.2411749747511256</v>
      </c>
      <c r="C283" s="5">
        <v>6.2573676853450371</v>
      </c>
      <c r="D283" s="5">
        <v>7.4985426600961631</v>
      </c>
      <c r="E283">
        <v>25918.199999999997</v>
      </c>
      <c r="F283">
        <v>24855</v>
      </c>
      <c r="G283">
        <v>24766</v>
      </c>
      <c r="H283">
        <v>22197</v>
      </c>
    </row>
    <row r="284" spans="1:8">
      <c r="A284" s="45" t="s">
        <v>204</v>
      </c>
      <c r="B284" s="5">
        <v>5.0131649700298437</v>
      </c>
      <c r="C284" s="5">
        <v>17.982940293155771</v>
      </c>
      <c r="D284" s="5">
        <v>22.996105263185616</v>
      </c>
      <c r="E284">
        <v>27080.399999999998</v>
      </c>
      <c r="F284">
        <v>25484</v>
      </c>
      <c r="G284">
        <v>24718</v>
      </c>
      <c r="H284">
        <v>21493</v>
      </c>
    </row>
    <row r="285" spans="1:8">
      <c r="A285" s="45" t="s">
        <v>206</v>
      </c>
      <c r="B285" s="5">
        <v>0.45897479300078275</v>
      </c>
      <c r="C285" s="5">
        <v>2.4950122229897072</v>
      </c>
      <c r="D285" s="5">
        <v>2.95398701599049</v>
      </c>
      <c r="E285">
        <v>2200.4</v>
      </c>
      <c r="F285">
        <v>2170</v>
      </c>
      <c r="G285">
        <v>2125</v>
      </c>
      <c r="H285">
        <v>2094</v>
      </c>
    </row>
    <row r="286" spans="1:8">
      <c r="A286" s="45" t="s">
        <v>323</v>
      </c>
      <c r="B286" s="5">
        <v>1.6348884927215492</v>
      </c>
      <c r="C286" s="5">
        <v>5.5644127593056441</v>
      </c>
      <c r="D286" s="5">
        <v>7.1993012520271931</v>
      </c>
      <c r="E286">
        <v>3558.8</v>
      </c>
      <c r="F286">
        <v>3200</v>
      </c>
      <c r="G286">
        <v>2996</v>
      </c>
      <c r="H286">
        <v>2303</v>
      </c>
    </row>
    <row r="287" spans="1:8">
      <c r="A287" s="45" t="s">
        <v>207</v>
      </c>
      <c r="B287" s="5">
        <v>2.7512152150801601</v>
      </c>
      <c r="C287" s="5">
        <v>4.2722809773380677</v>
      </c>
      <c r="D287" s="5">
        <v>7.0234961924182278</v>
      </c>
      <c r="E287">
        <v>6099.2</v>
      </c>
      <c r="F287">
        <v>5836</v>
      </c>
      <c r="G287">
        <v>5624</v>
      </c>
      <c r="H287">
        <v>5178</v>
      </c>
    </row>
    <row r="288" spans="1:8">
      <c r="A288" s="45" t="s">
        <v>208</v>
      </c>
      <c r="B288" s="5">
        <v>4.6859330550838374</v>
      </c>
      <c r="C288" s="5">
        <v>2.8281878945706547</v>
      </c>
      <c r="D288" s="5">
        <v>7.5141209496544921</v>
      </c>
      <c r="E288">
        <v>9540.2000000000007</v>
      </c>
      <c r="F288">
        <v>7977</v>
      </c>
      <c r="G288">
        <v>7626</v>
      </c>
      <c r="H288">
        <v>4069</v>
      </c>
    </row>
    <row r="289" spans="1:8">
      <c r="A289" s="45" t="s">
        <v>312</v>
      </c>
      <c r="B289" s="5">
        <v>4.5616414310827764</v>
      </c>
      <c r="C289" s="5">
        <v>13.570478112497563</v>
      </c>
      <c r="D289" s="5">
        <v>18.132119543580338</v>
      </c>
      <c r="E289">
        <v>27101.8</v>
      </c>
      <c r="F289">
        <v>22721</v>
      </c>
      <c r="G289">
        <v>19287</v>
      </c>
      <c r="H289">
        <v>11769</v>
      </c>
    </row>
    <row r="290" spans="1:8">
      <c r="A290" s="45" t="s">
        <v>210</v>
      </c>
      <c r="B290" s="5">
        <v>0.41799546553011718</v>
      </c>
      <c r="C290" s="5">
        <v>10.591084042111099</v>
      </c>
      <c r="D290" s="5">
        <v>11.009079507641216</v>
      </c>
      <c r="E290">
        <v>22397.599999999999</v>
      </c>
      <c r="F290">
        <v>20746</v>
      </c>
      <c r="G290">
        <v>18857</v>
      </c>
      <c r="H290">
        <v>16617</v>
      </c>
    </row>
    <row r="291" spans="1:8">
      <c r="A291" s="45" t="s">
        <v>212</v>
      </c>
      <c r="B291" s="5">
        <v>1.1045510885976686</v>
      </c>
      <c r="C291" s="5">
        <v>6.7461185306541331</v>
      </c>
      <c r="D291" s="5">
        <v>7.8506696192518017</v>
      </c>
      <c r="E291">
        <v>5300.2000000000007</v>
      </c>
      <c r="F291">
        <v>4655</v>
      </c>
      <c r="G291">
        <v>4143</v>
      </c>
      <c r="H291">
        <v>3042</v>
      </c>
    </row>
    <row r="292" spans="1:8">
      <c r="A292" s="45" t="s">
        <v>209</v>
      </c>
      <c r="B292" s="5">
        <v>0.16248908316904756</v>
      </c>
      <c r="C292" s="5">
        <v>9.1385218786143838</v>
      </c>
      <c r="D292" s="5">
        <v>9.3010109617834313</v>
      </c>
      <c r="E292">
        <v>8033.9999999999991</v>
      </c>
      <c r="F292">
        <v>7460</v>
      </c>
      <c r="G292">
        <v>7026</v>
      </c>
      <c r="H292">
        <v>6025</v>
      </c>
    </row>
    <row r="293" spans="1:8">
      <c r="A293" s="45" t="s">
        <v>211</v>
      </c>
      <c r="B293" s="5">
        <v>2.1579448916197985</v>
      </c>
      <c r="C293" s="5">
        <v>16.574145423458368</v>
      </c>
      <c r="D293" s="5">
        <v>18.732090315078167</v>
      </c>
      <c r="E293">
        <v>24187.199999999997</v>
      </c>
      <c r="F293">
        <v>22294</v>
      </c>
      <c r="G293">
        <v>20545</v>
      </c>
      <c r="H293">
        <v>17561</v>
      </c>
    </row>
    <row r="294" spans="1:8">
      <c r="A294" s="45" t="s">
        <v>311</v>
      </c>
      <c r="B294" s="5">
        <v>10.130800782225815</v>
      </c>
      <c r="C294" s="5">
        <v>7.0313400561483235</v>
      </c>
      <c r="D294" s="5">
        <v>17.162140838374139</v>
      </c>
      <c r="E294">
        <v>2461.0000000000005</v>
      </c>
      <c r="F294">
        <v>2229</v>
      </c>
      <c r="G294">
        <v>2139</v>
      </c>
      <c r="H294">
        <v>1649</v>
      </c>
    </row>
    <row r="295" spans="1:8">
      <c r="A295" s="45" t="s">
        <v>246</v>
      </c>
      <c r="B295" s="5">
        <v>6.246737357535209</v>
      </c>
      <c r="C295" s="5">
        <v>8.9795608631855028</v>
      </c>
      <c r="D295" s="5">
        <v>15.226298220720711</v>
      </c>
      <c r="E295">
        <v>25913.8</v>
      </c>
      <c r="F295">
        <v>22361</v>
      </c>
      <c r="G295">
        <v>19440</v>
      </c>
      <c r="H295">
        <v>13479</v>
      </c>
    </row>
    <row r="296" spans="1:8">
      <c r="A296" s="45" t="s">
        <v>249</v>
      </c>
      <c r="B296" s="5">
        <v>3.8487795241291245</v>
      </c>
      <c r="C296" s="5">
        <v>7.6678128248060924</v>
      </c>
      <c r="D296" s="5">
        <v>11.516592348935216</v>
      </c>
      <c r="E296">
        <v>14653.2</v>
      </c>
      <c r="F296">
        <v>13912</v>
      </c>
      <c r="G296">
        <v>13712</v>
      </c>
      <c r="H296">
        <v>12059</v>
      </c>
    </row>
    <row r="297" spans="1:8">
      <c r="A297" s="45" t="s">
        <v>248</v>
      </c>
      <c r="B297" s="5">
        <v>0.89887817706790218</v>
      </c>
      <c r="C297" s="5">
        <v>2.9667254378810699</v>
      </c>
      <c r="D297" s="5">
        <v>3.8656036149489719</v>
      </c>
      <c r="E297">
        <v>1488.6000000000001</v>
      </c>
      <c r="F297">
        <v>1443</v>
      </c>
      <c r="G297">
        <v>1468</v>
      </c>
      <c r="H297">
        <v>1329</v>
      </c>
    </row>
    <row r="298" spans="1:8">
      <c r="A298" s="45" t="s">
        <v>245</v>
      </c>
      <c r="B298" s="5">
        <v>5.5925152814502122</v>
      </c>
      <c r="C298" s="5">
        <v>0.23066704822216036</v>
      </c>
      <c r="D298" s="5">
        <v>5.8231823296723721</v>
      </c>
      <c r="E298">
        <v>4782.4000000000005</v>
      </c>
      <c r="F298">
        <v>4832</v>
      </c>
      <c r="G298">
        <v>4800</v>
      </c>
      <c r="H298">
        <v>4956</v>
      </c>
    </row>
    <row r="299" spans="1:8">
      <c r="A299" s="45" t="s">
        <v>406</v>
      </c>
      <c r="B299" s="5">
        <v>5.6148009031487627</v>
      </c>
      <c r="C299" s="5">
        <v>0.44117474574644649</v>
      </c>
      <c r="D299" s="5">
        <v>6.0559756488952088</v>
      </c>
      <c r="E299">
        <v>0</v>
      </c>
      <c r="F299">
        <v>0</v>
      </c>
      <c r="G299">
        <v>0</v>
      </c>
      <c r="H299">
        <v>0</v>
      </c>
    </row>
    <row r="300" spans="1:8">
      <c r="A300" s="45" t="s">
        <v>250</v>
      </c>
      <c r="B300" s="5">
        <v>3.2383332147399555</v>
      </c>
      <c r="C300" s="5">
        <v>1.6531857659314322</v>
      </c>
      <c r="D300" s="5">
        <v>4.8915189806713872</v>
      </c>
      <c r="E300">
        <v>2204.8000000000002</v>
      </c>
      <c r="F300">
        <v>1978</v>
      </c>
      <c r="G300">
        <v>1835</v>
      </c>
      <c r="H300">
        <v>1411</v>
      </c>
    </row>
    <row r="301" spans="1:8">
      <c r="A301" s="45" t="s">
        <v>322</v>
      </c>
      <c r="B301" s="5">
        <v>7.5074077993320945</v>
      </c>
      <c r="C301" s="5">
        <v>12.931951466123895</v>
      </c>
      <c r="D301" s="5">
        <v>20.439359265455991</v>
      </c>
      <c r="E301">
        <v>46271.6</v>
      </c>
      <c r="F301">
        <v>40098</v>
      </c>
      <c r="G301">
        <v>34675</v>
      </c>
      <c r="H301">
        <v>24664</v>
      </c>
    </row>
    <row r="302" spans="1:8">
      <c r="A302" s="45" t="s">
        <v>253</v>
      </c>
      <c r="B302" s="5">
        <v>12.943621481028773</v>
      </c>
      <c r="C302" s="5">
        <v>5.2601121935128807</v>
      </c>
      <c r="D302" s="5">
        <v>18.203733674541652</v>
      </c>
      <c r="E302">
        <v>4648.6000000000004</v>
      </c>
      <c r="F302">
        <v>4401</v>
      </c>
      <c r="G302">
        <v>4422</v>
      </c>
      <c r="H302">
        <v>3782</v>
      </c>
    </row>
    <row r="303" spans="1:8">
      <c r="A303" s="45" t="s">
        <v>252</v>
      </c>
      <c r="B303" s="5">
        <v>5.46086262550262</v>
      </c>
      <c r="C303" s="5">
        <v>8.466675940292598</v>
      </c>
      <c r="D303" s="5">
        <v>13.927538565795217</v>
      </c>
      <c r="E303">
        <v>2903.8</v>
      </c>
      <c r="F303">
        <v>3051</v>
      </c>
      <c r="G303">
        <v>3294</v>
      </c>
      <c r="H303">
        <v>3419</v>
      </c>
    </row>
    <row r="304" spans="1:8">
      <c r="A304" s="45" t="s">
        <v>237</v>
      </c>
      <c r="B304" s="5">
        <v>3.8668784564990384</v>
      </c>
      <c r="C304" s="5">
        <v>36.700435008097443</v>
      </c>
      <c r="D304" s="5">
        <v>40.567313464596481</v>
      </c>
      <c r="E304">
        <v>14964.8</v>
      </c>
      <c r="F304">
        <v>14442</v>
      </c>
      <c r="G304">
        <v>13211</v>
      </c>
      <c r="H304">
        <v>13135</v>
      </c>
    </row>
    <row r="305" spans="1:8">
      <c r="A305" s="45" t="s">
        <v>239</v>
      </c>
      <c r="B305" s="5">
        <v>5.5712783199534659</v>
      </c>
      <c r="C305" s="5">
        <v>4.6021009852558477</v>
      </c>
      <c r="D305" s="5">
        <v>10.173379305209313</v>
      </c>
      <c r="E305">
        <v>0</v>
      </c>
      <c r="F305">
        <v>0</v>
      </c>
      <c r="G305">
        <v>0</v>
      </c>
      <c r="H305">
        <v>0</v>
      </c>
    </row>
    <row r="306" spans="1:8">
      <c r="A306" s="45" t="s">
        <v>238</v>
      </c>
      <c r="B306" s="5">
        <v>19.880531603824462</v>
      </c>
      <c r="C306" s="5">
        <v>3.5822633302852753</v>
      </c>
      <c r="D306" s="5">
        <v>23.462794934109738</v>
      </c>
      <c r="E306">
        <v>597.59999999999991</v>
      </c>
      <c r="F306">
        <v>542</v>
      </c>
      <c r="G306">
        <v>522</v>
      </c>
      <c r="H306">
        <v>403</v>
      </c>
    </row>
    <row r="307" spans="1:8">
      <c r="A307" s="45" t="s">
        <v>242</v>
      </c>
      <c r="B307" s="5">
        <v>3.9065092793410878</v>
      </c>
      <c r="C307" s="5">
        <v>3.1231249753096924</v>
      </c>
      <c r="D307" s="5">
        <v>7.0296342546507802</v>
      </c>
      <c r="E307">
        <v>0</v>
      </c>
      <c r="F307">
        <v>0</v>
      </c>
      <c r="G307">
        <v>0</v>
      </c>
      <c r="H307">
        <v>0</v>
      </c>
    </row>
    <row r="308" spans="1:8">
      <c r="A308" s="45" t="s">
        <v>241</v>
      </c>
      <c r="B308" s="5">
        <v>25.708339770156122</v>
      </c>
      <c r="C308" s="5">
        <v>11.867433885901709</v>
      </c>
      <c r="D308" s="5">
        <v>37.575773656057834</v>
      </c>
      <c r="E308">
        <v>7414</v>
      </c>
      <c r="F308">
        <v>5532</v>
      </c>
      <c r="G308">
        <v>4902</v>
      </c>
      <c r="H308">
        <v>827</v>
      </c>
    </row>
    <row r="309" spans="1:8">
      <c r="A309" s="45" t="s">
        <v>283</v>
      </c>
      <c r="B309" s="5">
        <v>22.711677101406497</v>
      </c>
      <c r="C309" s="5">
        <v>16.786576259451735</v>
      </c>
      <c r="D309" s="5">
        <v>39.498253360858229</v>
      </c>
      <c r="E309">
        <v>159181.80000000002</v>
      </c>
      <c r="F309">
        <v>148409</v>
      </c>
      <c r="G309">
        <v>143038</v>
      </c>
      <c r="H309">
        <v>121477</v>
      </c>
    </row>
    <row r="310" spans="1:8">
      <c r="A310" s="45" t="s">
        <v>243</v>
      </c>
      <c r="B310" s="5">
        <v>7.7627834520960874</v>
      </c>
      <c r="C310" s="5">
        <v>3.9175844411955536</v>
      </c>
      <c r="D310" s="5">
        <v>11.680367893291642</v>
      </c>
      <c r="E310">
        <v>1131</v>
      </c>
      <c r="F310">
        <v>1021</v>
      </c>
      <c r="G310">
        <v>970</v>
      </c>
      <c r="H310">
        <v>746</v>
      </c>
    </row>
    <row r="311" spans="1:8">
      <c r="A311" s="45" t="s">
        <v>284</v>
      </c>
      <c r="B311" s="5">
        <v>44.476181621683594</v>
      </c>
      <c r="C311" s="5">
        <v>6.8435286574911265</v>
      </c>
      <c r="D311" s="5">
        <v>51.319710279174721</v>
      </c>
      <c r="E311">
        <v>0</v>
      </c>
      <c r="F311">
        <v>0</v>
      </c>
      <c r="G311">
        <v>0</v>
      </c>
      <c r="H311">
        <v>0</v>
      </c>
    </row>
    <row r="312" spans="1:8">
      <c r="A312" s="45" t="s">
        <v>282</v>
      </c>
      <c r="B312" s="5">
        <v>14.968819517069583</v>
      </c>
      <c r="C312" s="5">
        <v>12.03884095585946</v>
      </c>
      <c r="D312" s="5">
        <v>27.007660472929043</v>
      </c>
      <c r="E312">
        <v>56168.400000000016</v>
      </c>
      <c r="F312">
        <v>46870</v>
      </c>
      <c r="G312">
        <v>39994</v>
      </c>
      <c r="H312">
        <v>23624</v>
      </c>
    </row>
    <row r="313" spans="1:8">
      <c r="A313" s="45" t="s">
        <v>342</v>
      </c>
      <c r="B313" s="5">
        <v>10.986706947646834</v>
      </c>
      <c r="C313" s="5">
        <v>19.405630002108385</v>
      </c>
      <c r="D313" s="5">
        <v>30.392336949755219</v>
      </c>
      <c r="E313">
        <v>847667.80000000016</v>
      </c>
      <c r="F313">
        <v>761113</v>
      </c>
      <c r="G313">
        <v>705298</v>
      </c>
      <c r="H313">
        <v>544726</v>
      </c>
    </row>
    <row r="314" spans="1:8">
      <c r="A314" s="45" t="s">
        <v>281</v>
      </c>
      <c r="B314" s="5">
        <v>12.7442226780871</v>
      </c>
      <c r="C314" s="5">
        <v>11.487582021322705</v>
      </c>
      <c r="D314" s="5">
        <v>24.231804699409807</v>
      </c>
      <c r="E314">
        <v>753.99999999999989</v>
      </c>
      <c r="F314">
        <v>686</v>
      </c>
      <c r="G314">
        <v>669</v>
      </c>
      <c r="H314">
        <v>516</v>
      </c>
    </row>
    <row r="315" spans="1:8">
      <c r="A315" s="45" t="s">
        <v>280</v>
      </c>
      <c r="B315" s="5">
        <v>19.236626993252958</v>
      </c>
      <c r="C315" s="5">
        <v>21.29705128658226</v>
      </c>
      <c r="D315" s="5">
        <v>40.533678279835215</v>
      </c>
      <c r="E315">
        <v>34289.199999999997</v>
      </c>
      <c r="F315">
        <v>29402</v>
      </c>
      <c r="G315">
        <v>25692</v>
      </c>
      <c r="H315">
        <v>17184</v>
      </c>
    </row>
    <row r="316" spans="1:8">
      <c r="A316" s="45" t="s">
        <v>318</v>
      </c>
      <c r="B316" s="5">
        <v>1.1364812828340105</v>
      </c>
      <c r="C316" s="5">
        <v>1.2277026592714742</v>
      </c>
      <c r="D316" s="5">
        <v>2.3641839421054849</v>
      </c>
      <c r="E316">
        <v>18965</v>
      </c>
      <c r="F316">
        <v>15975</v>
      </c>
      <c r="G316">
        <v>13069</v>
      </c>
      <c r="H316">
        <v>8500</v>
      </c>
    </row>
    <row r="317" spans="1:8">
      <c r="A317" s="45" t="s">
        <v>317</v>
      </c>
      <c r="B317" s="5">
        <v>0.93706023537361027</v>
      </c>
      <c r="C317" s="5">
        <v>0.23290500149264839</v>
      </c>
      <c r="D317" s="5">
        <v>1.1699652368662588</v>
      </c>
      <c r="E317">
        <v>152.19999999999999</v>
      </c>
      <c r="F317">
        <v>139</v>
      </c>
      <c r="G317">
        <v>138</v>
      </c>
      <c r="H317">
        <v>106</v>
      </c>
    </row>
    <row r="318" spans="1:8">
      <c r="A318" s="45" t="s">
        <v>222</v>
      </c>
      <c r="B318" s="5">
        <v>12.967781086337359</v>
      </c>
      <c r="C318" s="5">
        <v>19.539935228689451</v>
      </c>
      <c r="D318" s="5">
        <v>32.507716315026812</v>
      </c>
      <c r="E318">
        <v>44957.000000000015</v>
      </c>
      <c r="F318">
        <v>40119</v>
      </c>
      <c r="G318">
        <v>27879</v>
      </c>
      <c r="H318">
        <v>28024</v>
      </c>
    </row>
    <row r="319" spans="1:8">
      <c r="A319" s="45" t="s">
        <v>226</v>
      </c>
      <c r="B319" s="5">
        <v>3.6808864084405717</v>
      </c>
      <c r="C319" s="5">
        <v>2.1968862916528531</v>
      </c>
      <c r="D319" s="5">
        <v>5.8777727000934252</v>
      </c>
      <c r="E319">
        <v>692.6</v>
      </c>
      <c r="F319">
        <v>627</v>
      </c>
      <c r="G319">
        <v>601</v>
      </c>
      <c r="H319">
        <v>463</v>
      </c>
    </row>
    <row r="320" spans="1:8">
      <c r="A320" s="45" t="s">
        <v>221</v>
      </c>
      <c r="B320" s="5">
        <v>4.7877675021701602</v>
      </c>
      <c r="C320" s="5">
        <v>27.394612100632312</v>
      </c>
      <c r="D320" s="5">
        <v>32.18237960280247</v>
      </c>
      <c r="E320">
        <v>122374.19999999998</v>
      </c>
      <c r="F320">
        <v>105385</v>
      </c>
      <c r="G320">
        <v>86030</v>
      </c>
      <c r="H320">
        <v>62912</v>
      </c>
    </row>
    <row r="321" spans="1:8">
      <c r="A321" s="45" t="s">
        <v>220</v>
      </c>
      <c r="B321" s="5">
        <v>12.19757507471213</v>
      </c>
      <c r="C321" s="5">
        <v>28.936407783633125</v>
      </c>
      <c r="D321" s="5">
        <v>41.133982858345256</v>
      </c>
      <c r="E321">
        <v>43192.6</v>
      </c>
      <c r="F321">
        <v>37369</v>
      </c>
      <c r="G321">
        <v>30946</v>
      </c>
      <c r="H321">
        <v>22810</v>
      </c>
    </row>
    <row r="322" spans="1:8">
      <c r="A322" s="45" t="s">
        <v>426</v>
      </c>
      <c r="B322" s="5">
        <v>8.3754611570076634</v>
      </c>
      <c r="C322" s="5">
        <v>13.830135535070742</v>
      </c>
      <c r="D322" s="5">
        <v>22.205596692078405</v>
      </c>
      <c r="E322">
        <v>27704</v>
      </c>
      <c r="F322">
        <v>26230</v>
      </c>
      <c r="G322">
        <v>26523</v>
      </c>
      <c r="H322">
        <v>22545</v>
      </c>
    </row>
    <row r="323" spans="1:8">
      <c r="A323" s="45" t="s">
        <v>223</v>
      </c>
      <c r="B323" s="5">
        <v>8.0484852375602394</v>
      </c>
      <c r="C323" s="5">
        <v>2.1880007915896935</v>
      </c>
      <c r="D323" s="5">
        <v>10.236486029149933</v>
      </c>
      <c r="E323">
        <v>533.6</v>
      </c>
      <c r="F323">
        <v>454</v>
      </c>
      <c r="G323">
        <v>413</v>
      </c>
      <c r="H323">
        <v>255</v>
      </c>
    </row>
    <row r="324" spans="1:8">
      <c r="A324" s="45" t="s">
        <v>228</v>
      </c>
      <c r="B324" s="5">
        <v>2.3400240413751128</v>
      </c>
      <c r="C324" s="5">
        <v>2.0484501001449855</v>
      </c>
      <c r="D324" s="5">
        <v>4.3884741415200983</v>
      </c>
      <c r="E324">
        <v>2490.8000000000002</v>
      </c>
      <c r="F324">
        <v>2368</v>
      </c>
      <c r="G324">
        <v>2214</v>
      </c>
      <c r="H324">
        <v>2061</v>
      </c>
    </row>
    <row r="325" spans="1:8">
      <c r="A325" s="45" t="s">
        <v>224</v>
      </c>
      <c r="B325" s="5">
        <v>7.5974457951691106</v>
      </c>
      <c r="C325" s="5">
        <v>1.9491028059497846</v>
      </c>
      <c r="D325" s="5">
        <v>9.5465486011188947</v>
      </c>
      <c r="E325">
        <v>1921.2</v>
      </c>
      <c r="F325">
        <v>1686</v>
      </c>
      <c r="G325">
        <v>1306</v>
      </c>
      <c r="H325">
        <v>1098</v>
      </c>
    </row>
    <row r="326" spans="1:8">
      <c r="A326" s="45" t="s">
        <v>225</v>
      </c>
      <c r="B326" s="5">
        <v>2.188623992569422</v>
      </c>
      <c r="C326" s="5">
        <v>0.67441528617031843</v>
      </c>
      <c r="D326" s="5">
        <v>2.8630392787397403</v>
      </c>
      <c r="E326">
        <v>1449.6</v>
      </c>
      <c r="F326">
        <v>1378</v>
      </c>
      <c r="G326">
        <v>1289</v>
      </c>
      <c r="H326">
        <v>1199</v>
      </c>
    </row>
    <row r="327" spans="1:8">
      <c r="A327" s="45" t="s">
        <v>227</v>
      </c>
      <c r="B327" s="5">
        <v>2.3650321522523097</v>
      </c>
      <c r="C327" s="5">
        <v>4.6394813714022289</v>
      </c>
      <c r="D327" s="5">
        <v>7.0045135236545386</v>
      </c>
      <c r="E327">
        <v>10548.4</v>
      </c>
      <c r="F327">
        <v>10146</v>
      </c>
      <c r="G327">
        <v>9774</v>
      </c>
      <c r="H327">
        <v>9140</v>
      </c>
    </row>
    <row r="328" spans="1:8">
      <c r="A328" s="45" t="s">
        <v>218</v>
      </c>
      <c r="B328" s="5">
        <v>1.3598482370138618</v>
      </c>
      <c r="C328" s="5">
        <v>0.87803781236818423</v>
      </c>
      <c r="D328" s="5">
        <v>2.237886049382046</v>
      </c>
      <c r="E328">
        <v>0</v>
      </c>
      <c r="F328">
        <v>0</v>
      </c>
      <c r="G328">
        <v>0</v>
      </c>
      <c r="H328">
        <v>0</v>
      </c>
    </row>
    <row r="329" spans="1:8">
      <c r="A329" s="45" t="s">
        <v>215</v>
      </c>
      <c r="B329" s="5">
        <v>0.22068325803939554</v>
      </c>
      <c r="C329" s="5">
        <v>10.801089542557387</v>
      </c>
      <c r="D329" s="5">
        <v>11.021772800596782</v>
      </c>
      <c r="E329">
        <v>110542.80000000002</v>
      </c>
      <c r="F329">
        <v>94726</v>
      </c>
      <c r="G329">
        <v>80553</v>
      </c>
      <c r="H329">
        <v>55184</v>
      </c>
    </row>
    <row r="330" spans="1:8">
      <c r="A330" s="45" t="s">
        <v>216</v>
      </c>
      <c r="B330" s="5">
        <v>0.30534592888098933</v>
      </c>
      <c r="C330" s="5">
        <v>2.5795596815012933</v>
      </c>
      <c r="D330" s="5">
        <v>2.8849056103822828</v>
      </c>
      <c r="E330">
        <v>108824.59999999999</v>
      </c>
      <c r="F330">
        <v>98033</v>
      </c>
      <c r="G330">
        <v>92493</v>
      </c>
      <c r="H330">
        <v>71054</v>
      </c>
    </row>
    <row r="331" spans="1:8">
      <c r="A331" s="45" t="s">
        <v>219</v>
      </c>
      <c r="B331" s="5">
        <v>10.382460656028821</v>
      </c>
      <c r="C331" s="5">
        <v>1.0583227929620822</v>
      </c>
      <c r="D331" s="5">
        <v>11.440783448990903</v>
      </c>
      <c r="E331">
        <v>1261.0000000000002</v>
      </c>
      <c r="F331">
        <v>1215</v>
      </c>
      <c r="G331">
        <v>1160</v>
      </c>
      <c r="H331">
        <v>1100</v>
      </c>
    </row>
    <row r="332" spans="1:8">
      <c r="A332" s="45" t="s">
        <v>231</v>
      </c>
      <c r="B332" s="5">
        <v>1.6987381762699818</v>
      </c>
      <c r="C332" s="5">
        <v>1.7866078615381062</v>
      </c>
      <c r="D332" s="5">
        <v>3.485346037808088</v>
      </c>
      <c r="E332">
        <v>3161.2</v>
      </c>
      <c r="F332">
        <v>3166</v>
      </c>
      <c r="G332">
        <v>3190</v>
      </c>
      <c r="H332">
        <v>3178</v>
      </c>
    </row>
    <row r="333" spans="1:8">
      <c r="A333" s="45" t="s">
        <v>213</v>
      </c>
      <c r="B333" s="5">
        <v>3.8001309916256165</v>
      </c>
      <c r="C333" s="5">
        <v>3.8512618658137008</v>
      </c>
      <c r="D333" s="5">
        <v>7.6513928574393173</v>
      </c>
      <c r="E333">
        <v>6004</v>
      </c>
      <c r="F333">
        <v>5750</v>
      </c>
      <c r="G333">
        <v>5791</v>
      </c>
      <c r="H333">
        <v>5115</v>
      </c>
    </row>
    <row r="334" spans="1:8">
      <c r="A334" s="45" t="s">
        <v>234</v>
      </c>
      <c r="B334" s="5">
        <v>9.0685572201895219</v>
      </c>
      <c r="C334" s="5">
        <v>7.2009739265358421</v>
      </c>
      <c r="D334" s="5">
        <v>16.269531146725363</v>
      </c>
      <c r="E334">
        <v>14357.2</v>
      </c>
      <c r="F334">
        <v>13252</v>
      </c>
      <c r="G334">
        <v>12370</v>
      </c>
      <c r="H334">
        <v>10489</v>
      </c>
    </row>
    <row r="335" spans="1:8">
      <c r="A335" s="45" t="s">
        <v>233</v>
      </c>
      <c r="B335" s="5">
        <v>9.636154328585846</v>
      </c>
      <c r="C335" s="5">
        <v>12.618376821834032</v>
      </c>
      <c r="D335" s="5">
        <v>22.254531150419879</v>
      </c>
      <c r="E335">
        <v>7684.0000000000009</v>
      </c>
      <c r="F335">
        <v>7750</v>
      </c>
      <c r="G335">
        <v>9066</v>
      </c>
      <c r="H335">
        <v>7915</v>
      </c>
    </row>
    <row r="336" spans="1:8">
      <c r="A336" s="45" t="s">
        <v>277</v>
      </c>
      <c r="B336" s="5">
        <v>19.547170884013873</v>
      </c>
      <c r="C336" s="5">
        <v>24.879361285402183</v>
      </c>
      <c r="D336" s="5">
        <v>44.426532169416056</v>
      </c>
      <c r="E336">
        <v>115300</v>
      </c>
      <c r="F336">
        <v>95592</v>
      </c>
      <c r="G336">
        <v>81138</v>
      </c>
      <c r="H336">
        <v>46322</v>
      </c>
    </row>
    <row r="337" spans="1:8">
      <c r="A337" s="45" t="s">
        <v>278</v>
      </c>
      <c r="B337" s="5">
        <v>1.9195418502551336</v>
      </c>
      <c r="C337" s="5">
        <v>12.594119859019353</v>
      </c>
      <c r="D337" s="5">
        <v>14.513661709274487</v>
      </c>
      <c r="E337">
        <v>33568.600000000006</v>
      </c>
      <c r="F337">
        <v>28233</v>
      </c>
      <c r="G337">
        <v>22914</v>
      </c>
      <c r="H337">
        <v>14894</v>
      </c>
    </row>
    <row r="338" spans="1:8">
      <c r="A338" s="45" t="s">
        <v>288</v>
      </c>
      <c r="B338" s="5">
        <v>13.907388823294353</v>
      </c>
      <c r="C338" s="5">
        <v>17.936884543388871</v>
      </c>
      <c r="D338" s="5">
        <v>31.844273366683225</v>
      </c>
      <c r="E338">
        <v>122522.6</v>
      </c>
      <c r="F338">
        <v>101601</v>
      </c>
      <c r="G338">
        <v>85199</v>
      </c>
      <c r="H338">
        <v>49297</v>
      </c>
    </row>
    <row r="339" spans="1:8">
      <c r="A339" s="45" t="s">
        <v>155</v>
      </c>
      <c r="B339" s="5">
        <v>107.35219388462671</v>
      </c>
      <c r="C339" s="5">
        <v>99.158483057458355</v>
      </c>
      <c r="D339" s="5">
        <v>206.51067694208507</v>
      </c>
      <c r="E339">
        <v>78477.600000000006</v>
      </c>
      <c r="F339">
        <v>69364</v>
      </c>
      <c r="G339">
        <v>61310</v>
      </c>
      <c r="H339">
        <v>46580</v>
      </c>
    </row>
    <row r="340" spans="1:8">
      <c r="A340" s="45" t="s">
        <v>496</v>
      </c>
      <c r="B340" s="5">
        <v>110.57347936186871</v>
      </c>
      <c r="C340" s="5">
        <v>34.956371785898611</v>
      </c>
      <c r="D340" s="5">
        <v>145.52985114776732</v>
      </c>
      <c r="E340">
        <v>151398.99999999991</v>
      </c>
      <c r="F340">
        <v>135861</v>
      </c>
      <c r="G340">
        <v>127970</v>
      </c>
      <c r="H340">
        <v>97016</v>
      </c>
    </row>
    <row r="341" spans="1:8">
      <c r="A341" s="45" t="s">
        <v>148</v>
      </c>
      <c r="B341" s="5">
        <v>0.93513247049825921</v>
      </c>
      <c r="C341" s="5">
        <v>1.067373277258332</v>
      </c>
      <c r="D341" s="5">
        <v>2.0025057477565911</v>
      </c>
      <c r="E341">
        <v>109334.6</v>
      </c>
      <c r="F341">
        <v>97799</v>
      </c>
      <c r="G341">
        <v>92668</v>
      </c>
      <c r="H341">
        <v>68960</v>
      </c>
    </row>
    <row r="342" spans="1:8">
      <c r="A342" s="45" t="s">
        <v>149</v>
      </c>
      <c r="B342" s="5">
        <v>0.4809279288611682</v>
      </c>
      <c r="C342" s="5">
        <v>0.48992463313575818</v>
      </c>
      <c r="D342" s="5">
        <v>0.97085256199692638</v>
      </c>
      <c r="E342">
        <v>0</v>
      </c>
      <c r="F342">
        <v>0</v>
      </c>
      <c r="G342">
        <v>0</v>
      </c>
      <c r="H342">
        <v>0</v>
      </c>
    </row>
    <row r="343" spans="1:8">
      <c r="A343" s="45" t="s">
        <v>154</v>
      </c>
      <c r="B343" s="5">
        <v>3.8080030227349893</v>
      </c>
      <c r="C343" s="5">
        <v>0.44257128029650061</v>
      </c>
      <c r="D343" s="5">
        <v>4.25057430303149</v>
      </c>
      <c r="E343">
        <v>0</v>
      </c>
      <c r="F343">
        <v>0</v>
      </c>
      <c r="G343">
        <v>0</v>
      </c>
      <c r="H343">
        <v>0</v>
      </c>
    </row>
    <row r="344" spans="1:8">
      <c r="A344" s="45" t="s">
        <v>316</v>
      </c>
      <c r="B344" s="5">
        <v>19.649383866511148</v>
      </c>
      <c r="C344" s="5">
        <v>16.870754080877798</v>
      </c>
      <c r="D344" s="5">
        <v>36.520137947388946</v>
      </c>
      <c r="E344">
        <v>3566.2</v>
      </c>
      <c r="F344">
        <v>5157</v>
      </c>
      <c r="G344">
        <v>9033</v>
      </c>
      <c r="H344">
        <v>9134</v>
      </c>
    </row>
    <row r="345" spans="1:8">
      <c r="A345" s="45" t="s">
        <v>152</v>
      </c>
      <c r="B345" s="5">
        <v>2.04129701971755</v>
      </c>
      <c r="C345" s="5">
        <v>1.34790756068548</v>
      </c>
      <c r="D345" s="5">
        <v>3.38920458040303</v>
      </c>
      <c r="E345">
        <v>0</v>
      </c>
      <c r="F345">
        <v>0</v>
      </c>
      <c r="G345">
        <v>0</v>
      </c>
      <c r="H345">
        <v>0</v>
      </c>
    </row>
    <row r="346" spans="1:8">
      <c r="A346" s="45" t="s">
        <v>150</v>
      </c>
      <c r="B346" s="5">
        <v>1.9782106697445114</v>
      </c>
      <c r="C346" s="5">
        <v>5.7560381325236012</v>
      </c>
      <c r="D346" s="5">
        <v>7.7342488022681124</v>
      </c>
      <c r="E346">
        <v>1137.4000000000001</v>
      </c>
      <c r="F346">
        <v>987</v>
      </c>
      <c r="G346">
        <v>821</v>
      </c>
      <c r="H346">
        <v>611</v>
      </c>
    </row>
    <row r="347" spans="1:8">
      <c r="A347" s="45" t="s">
        <v>151</v>
      </c>
      <c r="B347" s="5">
        <v>1.2101580511506613</v>
      </c>
      <c r="C347" s="5">
        <v>2.9362589273536095</v>
      </c>
      <c r="D347" s="5">
        <v>4.1464169785042708</v>
      </c>
      <c r="E347">
        <v>0</v>
      </c>
      <c r="F347">
        <v>0</v>
      </c>
      <c r="G347">
        <v>0</v>
      </c>
      <c r="H347">
        <v>0</v>
      </c>
    </row>
    <row r="348" spans="1:8">
      <c r="A348" s="45" t="s">
        <v>156</v>
      </c>
      <c r="B348" s="5">
        <v>5.0766116180285836</v>
      </c>
      <c r="C348" s="5">
        <v>6.3262638139213152</v>
      </c>
      <c r="D348" s="5">
        <v>11.402875431949898</v>
      </c>
      <c r="E348">
        <v>206</v>
      </c>
      <c r="F348">
        <v>188</v>
      </c>
      <c r="G348">
        <v>186</v>
      </c>
      <c r="H348">
        <v>143</v>
      </c>
    </row>
    <row r="349" spans="1:8">
      <c r="A349" s="45" t="s">
        <v>157</v>
      </c>
      <c r="B349" s="5">
        <v>16.786664936201504</v>
      </c>
      <c r="C349" s="5">
        <v>19.796583130423766</v>
      </c>
      <c r="D349" s="5">
        <v>36.583248066625274</v>
      </c>
      <c r="E349">
        <v>5648.0000000000009</v>
      </c>
      <c r="F349">
        <v>5152</v>
      </c>
      <c r="G349">
        <v>4902</v>
      </c>
      <c r="H349">
        <v>3912</v>
      </c>
    </row>
    <row r="350" spans="1:8">
      <c r="A350" s="45" t="s">
        <v>159</v>
      </c>
      <c r="B350" s="5">
        <v>0.3962470194414503</v>
      </c>
      <c r="C350" s="5">
        <v>0.57540808768826945</v>
      </c>
      <c r="D350" s="5">
        <v>0.9716551071297197</v>
      </c>
      <c r="E350">
        <v>0</v>
      </c>
      <c r="F350">
        <v>0</v>
      </c>
      <c r="G350">
        <v>0</v>
      </c>
      <c r="H350">
        <v>0</v>
      </c>
    </row>
    <row r="351" spans="1:8">
      <c r="A351" s="45" t="s">
        <v>274</v>
      </c>
      <c r="B351" s="5">
        <v>0.16320714809910206</v>
      </c>
      <c r="C351" s="5">
        <v>0.2739740446413032</v>
      </c>
      <c r="D351" s="5">
        <v>0.43718119274040523</v>
      </c>
      <c r="E351">
        <v>3452.2</v>
      </c>
      <c r="F351">
        <v>3093</v>
      </c>
      <c r="G351">
        <v>2855</v>
      </c>
      <c r="H351">
        <v>2195</v>
      </c>
    </row>
    <row r="352" spans="1:8">
      <c r="A352" s="45" t="s">
        <v>273</v>
      </c>
      <c r="B352" s="5">
        <v>0.80758675578690253</v>
      </c>
      <c r="C352" s="5">
        <v>1.212357785428215</v>
      </c>
      <c r="D352" s="5">
        <v>2.0199445412151178</v>
      </c>
      <c r="E352">
        <v>1813.2</v>
      </c>
      <c r="F352">
        <v>1640</v>
      </c>
      <c r="G352">
        <v>1568</v>
      </c>
      <c r="H352">
        <v>1207</v>
      </c>
    </row>
    <row r="353" spans="1:8">
      <c r="A353" s="45" t="s">
        <v>272</v>
      </c>
      <c r="B353" s="5">
        <v>11.358451059226404</v>
      </c>
      <c r="C353" s="5">
        <v>11.984059440560051</v>
      </c>
      <c r="D353" s="5">
        <v>23.342510499786457</v>
      </c>
      <c r="E353">
        <v>49765.399999999994</v>
      </c>
      <c r="F353">
        <v>44615</v>
      </c>
      <c r="G353">
        <v>40023</v>
      </c>
      <c r="H353">
        <v>31739</v>
      </c>
    </row>
    <row r="354" spans="1:8">
      <c r="A354" s="45" t="s">
        <v>270</v>
      </c>
      <c r="B354" s="5">
        <v>18.428990088091158</v>
      </c>
      <c r="C354" s="5">
        <v>25.418976754359917</v>
      </c>
      <c r="D354" s="5">
        <v>43.847966842451072</v>
      </c>
      <c r="E354">
        <v>178071.19999999992</v>
      </c>
      <c r="F354">
        <v>165804</v>
      </c>
      <c r="G354">
        <v>126472</v>
      </c>
      <c r="H354">
        <v>135136</v>
      </c>
    </row>
    <row r="355" spans="1:8">
      <c r="A355" s="45" t="s">
        <v>271</v>
      </c>
      <c r="B355" s="5">
        <v>1.6393430942842437</v>
      </c>
      <c r="C355" s="5">
        <v>21.063436463714492</v>
      </c>
      <c r="D355" s="5">
        <v>22.702779557998735</v>
      </c>
      <c r="E355">
        <v>614508.20000000019</v>
      </c>
      <c r="F355">
        <v>571239</v>
      </c>
      <c r="G355">
        <v>488938</v>
      </c>
      <c r="H355">
        <v>463066</v>
      </c>
    </row>
    <row r="356" spans="1:8">
      <c r="A356" s="45" t="s">
        <v>269</v>
      </c>
      <c r="B356" s="5">
        <v>7.8334135366308182</v>
      </c>
      <c r="C356" s="5">
        <v>0.9984503721942426</v>
      </c>
      <c r="D356" s="5">
        <v>8.8318639088250599</v>
      </c>
      <c r="E356">
        <v>529.4</v>
      </c>
      <c r="F356">
        <v>479</v>
      </c>
      <c r="G356">
        <v>458</v>
      </c>
      <c r="H356">
        <v>353</v>
      </c>
    </row>
    <row r="357" spans="1:8">
      <c r="A357" s="45" t="s">
        <v>265</v>
      </c>
      <c r="B357" s="5">
        <v>3.6204347146877018</v>
      </c>
      <c r="C357" s="5">
        <v>3.8216976481139482</v>
      </c>
      <c r="D357" s="5">
        <v>7.44213236280165</v>
      </c>
      <c r="E357">
        <v>5596.5999999999995</v>
      </c>
      <c r="F357">
        <v>5395</v>
      </c>
      <c r="G357">
        <v>5015</v>
      </c>
      <c r="H357">
        <v>4891</v>
      </c>
    </row>
    <row r="358" spans="1:8">
      <c r="A358" s="45" t="s">
        <v>266</v>
      </c>
      <c r="B358" s="5">
        <v>2.6809483160408014</v>
      </c>
      <c r="C358" s="5">
        <v>2.0014944432305617</v>
      </c>
      <c r="D358" s="5">
        <v>4.6824427592713631</v>
      </c>
      <c r="E358">
        <v>8774.2000000000007</v>
      </c>
      <c r="F358">
        <v>7173</v>
      </c>
      <c r="G358">
        <v>4125</v>
      </c>
      <c r="H358">
        <v>3170</v>
      </c>
    </row>
    <row r="359" spans="1:8">
      <c r="A359" s="45" t="s">
        <v>267</v>
      </c>
      <c r="B359" s="5">
        <v>1.3953546130035459</v>
      </c>
      <c r="C359" s="5">
        <v>20.642507754578428</v>
      </c>
      <c r="D359" s="5">
        <v>22.037862367581972</v>
      </c>
      <c r="E359">
        <v>51357.4</v>
      </c>
      <c r="F359">
        <v>51041</v>
      </c>
      <c r="G359">
        <v>48177</v>
      </c>
      <c r="H359">
        <v>50250</v>
      </c>
    </row>
    <row r="360" spans="1:8">
      <c r="A360" s="45" t="s">
        <v>264</v>
      </c>
      <c r="B360" s="5">
        <v>4.4655365801220572</v>
      </c>
      <c r="C360" s="5">
        <v>11.562210363166635</v>
      </c>
      <c r="D360" s="5">
        <v>16.02774694328869</v>
      </c>
      <c r="E360">
        <v>174232</v>
      </c>
      <c r="F360">
        <v>165614</v>
      </c>
      <c r="G360">
        <v>154945</v>
      </c>
      <c r="H360">
        <v>144069</v>
      </c>
    </row>
    <row r="361" spans="1:8">
      <c r="A361" s="45" t="s">
        <v>263</v>
      </c>
      <c r="B361" s="5">
        <v>1.7964466775471595</v>
      </c>
      <c r="C361" s="5">
        <v>1.8753586353123732</v>
      </c>
      <c r="D361" s="5">
        <v>3.6718053128595329</v>
      </c>
      <c r="E361">
        <v>10583.6</v>
      </c>
      <c r="F361">
        <v>9908</v>
      </c>
      <c r="G361">
        <v>9317</v>
      </c>
      <c r="H361">
        <v>8219</v>
      </c>
    </row>
    <row r="362" spans="1:8">
      <c r="A362" s="45" t="s">
        <v>262</v>
      </c>
      <c r="B362" s="5">
        <v>2.9192296526154786</v>
      </c>
      <c r="C362" s="5">
        <v>7.6291098636484174</v>
      </c>
      <c r="D362" s="5">
        <v>10.548339516263896</v>
      </c>
      <c r="E362">
        <v>47588.799999999996</v>
      </c>
      <c r="F362">
        <v>44530</v>
      </c>
      <c r="G362">
        <v>41881</v>
      </c>
      <c r="H362">
        <v>36883</v>
      </c>
    </row>
    <row r="363" spans="1:8">
      <c r="A363" s="45" t="s">
        <v>260</v>
      </c>
      <c r="B363" s="5">
        <v>2.1153576674578267</v>
      </c>
      <c r="C363" s="5">
        <v>7.2197320868502644</v>
      </c>
      <c r="D363" s="5">
        <v>9.3350897543080915</v>
      </c>
      <c r="E363">
        <v>17760.599999999999</v>
      </c>
      <c r="F363">
        <v>15865</v>
      </c>
      <c r="G363">
        <v>13887</v>
      </c>
      <c r="H363">
        <v>11126</v>
      </c>
    </row>
    <row r="364" spans="1:8">
      <c r="A364" s="45" t="s">
        <v>261</v>
      </c>
      <c r="B364" s="5">
        <v>0.41542850062571346</v>
      </c>
      <c r="C364" s="5">
        <v>6.9580031949141636</v>
      </c>
      <c r="D364" s="5">
        <v>7.3734316955398773</v>
      </c>
      <c r="E364">
        <v>4932.6000000000004</v>
      </c>
      <c r="F364">
        <v>4507</v>
      </c>
      <c r="G364">
        <v>4266</v>
      </c>
      <c r="H364">
        <v>3443</v>
      </c>
    </row>
    <row r="365" spans="1:8">
      <c r="A365" s="45" t="s">
        <v>259</v>
      </c>
      <c r="B365" s="5">
        <v>0.48271777169642416</v>
      </c>
      <c r="C365" s="5">
        <v>4.1628700503929821</v>
      </c>
      <c r="D365" s="5">
        <v>4.6455878220894062</v>
      </c>
      <c r="E365">
        <v>8121.6</v>
      </c>
      <c r="F365">
        <v>8246</v>
      </c>
      <c r="G365">
        <v>8106</v>
      </c>
      <c r="H365">
        <v>8557</v>
      </c>
    </row>
    <row r="366" spans="1:8">
      <c r="A366" s="45" t="s">
        <v>257</v>
      </c>
      <c r="B366" s="5">
        <v>1.5880100040750271</v>
      </c>
      <c r="C366" s="5">
        <v>7.5371723566495508</v>
      </c>
      <c r="D366" s="5">
        <v>9.1251823607245779</v>
      </c>
      <c r="E366">
        <v>0</v>
      </c>
      <c r="F366">
        <v>0</v>
      </c>
      <c r="G366">
        <v>0</v>
      </c>
      <c r="H366">
        <v>0</v>
      </c>
    </row>
    <row r="367" spans="1:8">
      <c r="A367" s="45" t="s">
        <v>258</v>
      </c>
      <c r="B367" s="5">
        <v>0.92858950708749033</v>
      </c>
      <c r="C367" s="5">
        <v>2.8090517565316633</v>
      </c>
      <c r="D367" s="5">
        <v>3.7376412636191536</v>
      </c>
      <c r="E367">
        <v>14555.2</v>
      </c>
      <c r="F367">
        <v>13746</v>
      </c>
      <c r="G367">
        <v>12213</v>
      </c>
      <c r="H367">
        <v>11723</v>
      </c>
    </row>
    <row r="368" spans="1:8">
      <c r="A368" s="45" t="s">
        <v>268</v>
      </c>
      <c r="B368" s="5">
        <v>6.9224746285548431</v>
      </c>
      <c r="C368" s="5">
        <v>46.878987455245401</v>
      </c>
      <c r="D368" s="5">
        <v>53.801462083800246</v>
      </c>
      <c r="E368">
        <v>148177.4</v>
      </c>
      <c r="F368">
        <v>137147</v>
      </c>
      <c r="G368">
        <v>127122</v>
      </c>
      <c r="H368">
        <v>109571</v>
      </c>
    </row>
    <row r="369" spans="1:8">
      <c r="A369" s="45" t="s">
        <v>255</v>
      </c>
      <c r="B369" s="5">
        <v>0.74516475715759656</v>
      </c>
      <c r="C369" s="5">
        <v>8.9860906344541451</v>
      </c>
      <c r="D369" s="5">
        <v>9.7312553916117412</v>
      </c>
      <c r="E369">
        <v>5920.6</v>
      </c>
      <c r="F369">
        <v>6011</v>
      </c>
      <c r="G369">
        <v>5320</v>
      </c>
      <c r="H369">
        <v>6237</v>
      </c>
    </row>
    <row r="370" spans="1:8">
      <c r="A370" s="45" t="s">
        <v>256</v>
      </c>
      <c r="B370" s="5">
        <v>4.3394924178753644</v>
      </c>
      <c r="C370" s="5">
        <v>42.004940348220138</v>
      </c>
      <c r="D370" s="5">
        <v>46.344432766095501</v>
      </c>
      <c r="E370">
        <v>56968.4</v>
      </c>
      <c r="F370">
        <v>57654</v>
      </c>
      <c r="G370">
        <v>53070</v>
      </c>
      <c r="H370">
        <v>59368</v>
      </c>
    </row>
    <row r="371" spans="1:8">
      <c r="A371" s="45" t="s">
        <v>302</v>
      </c>
      <c r="B371" s="5">
        <v>4.82570610653414</v>
      </c>
      <c r="C371" s="5">
        <v>4.1356196693153766</v>
      </c>
      <c r="D371" s="5">
        <v>8.9613257758495166</v>
      </c>
      <c r="E371">
        <v>31857.399999999998</v>
      </c>
      <c r="F371">
        <v>29027</v>
      </c>
      <c r="G371">
        <v>26496</v>
      </c>
      <c r="H371">
        <v>21951</v>
      </c>
    </row>
    <row r="372" spans="1:8">
      <c r="A372" s="45" t="s">
        <v>301</v>
      </c>
      <c r="B372" s="5">
        <v>2.1025461897936273</v>
      </c>
      <c r="C372" s="5">
        <v>8.7021567823087018</v>
      </c>
      <c r="D372" s="5">
        <v>10.80470297210233</v>
      </c>
      <c r="E372">
        <v>17780.600000000002</v>
      </c>
      <c r="F372">
        <v>17489</v>
      </c>
      <c r="G372">
        <v>17438</v>
      </c>
      <c r="H372">
        <v>16760</v>
      </c>
    </row>
    <row r="373" spans="1:8">
      <c r="A373" s="45" t="s">
        <v>303</v>
      </c>
      <c r="B373" s="5">
        <v>4.4846222575598897</v>
      </c>
      <c r="C373" s="5">
        <v>23.06933743983496</v>
      </c>
      <c r="D373" s="5">
        <v>27.553959697394852</v>
      </c>
      <c r="E373">
        <v>26086.200000000004</v>
      </c>
      <c r="F373">
        <v>23747</v>
      </c>
      <c r="G373">
        <v>23969</v>
      </c>
      <c r="H373">
        <v>17899</v>
      </c>
    </row>
    <row r="374" spans="1:8">
      <c r="A374" s="45" t="s">
        <v>300</v>
      </c>
      <c r="B374" s="5">
        <v>9.0466410016881404</v>
      </c>
      <c r="C374" s="5">
        <v>2.1002406800198772</v>
      </c>
      <c r="D374" s="5">
        <v>11.146881681708017</v>
      </c>
      <c r="E374">
        <v>1421.2</v>
      </c>
      <c r="F374">
        <v>1286</v>
      </c>
      <c r="G374">
        <v>1205</v>
      </c>
      <c r="H374">
        <v>948</v>
      </c>
    </row>
    <row r="375" spans="1:8">
      <c r="A375" s="45" t="s">
        <v>308</v>
      </c>
      <c r="B375" s="5">
        <v>25.38580819657648</v>
      </c>
      <c r="C375" s="5">
        <v>33.982020370280587</v>
      </c>
      <c r="D375" s="5">
        <v>59.367828566857071</v>
      </c>
      <c r="E375">
        <v>17691.2</v>
      </c>
      <c r="F375">
        <v>15734</v>
      </c>
      <c r="G375">
        <v>14423</v>
      </c>
      <c r="H375">
        <v>10841</v>
      </c>
    </row>
    <row r="376" spans="1:8">
      <c r="A376" s="45" t="s">
        <v>307</v>
      </c>
      <c r="B376" s="5">
        <v>20.723155578559989</v>
      </c>
      <c r="C376" s="5">
        <v>6.2057731987934677</v>
      </c>
      <c r="D376" s="5">
        <v>26.928928777353455</v>
      </c>
      <c r="E376">
        <v>10055.6</v>
      </c>
      <c r="F376">
        <v>9348</v>
      </c>
      <c r="G376">
        <v>8429</v>
      </c>
      <c r="H376">
        <v>7579</v>
      </c>
    </row>
    <row r="377" spans="1:8">
      <c r="A377" s="45" t="s">
        <v>254</v>
      </c>
      <c r="B377" s="5">
        <v>29.343369439592465</v>
      </c>
      <c r="C377" s="5">
        <v>17.416345509393082</v>
      </c>
      <c r="D377" s="5">
        <v>46.759714948985547</v>
      </c>
      <c r="E377">
        <v>35739.600000000006</v>
      </c>
      <c r="F377">
        <v>31170</v>
      </c>
      <c r="G377">
        <v>28576</v>
      </c>
      <c r="H377">
        <v>19746</v>
      </c>
    </row>
    <row r="378" spans="1:8">
      <c r="A378" s="45" t="s">
        <v>310</v>
      </c>
      <c r="B378" s="5">
        <v>0</v>
      </c>
      <c r="C378" s="5">
        <v>0</v>
      </c>
      <c r="D378" s="5">
        <v>0</v>
      </c>
      <c r="E378">
        <v>0</v>
      </c>
      <c r="F378">
        <v>0</v>
      </c>
      <c r="G378">
        <v>0</v>
      </c>
      <c r="H378">
        <v>0</v>
      </c>
    </row>
    <row r="379" spans="1:8">
      <c r="A379" s="45" t="s">
        <v>313</v>
      </c>
      <c r="B379" s="5">
        <v>20.621424200131603</v>
      </c>
      <c r="C379" s="5">
        <v>28.880450452016532</v>
      </c>
      <c r="D379" s="5">
        <v>49.501874652148132</v>
      </c>
      <c r="E379">
        <v>16500</v>
      </c>
      <c r="F379">
        <v>14426</v>
      </c>
      <c r="G379">
        <v>12989</v>
      </c>
      <c r="H379">
        <v>9241</v>
      </c>
    </row>
    <row r="380" spans="1:8">
      <c r="A380" s="45" t="s">
        <v>309</v>
      </c>
      <c r="B380" s="5">
        <v>19.105060023250779</v>
      </c>
      <c r="C380" s="5">
        <v>6.5585855453480288</v>
      </c>
      <c r="D380" s="5">
        <v>25.66364556859881</v>
      </c>
      <c r="E380">
        <v>676</v>
      </c>
      <c r="F380">
        <v>612</v>
      </c>
      <c r="G380">
        <v>587</v>
      </c>
      <c r="H380">
        <v>452</v>
      </c>
    </row>
    <row r="381" spans="1:8">
      <c r="A381" s="45" t="s">
        <v>304</v>
      </c>
      <c r="B381" s="5">
        <v>32.793575090336297</v>
      </c>
      <c r="C381" s="5">
        <v>6.8512159716459102</v>
      </c>
      <c r="D381" s="5">
        <v>39.644791061982204</v>
      </c>
      <c r="E381">
        <v>29964.800000000003</v>
      </c>
      <c r="F381">
        <v>23750</v>
      </c>
      <c r="G381">
        <v>18425</v>
      </c>
      <c r="H381">
        <v>8213</v>
      </c>
    </row>
    <row r="382" spans="1:8">
      <c r="A382" s="45" t="s">
        <v>306</v>
      </c>
      <c r="B382" s="5">
        <v>0.4719287616389225</v>
      </c>
      <c r="C382" s="5">
        <v>4.0647438402373615</v>
      </c>
      <c r="D382" s="5">
        <v>4.5366726018762842</v>
      </c>
      <c r="E382">
        <v>33227.800000000003</v>
      </c>
      <c r="F382">
        <v>29977</v>
      </c>
      <c r="G382">
        <v>27319</v>
      </c>
      <c r="H382">
        <v>21850</v>
      </c>
    </row>
    <row r="383" spans="1:8">
      <c r="A383" s="45" t="s">
        <v>305</v>
      </c>
      <c r="B383" s="5">
        <v>2.9974366616880603</v>
      </c>
      <c r="C383" s="5">
        <v>3.55338731185936</v>
      </c>
      <c r="D383" s="5">
        <v>6.5508239735474199</v>
      </c>
      <c r="E383">
        <v>560</v>
      </c>
      <c r="F383">
        <v>510</v>
      </c>
      <c r="G383">
        <v>499</v>
      </c>
      <c r="H383">
        <v>385</v>
      </c>
    </row>
    <row r="384" spans="1:8">
      <c r="A384" s="45" t="s">
        <v>287</v>
      </c>
      <c r="B384" s="5">
        <v>76.071894663933378</v>
      </c>
      <c r="C384" s="5">
        <v>28.409247718511416</v>
      </c>
      <c r="D384" s="5">
        <v>104.4811423824448</v>
      </c>
      <c r="E384">
        <v>48077.8</v>
      </c>
      <c r="F384">
        <v>45479</v>
      </c>
      <c r="G384">
        <v>43332</v>
      </c>
      <c r="H384">
        <v>38982</v>
      </c>
    </row>
    <row r="385" spans="1:8">
      <c r="A385" s="45" t="s">
        <v>279</v>
      </c>
      <c r="B385" s="5">
        <v>47.730093980794905</v>
      </c>
      <c r="C385" s="5">
        <v>5.2728349922989359</v>
      </c>
      <c r="D385" s="5">
        <v>53.002928973093844</v>
      </c>
      <c r="E385">
        <v>25172.400000000001</v>
      </c>
      <c r="F385">
        <v>23458</v>
      </c>
      <c r="G385">
        <v>21649</v>
      </c>
      <c r="H385">
        <v>19172</v>
      </c>
    </row>
    <row r="386" spans="1:8">
      <c r="A386" s="45" t="s">
        <v>289</v>
      </c>
      <c r="B386" s="5">
        <v>9.2474782002192363E-2</v>
      </c>
      <c r="C386" s="5">
        <v>5.2729413712379571</v>
      </c>
      <c r="D386" s="5">
        <v>5.3654161532401492</v>
      </c>
      <c r="E386">
        <v>615.79999999999995</v>
      </c>
      <c r="F386">
        <v>561</v>
      </c>
      <c r="G386">
        <v>549</v>
      </c>
      <c r="H386">
        <v>424</v>
      </c>
    </row>
    <row r="387" spans="1:8">
      <c r="A387" s="45" t="s">
        <v>294</v>
      </c>
      <c r="B387" s="5">
        <v>2.7339122455835749</v>
      </c>
      <c r="C387" s="5">
        <v>9.3698234956289568</v>
      </c>
      <c r="D387" s="5">
        <v>12.103735741212532</v>
      </c>
      <c r="E387">
        <v>8513</v>
      </c>
      <c r="F387">
        <v>7621</v>
      </c>
      <c r="G387">
        <v>7024</v>
      </c>
      <c r="H387">
        <v>5391</v>
      </c>
    </row>
    <row r="388" spans="1:8">
      <c r="A388" s="45" t="s">
        <v>290</v>
      </c>
      <c r="B388" s="5">
        <v>14.423308998284543</v>
      </c>
      <c r="C388" s="5">
        <v>39.138122192903538</v>
      </c>
      <c r="D388" s="5">
        <v>53.561431191188078</v>
      </c>
      <c r="E388">
        <v>261969.99999999994</v>
      </c>
      <c r="F388">
        <v>230608</v>
      </c>
      <c r="G388">
        <v>202700</v>
      </c>
      <c r="H388">
        <v>152203</v>
      </c>
    </row>
    <row r="389" spans="1:8">
      <c r="A389" s="45" t="s">
        <v>446</v>
      </c>
      <c r="B389" s="5">
        <v>194.94807387906201</v>
      </c>
      <c r="C389" s="5">
        <v>131.9954178207349</v>
      </c>
      <c r="D389" s="5">
        <v>326.94349169979694</v>
      </c>
      <c r="E389">
        <v>249864.39999999991</v>
      </c>
      <c r="F389">
        <v>220134</v>
      </c>
      <c r="G389">
        <v>191986</v>
      </c>
      <c r="H389">
        <v>145808</v>
      </c>
    </row>
    <row r="390" spans="1:8">
      <c r="A390" s="45" t="s">
        <v>292</v>
      </c>
      <c r="B390" s="5">
        <v>21.242616982257687</v>
      </c>
      <c r="C390" s="5">
        <v>4.6330311401873399</v>
      </c>
      <c r="D390" s="5">
        <v>25.875648122445028</v>
      </c>
      <c r="E390">
        <v>7202.8</v>
      </c>
      <c r="F390">
        <v>7980</v>
      </c>
      <c r="G390">
        <v>6822</v>
      </c>
      <c r="H390">
        <v>9923</v>
      </c>
    </row>
    <row r="391" spans="1:8">
      <c r="A391" s="45" t="s">
        <v>293</v>
      </c>
      <c r="B391" s="5">
        <v>3.8051555237714991</v>
      </c>
      <c r="C391" s="5">
        <v>1.7429883267326256</v>
      </c>
      <c r="D391" s="5">
        <v>5.5481438505041245</v>
      </c>
      <c r="E391">
        <v>2480.8000000000002</v>
      </c>
      <c r="F391">
        <v>2236</v>
      </c>
      <c r="G391">
        <v>2112</v>
      </c>
      <c r="H391">
        <v>1624</v>
      </c>
    </row>
    <row r="392" spans="1:8">
      <c r="A392" s="45" t="s">
        <v>295</v>
      </c>
      <c r="B392" s="5">
        <v>1.7721116199693991</v>
      </c>
      <c r="C392" s="5">
        <v>1.043734910485931</v>
      </c>
      <c r="D392" s="5">
        <v>2.81584653045533</v>
      </c>
      <c r="E392">
        <v>1841.8</v>
      </c>
      <c r="F392">
        <v>1657</v>
      </c>
      <c r="G392">
        <v>1555</v>
      </c>
      <c r="H392">
        <v>1195</v>
      </c>
    </row>
    <row r="393" spans="1:8">
      <c r="A393" s="45" t="s">
        <v>296</v>
      </c>
      <c r="B393" s="5">
        <v>12.219351849894496</v>
      </c>
      <c r="C393" s="5">
        <v>1.6523309392594564E-2</v>
      </c>
      <c r="D393" s="5">
        <v>12.23587515928709</v>
      </c>
      <c r="E393">
        <v>805.8</v>
      </c>
      <c r="F393">
        <v>729</v>
      </c>
      <c r="G393">
        <v>697</v>
      </c>
      <c r="H393">
        <v>537</v>
      </c>
    </row>
    <row r="394" spans="1:8">
      <c r="A394" s="45" t="s">
        <v>299</v>
      </c>
      <c r="B394" s="5">
        <v>24.282783845544511</v>
      </c>
      <c r="C394" s="5">
        <v>1.9447192269892684</v>
      </c>
      <c r="D394" s="5">
        <v>26.227503072533779</v>
      </c>
      <c r="E394">
        <v>0</v>
      </c>
      <c r="F394">
        <v>0</v>
      </c>
      <c r="G394">
        <v>0</v>
      </c>
      <c r="H394">
        <v>0</v>
      </c>
    </row>
    <row r="395" spans="1:8">
      <c r="A395" s="45" t="s">
        <v>297</v>
      </c>
      <c r="B395" s="5">
        <v>20.074987072975865</v>
      </c>
      <c r="C395" s="5">
        <v>5.6941037081540968E-2</v>
      </c>
      <c r="D395" s="5">
        <v>20.131928110057405</v>
      </c>
      <c r="E395">
        <v>0</v>
      </c>
      <c r="F395">
        <v>0</v>
      </c>
      <c r="G395">
        <v>0</v>
      </c>
      <c r="H395">
        <v>0</v>
      </c>
    </row>
    <row r="396" spans="1:8">
      <c r="A396" s="45" t="s">
        <v>298</v>
      </c>
      <c r="B396" s="5">
        <v>20.394084655583729</v>
      </c>
      <c r="C396" s="5">
        <v>1.2396936192399928</v>
      </c>
      <c r="D396" s="5">
        <v>21.633778274823722</v>
      </c>
      <c r="E396">
        <v>15887.4</v>
      </c>
      <c r="F396">
        <v>13853</v>
      </c>
      <c r="G396">
        <v>11025</v>
      </c>
      <c r="H396">
        <v>8767</v>
      </c>
    </row>
  </sheetData>
  <phoneticPr fontId="3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08055-1F83-42CC-A17D-83FD49CD21DA}">
  <sheetPr codeName="Hoja11"/>
  <dimension ref="A1"/>
  <sheetViews>
    <sheetView workbookViewId="0"/>
  </sheetViews>
  <sheetFormatPr baseColWidth="10" defaultColWidth="11.5546875" defaultRowHeight="14.4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2841C-4654-48EE-87F5-7168CCF945B3}">
  <sheetPr codeName="Hoja3">
    <tabColor theme="7" tint="0.79998168889431442"/>
  </sheetPr>
  <dimension ref="A1:U216"/>
  <sheetViews>
    <sheetView workbookViewId="0">
      <selection activeCell="D2" sqref="D2"/>
    </sheetView>
  </sheetViews>
  <sheetFormatPr baseColWidth="10" defaultColWidth="11.44140625" defaultRowHeight="14.4"/>
  <cols>
    <col min="1" max="1" width="34.88671875" style="3" bestFit="1" customWidth="1"/>
    <col min="2" max="2" width="30.5546875" style="3" bestFit="1" customWidth="1"/>
    <col min="3" max="4" width="80.88671875" style="3" customWidth="1"/>
    <col min="5" max="10" width="19.88671875" style="4" customWidth="1"/>
    <col min="11" max="11" width="5.88671875" style="3" customWidth="1"/>
    <col min="12" max="12" width="10.88671875" style="3" customWidth="1"/>
    <col min="13" max="13" width="5.88671875" style="3" customWidth="1"/>
    <col min="14" max="15" width="19.88671875" style="4" customWidth="1"/>
    <col min="16" max="18" width="10.88671875" style="3" customWidth="1"/>
    <col min="19" max="19" width="254.88671875" style="3" customWidth="1"/>
    <col min="20" max="21" width="19.88671875" style="4" customWidth="1"/>
  </cols>
  <sheetData>
    <row r="1" spans="1:21">
      <c r="A1" s="53" t="s">
        <v>112</v>
      </c>
      <c r="B1" s="53" t="s">
        <v>111</v>
      </c>
      <c r="T1" s="4" t="s">
        <v>6</v>
      </c>
      <c r="U1" s="4" t="s">
        <v>7</v>
      </c>
    </row>
    <row r="2" spans="1:21">
      <c r="A2" s="3" t="s">
        <v>978</v>
      </c>
      <c r="B2" s="3" t="s">
        <v>977</v>
      </c>
      <c r="E2" s="3"/>
      <c r="F2" s="3"/>
      <c r="G2" s="3"/>
    </row>
    <row r="3" spans="1:21">
      <c r="A3" s="3" t="s">
        <v>980</v>
      </c>
      <c r="B3" s="3" t="s">
        <v>979</v>
      </c>
      <c r="E3" s="3"/>
      <c r="F3" s="3"/>
      <c r="G3" s="3"/>
    </row>
    <row r="4" spans="1:21">
      <c r="A4" s="3" t="s">
        <v>982</v>
      </c>
      <c r="B4" s="3" t="s">
        <v>981</v>
      </c>
      <c r="E4" s="3"/>
      <c r="F4" s="3"/>
      <c r="G4" s="3"/>
    </row>
    <row r="5" spans="1:21">
      <c r="A5" s="3" t="s">
        <v>984</v>
      </c>
      <c r="B5" s="3" t="s">
        <v>983</v>
      </c>
      <c r="E5" s="3"/>
      <c r="F5" s="3"/>
      <c r="G5" s="3"/>
    </row>
    <row r="6" spans="1:21">
      <c r="A6" s="3" t="s">
        <v>986</v>
      </c>
      <c r="B6" s="3" t="s">
        <v>985</v>
      </c>
      <c r="E6" s="3"/>
      <c r="F6" s="3"/>
      <c r="G6" s="3"/>
    </row>
    <row r="7" spans="1:21">
      <c r="E7" s="3"/>
      <c r="F7" s="3"/>
      <c r="G7" s="3"/>
    </row>
    <row r="8" spans="1:21">
      <c r="E8" s="3"/>
      <c r="F8" s="3"/>
      <c r="G8" s="3"/>
    </row>
    <row r="9" spans="1:21">
      <c r="E9" s="3"/>
      <c r="F9" s="3"/>
      <c r="G9" s="3"/>
    </row>
    <row r="10" spans="1:21">
      <c r="E10" s="3"/>
      <c r="F10" s="3"/>
      <c r="G10" s="3"/>
    </row>
    <row r="11" spans="1:21">
      <c r="E11" s="3"/>
      <c r="F11" s="3"/>
      <c r="G11" s="3"/>
    </row>
    <row r="12" spans="1:21">
      <c r="E12" s="3"/>
      <c r="F12" s="3"/>
      <c r="G12" s="3"/>
    </row>
    <row r="13" spans="1:21">
      <c r="E13" s="3"/>
      <c r="F13" s="3"/>
      <c r="G13" s="3"/>
    </row>
    <row r="14" spans="1:21">
      <c r="E14" s="3"/>
      <c r="F14" s="3"/>
      <c r="G14" s="3"/>
    </row>
    <row r="15" spans="1:21">
      <c r="E15" s="3"/>
      <c r="F15" s="3"/>
      <c r="G15" s="3"/>
    </row>
    <row r="16" spans="1:21">
      <c r="E16" s="3"/>
      <c r="F16" s="3"/>
      <c r="G16" s="3"/>
    </row>
    <row r="17" spans="5:7">
      <c r="E17" s="3"/>
      <c r="F17" s="3"/>
      <c r="G17" s="3"/>
    </row>
    <row r="18" spans="5:7">
      <c r="E18" s="3"/>
      <c r="F18" s="3"/>
      <c r="G18" s="3"/>
    </row>
    <row r="19" spans="5:7">
      <c r="E19" s="3"/>
      <c r="F19" s="3"/>
      <c r="G19" s="3"/>
    </row>
    <row r="20" spans="5:7">
      <c r="E20" s="3"/>
      <c r="F20" s="3"/>
      <c r="G20" s="3"/>
    </row>
    <row r="21" spans="5:7">
      <c r="E21" s="3"/>
      <c r="F21" s="3"/>
      <c r="G21" s="3"/>
    </row>
    <row r="22" spans="5:7">
      <c r="E22" s="3"/>
      <c r="F22" s="3"/>
      <c r="G22" s="3"/>
    </row>
    <row r="23" spans="5:7">
      <c r="E23" s="3"/>
      <c r="F23" s="3"/>
      <c r="G23" s="3"/>
    </row>
    <row r="24" spans="5:7">
      <c r="E24" s="3"/>
      <c r="F24" s="3"/>
      <c r="G24" s="3"/>
    </row>
    <row r="25" spans="5:7">
      <c r="E25" s="3"/>
      <c r="F25" s="3"/>
      <c r="G25" s="3"/>
    </row>
    <row r="26" spans="5:7">
      <c r="E26" s="3"/>
      <c r="F26" s="3"/>
      <c r="G26" s="3"/>
    </row>
    <row r="27" spans="5:7">
      <c r="E27" s="3"/>
      <c r="F27" s="3"/>
      <c r="G27" s="3"/>
    </row>
    <row r="28" spans="5:7">
      <c r="E28" s="3"/>
      <c r="F28" s="3"/>
      <c r="G28" s="3"/>
    </row>
    <row r="29" spans="5:7">
      <c r="E29" s="3"/>
      <c r="F29" s="3"/>
      <c r="G29" s="3"/>
    </row>
    <row r="30" spans="5:7">
      <c r="E30" s="3"/>
      <c r="F30" s="3"/>
      <c r="G30" s="3"/>
    </row>
    <row r="31" spans="5:7">
      <c r="E31" s="3"/>
      <c r="F31" s="3"/>
      <c r="G31" s="3"/>
    </row>
    <row r="32" spans="5:7">
      <c r="E32" s="3"/>
      <c r="F32" s="3"/>
      <c r="G32" s="3"/>
    </row>
    <row r="33" spans="5:7">
      <c r="E33" s="3"/>
      <c r="F33" s="3"/>
      <c r="G33" s="3"/>
    </row>
    <row r="34" spans="5:7">
      <c r="E34" s="3"/>
      <c r="F34" s="3"/>
      <c r="G34" s="3"/>
    </row>
    <row r="35" spans="5:7">
      <c r="E35" s="3"/>
      <c r="F35" s="3"/>
      <c r="G35" s="3"/>
    </row>
    <row r="36" spans="5:7">
      <c r="E36" s="3"/>
      <c r="F36" s="3"/>
      <c r="G36" s="3"/>
    </row>
    <row r="37" spans="5:7">
      <c r="E37" s="3"/>
      <c r="F37" s="3"/>
      <c r="G37" s="3"/>
    </row>
    <row r="38" spans="5:7">
      <c r="E38" s="3"/>
      <c r="F38" s="3"/>
      <c r="G38" s="3"/>
    </row>
    <row r="39" spans="5:7">
      <c r="E39" s="3"/>
      <c r="F39" s="3"/>
      <c r="G39" s="3"/>
    </row>
    <row r="40" spans="5:7">
      <c r="E40" s="3"/>
      <c r="F40" s="3"/>
      <c r="G40" s="3"/>
    </row>
    <row r="41" spans="5:7">
      <c r="E41" s="3"/>
      <c r="F41" s="3"/>
      <c r="G41" s="3"/>
    </row>
    <row r="42" spans="5:7">
      <c r="E42" s="3"/>
      <c r="F42" s="3"/>
      <c r="G42" s="3"/>
    </row>
    <row r="43" spans="5:7">
      <c r="E43" s="3"/>
      <c r="F43" s="3"/>
      <c r="G43" s="3"/>
    </row>
    <row r="44" spans="5:7">
      <c r="E44" s="3"/>
      <c r="F44" s="3"/>
      <c r="G44" s="3"/>
    </row>
    <row r="45" spans="5:7">
      <c r="E45" s="3"/>
      <c r="F45" s="3"/>
      <c r="G45" s="3"/>
    </row>
    <row r="46" spans="5:7">
      <c r="E46" s="3"/>
      <c r="F46" s="3"/>
      <c r="G46" s="3"/>
    </row>
    <row r="47" spans="5:7">
      <c r="E47" s="3"/>
      <c r="F47" s="3"/>
      <c r="G47" s="3"/>
    </row>
    <row r="48" spans="5:7">
      <c r="E48" s="3"/>
      <c r="F48" s="3"/>
      <c r="G48" s="3"/>
    </row>
    <row r="49" spans="5:7">
      <c r="E49" s="3"/>
      <c r="F49" s="3"/>
      <c r="G49" s="3"/>
    </row>
    <row r="50" spans="5:7">
      <c r="E50" s="3"/>
      <c r="F50" s="3"/>
      <c r="G50" s="3"/>
    </row>
    <row r="51" spans="5:7">
      <c r="E51" s="3"/>
      <c r="F51" s="3"/>
      <c r="G51" s="3"/>
    </row>
    <row r="52" spans="5:7">
      <c r="E52" s="3"/>
      <c r="F52" s="3"/>
      <c r="G52" s="3"/>
    </row>
    <row r="53" spans="5:7">
      <c r="E53" s="3"/>
      <c r="F53" s="3"/>
      <c r="G53" s="3"/>
    </row>
    <row r="54" spans="5:7">
      <c r="E54" s="3"/>
      <c r="F54" s="3"/>
      <c r="G54" s="3"/>
    </row>
    <row r="55" spans="5:7">
      <c r="E55" s="3"/>
      <c r="F55" s="3"/>
      <c r="G55" s="3"/>
    </row>
    <row r="56" spans="5:7">
      <c r="E56" s="3"/>
      <c r="F56" s="3"/>
      <c r="G56" s="3"/>
    </row>
    <row r="57" spans="5:7">
      <c r="E57" s="3"/>
      <c r="F57" s="3"/>
      <c r="G57" s="3"/>
    </row>
    <row r="58" spans="5:7">
      <c r="E58" s="3"/>
      <c r="F58" s="3"/>
      <c r="G58" s="3"/>
    </row>
    <row r="59" spans="5:7">
      <c r="E59" s="3"/>
      <c r="F59" s="3"/>
      <c r="G59" s="3"/>
    </row>
    <row r="60" spans="5:7">
      <c r="E60" s="3"/>
      <c r="F60" s="3"/>
      <c r="G60" s="3"/>
    </row>
    <row r="61" spans="5:7">
      <c r="E61" s="3"/>
      <c r="F61" s="3"/>
      <c r="G61" s="3"/>
    </row>
    <row r="62" spans="5:7">
      <c r="E62" s="3"/>
      <c r="F62" s="3"/>
      <c r="G62" s="3"/>
    </row>
    <row r="63" spans="5:7">
      <c r="E63" s="3"/>
      <c r="F63" s="3"/>
      <c r="G63" s="3"/>
    </row>
    <row r="64" spans="5:7">
      <c r="E64" s="3"/>
      <c r="F64" s="3"/>
      <c r="G64" s="3"/>
    </row>
    <row r="65" spans="5:7">
      <c r="E65" s="3"/>
      <c r="F65" s="3"/>
      <c r="G65" s="3"/>
    </row>
    <row r="66" spans="5:7">
      <c r="E66" s="3"/>
      <c r="F66" s="3"/>
      <c r="G66" s="3"/>
    </row>
    <row r="67" spans="5:7">
      <c r="E67" s="3"/>
      <c r="F67" s="3"/>
      <c r="G67" s="3"/>
    </row>
    <row r="68" spans="5:7">
      <c r="E68" s="3"/>
      <c r="F68" s="3"/>
      <c r="G68" s="3"/>
    </row>
    <row r="69" spans="5:7">
      <c r="E69" s="3"/>
      <c r="F69" s="3"/>
      <c r="G69" s="3"/>
    </row>
    <row r="70" spans="5:7">
      <c r="E70" s="3"/>
      <c r="F70" s="3"/>
      <c r="G70" s="3"/>
    </row>
    <row r="71" spans="5:7">
      <c r="E71" s="3"/>
      <c r="F71" s="3"/>
      <c r="G71" s="3"/>
    </row>
    <row r="72" spans="5:7">
      <c r="E72" s="3"/>
      <c r="F72" s="3"/>
      <c r="G72" s="3"/>
    </row>
    <row r="73" spans="5:7">
      <c r="E73" s="3"/>
      <c r="F73" s="3"/>
      <c r="G73" s="3"/>
    </row>
    <row r="74" spans="5:7">
      <c r="E74" s="3"/>
      <c r="F74" s="3"/>
      <c r="G74" s="3"/>
    </row>
    <row r="75" spans="5:7">
      <c r="E75" s="3"/>
      <c r="F75" s="3"/>
      <c r="G75" s="3"/>
    </row>
    <row r="76" spans="5:7">
      <c r="E76" s="3"/>
      <c r="F76" s="3"/>
      <c r="G76" s="3"/>
    </row>
    <row r="77" spans="5:7">
      <c r="E77" s="3"/>
      <c r="F77" s="3"/>
      <c r="G77" s="3"/>
    </row>
    <row r="78" spans="5:7">
      <c r="E78" s="3"/>
      <c r="F78" s="3"/>
      <c r="G78" s="3"/>
    </row>
    <row r="79" spans="5:7">
      <c r="E79" s="3"/>
      <c r="F79" s="3"/>
      <c r="G79" s="3"/>
    </row>
    <row r="80" spans="5:7">
      <c r="E80" s="3"/>
      <c r="F80" s="3"/>
      <c r="G80" s="3"/>
    </row>
    <row r="81" spans="5:7">
      <c r="E81" s="3"/>
      <c r="F81" s="3"/>
      <c r="G81" s="3"/>
    </row>
    <row r="82" spans="5:7">
      <c r="E82" s="3"/>
      <c r="F82" s="3"/>
      <c r="G82" s="3"/>
    </row>
    <row r="83" spans="5:7">
      <c r="E83" s="3"/>
      <c r="F83" s="3"/>
      <c r="G83" s="3"/>
    </row>
    <row r="84" spans="5:7">
      <c r="E84" s="3"/>
      <c r="F84" s="3"/>
      <c r="G84" s="3"/>
    </row>
    <row r="85" spans="5:7">
      <c r="E85" s="3"/>
      <c r="F85" s="3"/>
      <c r="G85" s="3"/>
    </row>
    <row r="86" spans="5:7">
      <c r="E86" s="3"/>
      <c r="F86" s="3"/>
      <c r="G86" s="3"/>
    </row>
    <row r="87" spans="5:7">
      <c r="E87" s="3"/>
      <c r="F87" s="3"/>
      <c r="G87" s="3"/>
    </row>
    <row r="88" spans="5:7">
      <c r="E88" s="3"/>
      <c r="F88" s="3"/>
      <c r="G88" s="3"/>
    </row>
    <row r="89" spans="5:7">
      <c r="E89" s="3"/>
      <c r="F89" s="3"/>
      <c r="G89" s="3"/>
    </row>
    <row r="90" spans="5:7">
      <c r="E90" s="3"/>
      <c r="F90" s="3"/>
      <c r="G90" s="3"/>
    </row>
    <row r="91" spans="5:7">
      <c r="E91" s="3"/>
      <c r="F91" s="3"/>
      <c r="G91" s="3"/>
    </row>
    <row r="92" spans="5:7">
      <c r="E92" s="3"/>
      <c r="F92" s="3"/>
      <c r="G92" s="3"/>
    </row>
    <row r="93" spans="5:7">
      <c r="E93" s="3"/>
      <c r="F93" s="3"/>
      <c r="G93" s="3"/>
    </row>
    <row r="94" spans="5:7">
      <c r="E94" s="3"/>
      <c r="F94" s="3"/>
      <c r="G94" s="3"/>
    </row>
    <row r="95" spans="5:7">
      <c r="E95" s="3"/>
      <c r="F95" s="3"/>
      <c r="G95" s="3"/>
    </row>
    <row r="96" spans="5:7">
      <c r="E96" s="3"/>
      <c r="F96" s="3"/>
      <c r="G96" s="3"/>
    </row>
    <row r="97" spans="5:7">
      <c r="E97" s="3"/>
      <c r="F97" s="3"/>
      <c r="G97" s="3"/>
    </row>
    <row r="98" spans="5:7">
      <c r="E98" s="3"/>
      <c r="F98" s="3"/>
      <c r="G98" s="3"/>
    </row>
    <row r="99" spans="5:7">
      <c r="E99" s="3"/>
      <c r="F99" s="3"/>
      <c r="G99" s="3"/>
    </row>
    <row r="100" spans="5:7">
      <c r="E100" s="3"/>
      <c r="F100" s="3"/>
      <c r="G100" s="3"/>
    </row>
    <row r="101" spans="5:7">
      <c r="E101" s="3"/>
      <c r="F101" s="3"/>
      <c r="G101" s="3"/>
    </row>
    <row r="102" spans="5:7">
      <c r="E102" s="3"/>
      <c r="F102" s="3"/>
      <c r="G102" s="3"/>
    </row>
    <row r="103" spans="5:7">
      <c r="E103" s="3"/>
      <c r="F103" s="3"/>
      <c r="G103" s="3"/>
    </row>
    <row r="104" spans="5:7">
      <c r="E104" s="3"/>
      <c r="F104" s="3"/>
      <c r="G104" s="3"/>
    </row>
    <row r="105" spans="5:7">
      <c r="E105" s="3"/>
      <c r="F105" s="3"/>
      <c r="G105" s="3"/>
    </row>
    <row r="106" spans="5:7">
      <c r="E106" s="3"/>
      <c r="F106" s="3"/>
      <c r="G106" s="3"/>
    </row>
    <row r="107" spans="5:7">
      <c r="E107" s="3"/>
      <c r="F107" s="3"/>
      <c r="G107" s="3"/>
    </row>
    <row r="108" spans="5:7">
      <c r="E108" s="3"/>
      <c r="F108" s="3"/>
      <c r="G108" s="3"/>
    </row>
    <row r="109" spans="5:7">
      <c r="E109" s="3"/>
      <c r="F109" s="3"/>
      <c r="G109" s="3"/>
    </row>
    <row r="110" spans="5:7">
      <c r="E110" s="3"/>
      <c r="F110" s="3"/>
      <c r="G110" s="3"/>
    </row>
    <row r="111" spans="5:7">
      <c r="E111" s="3"/>
      <c r="F111" s="3"/>
      <c r="G111" s="3"/>
    </row>
    <row r="112" spans="5:7">
      <c r="E112" s="3"/>
      <c r="F112" s="3"/>
      <c r="G112" s="3"/>
    </row>
    <row r="113" spans="5:7">
      <c r="E113" s="3"/>
      <c r="F113" s="3"/>
      <c r="G113" s="3"/>
    </row>
    <row r="114" spans="5:7">
      <c r="E114" s="3"/>
      <c r="F114" s="3"/>
      <c r="G114" s="3"/>
    </row>
    <row r="115" spans="5:7">
      <c r="E115" s="3"/>
      <c r="F115" s="3"/>
      <c r="G115" s="3"/>
    </row>
    <row r="116" spans="5:7">
      <c r="E116" s="3"/>
      <c r="F116" s="3"/>
      <c r="G116" s="3"/>
    </row>
    <row r="117" spans="5:7">
      <c r="E117" s="3"/>
      <c r="F117" s="3"/>
      <c r="G117" s="3"/>
    </row>
    <row r="118" spans="5:7">
      <c r="E118" s="3"/>
      <c r="F118" s="3"/>
      <c r="G118" s="3"/>
    </row>
    <row r="119" spans="5:7">
      <c r="E119" s="3"/>
      <c r="F119" s="3"/>
      <c r="G119" s="3"/>
    </row>
    <row r="120" spans="5:7">
      <c r="E120" s="3"/>
      <c r="F120" s="3"/>
      <c r="G120" s="3"/>
    </row>
    <row r="121" spans="5:7">
      <c r="E121" s="3"/>
      <c r="F121" s="3"/>
      <c r="G121" s="3"/>
    </row>
    <row r="122" spans="5:7">
      <c r="E122" s="3"/>
      <c r="F122" s="3"/>
      <c r="G122" s="3"/>
    </row>
    <row r="123" spans="5:7">
      <c r="E123" s="3"/>
      <c r="F123" s="3"/>
      <c r="G123" s="3"/>
    </row>
    <row r="124" spans="5:7">
      <c r="E124" s="3"/>
      <c r="F124" s="3"/>
      <c r="G124" s="3"/>
    </row>
    <row r="125" spans="5:7">
      <c r="E125" s="3"/>
      <c r="F125" s="3"/>
      <c r="G125" s="3"/>
    </row>
    <row r="126" spans="5:7">
      <c r="E126" s="3"/>
      <c r="F126" s="3"/>
      <c r="G126" s="3"/>
    </row>
    <row r="127" spans="5:7">
      <c r="E127" s="3"/>
      <c r="F127" s="3"/>
      <c r="G127" s="3"/>
    </row>
    <row r="128" spans="5:7">
      <c r="E128" s="3"/>
      <c r="F128" s="3"/>
      <c r="G128" s="3"/>
    </row>
    <row r="129" spans="5:7">
      <c r="E129" s="3"/>
      <c r="F129" s="3"/>
      <c r="G129" s="3"/>
    </row>
    <row r="130" spans="5:7">
      <c r="E130" s="3"/>
      <c r="F130" s="3"/>
      <c r="G130" s="3"/>
    </row>
    <row r="131" spans="5:7">
      <c r="E131" s="3"/>
      <c r="F131" s="3"/>
      <c r="G131" s="3"/>
    </row>
    <row r="132" spans="5:7">
      <c r="E132" s="3"/>
      <c r="F132" s="3"/>
      <c r="G132" s="3"/>
    </row>
    <row r="133" spans="5:7">
      <c r="E133" s="3"/>
      <c r="F133" s="3"/>
      <c r="G133" s="3"/>
    </row>
    <row r="134" spans="5:7">
      <c r="E134" s="3"/>
      <c r="F134" s="3"/>
      <c r="G134" s="3"/>
    </row>
    <row r="135" spans="5:7">
      <c r="E135" s="3"/>
      <c r="F135" s="3"/>
      <c r="G135" s="3"/>
    </row>
    <row r="136" spans="5:7">
      <c r="E136" s="3"/>
      <c r="F136" s="3"/>
      <c r="G136" s="3"/>
    </row>
    <row r="137" spans="5:7">
      <c r="E137" s="3"/>
      <c r="F137" s="3"/>
      <c r="G137" s="3"/>
    </row>
    <row r="138" spans="5:7">
      <c r="E138" s="3"/>
      <c r="F138" s="3"/>
      <c r="G138" s="3"/>
    </row>
    <row r="139" spans="5:7">
      <c r="E139" s="3"/>
      <c r="F139" s="3"/>
      <c r="G139" s="3"/>
    </row>
    <row r="140" spans="5:7">
      <c r="E140" s="3"/>
      <c r="F140" s="3"/>
      <c r="G140" s="3"/>
    </row>
    <row r="141" spans="5:7">
      <c r="E141" s="3"/>
      <c r="F141" s="3"/>
      <c r="G141" s="3"/>
    </row>
    <row r="142" spans="5:7">
      <c r="E142" s="3"/>
      <c r="F142" s="3"/>
      <c r="G142" s="3"/>
    </row>
    <row r="143" spans="5:7">
      <c r="E143" s="3"/>
      <c r="F143" s="3"/>
      <c r="G143" s="3"/>
    </row>
    <row r="144" spans="5:7">
      <c r="E144" s="3"/>
      <c r="F144" s="3"/>
      <c r="G144" s="3"/>
    </row>
    <row r="145" spans="5:7">
      <c r="E145" s="3"/>
      <c r="F145" s="3"/>
      <c r="G145" s="3"/>
    </row>
    <row r="146" spans="5:7">
      <c r="E146" s="3"/>
      <c r="F146" s="3"/>
      <c r="G146" s="3"/>
    </row>
    <row r="147" spans="5:7">
      <c r="E147" s="3"/>
      <c r="F147" s="3"/>
      <c r="G147" s="3"/>
    </row>
    <row r="148" spans="5:7">
      <c r="E148" s="3"/>
      <c r="F148" s="3"/>
      <c r="G148" s="3"/>
    </row>
    <row r="149" spans="5:7">
      <c r="E149" s="3"/>
      <c r="F149" s="3"/>
      <c r="G149" s="3"/>
    </row>
    <row r="150" spans="5:7">
      <c r="E150" s="3"/>
      <c r="F150" s="3"/>
      <c r="G150" s="3"/>
    </row>
    <row r="151" spans="5:7">
      <c r="E151" s="3"/>
      <c r="F151" s="3"/>
      <c r="G151" s="3"/>
    </row>
    <row r="152" spans="5:7">
      <c r="E152" s="3"/>
      <c r="F152" s="3"/>
      <c r="G152" s="3"/>
    </row>
    <row r="153" spans="5:7">
      <c r="E153" s="3"/>
      <c r="F153" s="3"/>
      <c r="G153" s="3"/>
    </row>
    <row r="154" spans="5:7">
      <c r="E154" s="3"/>
      <c r="F154" s="3"/>
      <c r="G154" s="3"/>
    </row>
    <row r="155" spans="5:7">
      <c r="E155" s="3"/>
      <c r="F155" s="3"/>
      <c r="G155" s="3"/>
    </row>
    <row r="156" spans="5:7">
      <c r="E156" s="3"/>
      <c r="F156" s="3"/>
      <c r="G156" s="3"/>
    </row>
    <row r="157" spans="5:7">
      <c r="E157" s="3"/>
      <c r="F157" s="3"/>
      <c r="G157" s="3"/>
    </row>
    <row r="158" spans="5:7">
      <c r="E158" s="3"/>
      <c r="F158" s="3"/>
      <c r="G158" s="3"/>
    </row>
    <row r="159" spans="5:7">
      <c r="E159" s="3"/>
      <c r="F159" s="3"/>
      <c r="G159" s="3"/>
    </row>
    <row r="160" spans="5:7">
      <c r="E160" s="3"/>
      <c r="F160" s="3"/>
      <c r="G160" s="3"/>
    </row>
    <row r="161" spans="5:7">
      <c r="E161" s="3"/>
      <c r="F161" s="3"/>
      <c r="G161" s="3"/>
    </row>
    <row r="162" spans="5:7">
      <c r="E162" s="3"/>
      <c r="F162" s="3"/>
      <c r="G162" s="3"/>
    </row>
    <row r="163" spans="5:7">
      <c r="E163" s="3"/>
      <c r="F163" s="3"/>
      <c r="G163" s="3"/>
    </row>
    <row r="164" spans="5:7">
      <c r="E164" s="3"/>
      <c r="F164" s="3"/>
      <c r="G164" s="3"/>
    </row>
    <row r="165" spans="5:7">
      <c r="E165" s="3"/>
      <c r="F165" s="3"/>
      <c r="G165" s="3"/>
    </row>
    <row r="166" spans="5:7">
      <c r="E166" s="3"/>
      <c r="F166" s="3"/>
      <c r="G166" s="3"/>
    </row>
    <row r="167" spans="5:7">
      <c r="E167" s="3"/>
      <c r="F167" s="3"/>
      <c r="G167" s="3"/>
    </row>
    <row r="168" spans="5:7">
      <c r="E168" s="3"/>
      <c r="F168" s="3"/>
      <c r="G168" s="3"/>
    </row>
    <row r="169" spans="5:7">
      <c r="E169" s="3"/>
      <c r="F169" s="3"/>
      <c r="G169" s="3"/>
    </row>
    <row r="170" spans="5:7">
      <c r="E170" s="3"/>
      <c r="F170" s="3"/>
      <c r="G170" s="3"/>
    </row>
    <row r="171" spans="5:7">
      <c r="E171" s="3"/>
      <c r="F171" s="3"/>
      <c r="G171" s="3"/>
    </row>
    <row r="172" spans="5:7">
      <c r="E172" s="3"/>
      <c r="F172" s="3"/>
      <c r="G172" s="3"/>
    </row>
    <row r="173" spans="5:7">
      <c r="E173" s="3"/>
      <c r="F173" s="3"/>
      <c r="G173" s="3"/>
    </row>
    <row r="174" spans="5:7">
      <c r="E174" s="3"/>
      <c r="F174" s="3"/>
      <c r="G174" s="3"/>
    </row>
    <row r="175" spans="5:7">
      <c r="E175" s="3"/>
      <c r="F175" s="3"/>
      <c r="G175" s="3"/>
    </row>
    <row r="176" spans="5:7">
      <c r="E176" s="3"/>
      <c r="F176" s="3"/>
      <c r="G176" s="3"/>
    </row>
    <row r="177" spans="5:7">
      <c r="E177" s="3"/>
      <c r="F177" s="3"/>
      <c r="G177" s="3"/>
    </row>
    <row r="178" spans="5:7">
      <c r="E178" s="3"/>
      <c r="F178" s="3"/>
      <c r="G178" s="3"/>
    </row>
    <row r="179" spans="5:7">
      <c r="E179" s="3"/>
      <c r="F179" s="3"/>
      <c r="G179" s="3"/>
    </row>
    <row r="180" spans="5:7">
      <c r="E180" s="3"/>
      <c r="F180" s="3"/>
      <c r="G180" s="3"/>
    </row>
    <row r="181" spans="5:7">
      <c r="E181" s="3"/>
      <c r="F181" s="3"/>
      <c r="G181" s="3"/>
    </row>
    <row r="182" spans="5:7">
      <c r="E182" s="3"/>
      <c r="F182" s="3"/>
      <c r="G182" s="3"/>
    </row>
    <row r="183" spans="5:7">
      <c r="E183" s="3"/>
      <c r="F183" s="3"/>
      <c r="G183" s="3"/>
    </row>
    <row r="184" spans="5:7">
      <c r="E184" s="3"/>
      <c r="F184" s="3"/>
      <c r="G184" s="3"/>
    </row>
    <row r="185" spans="5:7">
      <c r="E185" s="3"/>
      <c r="F185" s="3"/>
      <c r="G185" s="3"/>
    </row>
    <row r="186" spans="5:7">
      <c r="E186" s="3"/>
      <c r="F186" s="3"/>
      <c r="G186" s="3"/>
    </row>
    <row r="187" spans="5:7">
      <c r="E187" s="3"/>
      <c r="F187" s="3"/>
      <c r="G187" s="3"/>
    </row>
    <row r="188" spans="5:7">
      <c r="E188" s="3"/>
      <c r="F188" s="3"/>
      <c r="G188" s="3"/>
    </row>
    <row r="189" spans="5:7">
      <c r="E189" s="3"/>
      <c r="F189" s="3"/>
      <c r="G189" s="3"/>
    </row>
    <row r="190" spans="5:7">
      <c r="E190" s="3"/>
      <c r="F190" s="3"/>
      <c r="G190" s="3"/>
    </row>
    <row r="191" spans="5:7">
      <c r="E191" s="3"/>
      <c r="F191" s="3"/>
      <c r="G191" s="3"/>
    </row>
    <row r="192" spans="5:7">
      <c r="E192" s="3"/>
      <c r="F192" s="3"/>
      <c r="G192" s="3"/>
    </row>
    <row r="193" spans="5:7">
      <c r="E193" s="3"/>
      <c r="F193" s="3"/>
      <c r="G193" s="3"/>
    </row>
    <row r="194" spans="5:7">
      <c r="E194" s="3"/>
      <c r="F194" s="3"/>
      <c r="G194" s="3"/>
    </row>
    <row r="195" spans="5:7">
      <c r="E195" s="3"/>
      <c r="F195" s="3"/>
      <c r="G195" s="3"/>
    </row>
    <row r="196" spans="5:7">
      <c r="E196" s="3"/>
      <c r="F196" s="3"/>
      <c r="G196" s="3"/>
    </row>
    <row r="197" spans="5:7">
      <c r="E197" s="3"/>
      <c r="F197" s="3"/>
      <c r="G197" s="3"/>
    </row>
    <row r="198" spans="5:7">
      <c r="E198" s="3"/>
      <c r="F198" s="3"/>
      <c r="G198" s="3"/>
    </row>
    <row r="199" spans="5:7">
      <c r="E199" s="3"/>
      <c r="F199" s="3"/>
      <c r="G199" s="3"/>
    </row>
    <row r="200" spans="5:7">
      <c r="E200" s="3"/>
      <c r="F200" s="3"/>
      <c r="G200" s="3"/>
    </row>
    <row r="201" spans="5:7">
      <c r="E201" s="3"/>
      <c r="F201" s="3"/>
      <c r="G201" s="3"/>
    </row>
    <row r="202" spans="5:7">
      <c r="E202" s="3"/>
      <c r="F202" s="3"/>
      <c r="G202" s="3"/>
    </row>
    <row r="203" spans="5:7">
      <c r="E203" s="3"/>
      <c r="F203" s="3"/>
      <c r="G203" s="3"/>
    </row>
    <row r="204" spans="5:7">
      <c r="E204" s="3"/>
      <c r="F204" s="3"/>
      <c r="G204" s="3"/>
    </row>
    <row r="205" spans="5:7">
      <c r="E205" s="3"/>
      <c r="F205" s="3"/>
      <c r="G205" s="3"/>
    </row>
    <row r="206" spans="5:7">
      <c r="E206" s="3"/>
      <c r="F206" s="3"/>
      <c r="G206" s="3"/>
    </row>
    <row r="207" spans="5:7">
      <c r="E207" s="3"/>
      <c r="F207" s="3"/>
      <c r="G207" s="3"/>
    </row>
    <row r="208" spans="5:7">
      <c r="E208" s="3"/>
      <c r="F208" s="3"/>
      <c r="G208" s="3"/>
    </row>
    <row r="209" spans="5:7">
      <c r="E209" s="3"/>
      <c r="F209" s="3"/>
      <c r="G209" s="3"/>
    </row>
    <row r="210" spans="5:7">
      <c r="E210" s="3"/>
      <c r="F210" s="3"/>
      <c r="G210" s="3"/>
    </row>
    <row r="211" spans="5:7">
      <c r="E211" s="3"/>
      <c r="F211" s="3"/>
      <c r="G211" s="3"/>
    </row>
    <row r="212" spans="5:7">
      <c r="E212" s="3"/>
      <c r="F212" s="3"/>
      <c r="G212" s="3"/>
    </row>
    <row r="213" spans="5:7">
      <c r="E213" s="3"/>
      <c r="F213" s="3"/>
      <c r="G213" s="3"/>
    </row>
    <row r="214" spans="5:7">
      <c r="E214" s="3"/>
      <c r="F214" s="3"/>
      <c r="G214" s="3"/>
    </row>
    <row r="215" spans="5:7">
      <c r="E215" s="3"/>
      <c r="F215" s="3"/>
    </row>
    <row r="216" spans="5:7">
      <c r="E216" s="3"/>
      <c r="F216" s="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B016-B552-4A51-B0DE-CD51B87FEA9C}">
  <sheetPr codeName="Hoja2">
    <tabColor theme="7" tint="0.79998168889431442"/>
  </sheetPr>
  <dimension ref="A1:AM608"/>
  <sheetViews>
    <sheetView zoomScale="85" zoomScaleNormal="85" workbookViewId="0">
      <pane ySplit="1" topLeftCell="A2" activePane="bottomLeft" state="frozen"/>
      <selection activeCell="D31" sqref="D31"/>
      <selection pane="bottomLeft" activeCell="B1" sqref="B1:B1000000"/>
    </sheetView>
  </sheetViews>
  <sheetFormatPr baseColWidth="10" defaultColWidth="11.44140625" defaultRowHeight="14.4"/>
  <cols>
    <col min="1" max="1" width="89.109375" style="3" bestFit="1" customWidth="1"/>
    <col min="2" max="2" width="38.109375" style="3" bestFit="1" customWidth="1"/>
    <col min="3" max="3" width="11.88671875" style="3" bestFit="1" customWidth="1"/>
    <col min="4" max="7" width="12.44140625" bestFit="1" customWidth="1"/>
    <col min="8" max="8" width="26.44140625" style="3" bestFit="1" customWidth="1"/>
    <col min="9" max="9" width="11.88671875" style="3" bestFit="1" customWidth="1"/>
    <col min="10" max="10" width="15.88671875" style="3" bestFit="1" customWidth="1"/>
    <col min="11" max="11" width="13.88671875" style="3" bestFit="1" customWidth="1"/>
    <col min="12" max="12" width="14.109375" style="3" bestFit="1" customWidth="1"/>
    <col min="13" max="13" width="26.44140625" style="3" bestFit="1" customWidth="1"/>
    <col min="14" max="14" width="12.44140625" style="3" bestFit="1" customWidth="1"/>
    <col min="15" max="15" width="16.88671875" style="3" bestFit="1" customWidth="1"/>
    <col min="16" max="16" width="78.109375" style="3" bestFit="1" customWidth="1"/>
    <col min="17" max="17" width="13" style="3" bestFit="1" customWidth="1"/>
    <col min="18" max="19" width="6" style="5" bestFit="1" customWidth="1"/>
    <col min="20" max="20" width="85.109375" style="3" bestFit="1" customWidth="1"/>
    <col min="21" max="21" width="33.88671875" style="8" bestFit="1" customWidth="1"/>
    <col min="22" max="22" width="12.109375" style="6" bestFit="1" customWidth="1"/>
    <col min="23" max="24" width="6" style="5" bestFit="1" customWidth="1"/>
    <col min="25" max="25" width="26.44140625" style="3" bestFit="1" customWidth="1"/>
    <col min="26" max="26" width="12.88671875" style="3" bestFit="1" customWidth="1"/>
    <col min="27" max="27" width="16.88671875" style="3" bestFit="1" customWidth="1"/>
    <col min="28" max="29" width="12" style="3" bestFit="1" customWidth="1"/>
    <col min="30" max="30" width="26.44140625" style="3" bestFit="1" customWidth="1"/>
    <col min="31" max="31" width="12.44140625" style="3" bestFit="1" customWidth="1"/>
    <col min="32" max="32" width="16.88671875" style="3" bestFit="1" customWidth="1"/>
    <col min="33" max="33" width="78.109375" style="3" bestFit="1" customWidth="1"/>
    <col min="34" max="34" width="13" style="9" bestFit="1" customWidth="1"/>
    <col min="35" max="35" width="14.44140625" style="4" bestFit="1" customWidth="1"/>
    <col min="36" max="36" width="19.44140625" style="4" bestFit="1" customWidth="1"/>
    <col min="37" max="37" width="19" style="10" bestFit="1" customWidth="1"/>
    <col min="39" max="39" width="7.88671875" bestFit="1" customWidth="1"/>
  </cols>
  <sheetData>
    <row r="1" spans="1:39" s="53" customFormat="1" ht="21.15" customHeight="1">
      <c r="A1" s="53" t="s">
        <v>113</v>
      </c>
      <c r="B1" s="53" t="s">
        <v>114</v>
      </c>
      <c r="C1" s="53" t="s">
        <v>13</v>
      </c>
      <c r="D1" s="85" t="s">
        <v>2</v>
      </c>
      <c r="E1" s="85" t="s">
        <v>3</v>
      </c>
      <c r="F1" s="85" t="s">
        <v>4</v>
      </c>
      <c r="G1" s="85" t="s">
        <v>5</v>
      </c>
      <c r="H1" s="53" t="s">
        <v>115</v>
      </c>
      <c r="I1" s="53" t="s">
        <v>12</v>
      </c>
      <c r="J1" s="53" t="s">
        <v>116</v>
      </c>
      <c r="K1" s="53" t="s">
        <v>117</v>
      </c>
      <c r="L1" s="53" t="s">
        <v>118</v>
      </c>
      <c r="M1" s="53" t="s">
        <v>10</v>
      </c>
      <c r="N1" s="53" t="s">
        <v>9</v>
      </c>
      <c r="O1" s="53" t="s">
        <v>11</v>
      </c>
      <c r="P1" s="53" t="s">
        <v>119</v>
      </c>
      <c r="Q1" s="53" t="s">
        <v>8</v>
      </c>
      <c r="AM1" s="53" t="s">
        <v>15</v>
      </c>
    </row>
    <row r="2" spans="1:39">
      <c r="A2" s="3" t="s">
        <v>967</v>
      </c>
      <c r="B2" s="3" t="s">
        <v>987</v>
      </c>
      <c r="C2" s="3">
        <v>66</v>
      </c>
      <c r="D2">
        <v>-73.146249999999995</v>
      </c>
      <c r="E2">
        <v>5.4845833333333331</v>
      </c>
      <c r="F2">
        <v>-73.166250000000005</v>
      </c>
      <c r="G2">
        <v>5.4887500000000005</v>
      </c>
      <c r="H2" s="3">
        <v>0</v>
      </c>
      <c r="I2" s="3">
        <v>0</v>
      </c>
      <c r="J2" s="3">
        <v>0</v>
      </c>
      <c r="K2" s="3">
        <v>4</v>
      </c>
      <c r="L2" s="3">
        <v>66</v>
      </c>
      <c r="M2" s="3" t="s">
        <v>988</v>
      </c>
      <c r="N2" s="3">
        <v>115</v>
      </c>
      <c r="O2" s="3">
        <v>23</v>
      </c>
      <c r="P2" s="3" t="s">
        <v>968</v>
      </c>
      <c r="Q2" s="3">
        <v>116</v>
      </c>
    </row>
    <row r="3" spans="1:39">
      <c r="A3" s="3" t="s">
        <v>968</v>
      </c>
      <c r="B3" s="3" t="s">
        <v>984</v>
      </c>
      <c r="C3" s="3">
        <v>116</v>
      </c>
      <c r="D3">
        <v>-73.166250000000005</v>
      </c>
      <c r="E3">
        <v>5.4887500000000005</v>
      </c>
      <c r="F3">
        <v>-73.200416666666669</v>
      </c>
      <c r="G3">
        <v>5.6195833333333329</v>
      </c>
      <c r="H3" s="3" t="s">
        <v>988</v>
      </c>
      <c r="I3" s="3">
        <v>115</v>
      </c>
      <c r="J3" s="3">
        <v>23</v>
      </c>
      <c r="K3" s="3">
        <v>26</v>
      </c>
      <c r="L3" s="3">
        <v>116</v>
      </c>
      <c r="M3" s="3" t="s">
        <v>989</v>
      </c>
      <c r="N3" s="3">
        <v>107</v>
      </c>
      <c r="O3" s="3">
        <v>13</v>
      </c>
      <c r="P3" s="3" t="s">
        <v>974</v>
      </c>
      <c r="Q3" s="3">
        <v>108</v>
      </c>
    </row>
    <row r="4" spans="1:39">
      <c r="A4" s="3" t="s">
        <v>974</v>
      </c>
      <c r="B4" s="3" t="s">
        <v>990</v>
      </c>
      <c r="C4" s="3">
        <v>108</v>
      </c>
      <c r="D4">
        <v>-73.200416666666669</v>
      </c>
      <c r="E4">
        <v>5.6195833333333329</v>
      </c>
      <c r="F4">
        <v>-73.227916666666673</v>
      </c>
      <c r="G4">
        <v>5.7012499999999999</v>
      </c>
      <c r="H4" s="3" t="s">
        <v>989</v>
      </c>
      <c r="I4" s="3">
        <v>107</v>
      </c>
      <c r="J4" s="3">
        <v>13</v>
      </c>
      <c r="K4" s="3">
        <v>20</v>
      </c>
      <c r="L4" s="3">
        <v>108</v>
      </c>
      <c r="M4" s="3" t="s">
        <v>991</v>
      </c>
      <c r="N4" s="3">
        <v>121</v>
      </c>
      <c r="O4" s="3">
        <v>23</v>
      </c>
      <c r="P4" s="3" t="s">
        <v>969</v>
      </c>
      <c r="Q4" s="3">
        <v>122</v>
      </c>
    </row>
    <row r="5" spans="1:39">
      <c r="A5" s="3" t="s">
        <v>969</v>
      </c>
      <c r="B5" s="3" t="s">
        <v>986</v>
      </c>
      <c r="C5" s="3">
        <v>122</v>
      </c>
      <c r="D5">
        <v>-73.227916666666673</v>
      </c>
      <c r="E5">
        <v>5.7012499999999999</v>
      </c>
      <c r="F5">
        <v>-73.223749999999995</v>
      </c>
      <c r="G5">
        <v>5.7062499999999998</v>
      </c>
      <c r="H5" s="3" t="s">
        <v>991</v>
      </c>
      <c r="I5" s="3">
        <v>121</v>
      </c>
      <c r="J5" s="3">
        <v>23</v>
      </c>
      <c r="K5" s="3">
        <v>30</v>
      </c>
      <c r="L5" s="3">
        <v>122</v>
      </c>
      <c r="M5" s="3" t="s">
        <v>992</v>
      </c>
      <c r="N5" s="3">
        <v>86</v>
      </c>
      <c r="O5" s="3">
        <v>13</v>
      </c>
      <c r="P5" s="3" t="s">
        <v>971</v>
      </c>
      <c r="Q5" s="3">
        <v>87</v>
      </c>
    </row>
    <row r="6" spans="1:39">
      <c r="A6" s="3" t="s">
        <v>971</v>
      </c>
      <c r="B6" s="3" t="s">
        <v>993</v>
      </c>
      <c r="C6" s="3">
        <v>87</v>
      </c>
      <c r="D6">
        <v>-73.223749999999995</v>
      </c>
      <c r="E6">
        <v>5.7062499999999998</v>
      </c>
      <c r="F6">
        <v>-73.219583333333333</v>
      </c>
      <c r="G6">
        <v>5.7170833333333331</v>
      </c>
      <c r="H6" s="3" t="s">
        <v>992</v>
      </c>
      <c r="I6" s="3">
        <v>86</v>
      </c>
      <c r="J6" s="3">
        <v>13</v>
      </c>
      <c r="K6" s="3">
        <v>12</v>
      </c>
      <c r="L6" s="3">
        <v>87</v>
      </c>
      <c r="M6" s="3" t="s">
        <v>994</v>
      </c>
      <c r="N6" s="3">
        <v>124</v>
      </c>
      <c r="O6" s="3">
        <v>4</v>
      </c>
      <c r="P6" s="3" t="s">
        <v>976</v>
      </c>
      <c r="Q6" s="3">
        <v>125</v>
      </c>
    </row>
    <row r="7" spans="1:39">
      <c r="A7" s="3" t="s">
        <v>976</v>
      </c>
      <c r="B7" s="3" t="s">
        <v>995</v>
      </c>
      <c r="C7" s="3">
        <v>125</v>
      </c>
      <c r="D7">
        <v>-73.219583333333333</v>
      </c>
      <c r="E7">
        <v>5.7170833333333331</v>
      </c>
      <c r="F7">
        <v>-73.187916666666666</v>
      </c>
      <c r="G7">
        <v>5.7487500000000002</v>
      </c>
      <c r="H7" s="3" t="s">
        <v>994</v>
      </c>
      <c r="I7" s="3">
        <v>124</v>
      </c>
      <c r="J7" s="3">
        <v>4</v>
      </c>
      <c r="K7" s="3">
        <v>33</v>
      </c>
      <c r="L7" s="3">
        <v>125</v>
      </c>
      <c r="M7" s="3" t="s">
        <v>996</v>
      </c>
      <c r="N7" s="3">
        <v>67</v>
      </c>
      <c r="O7" s="3">
        <v>23</v>
      </c>
      <c r="P7" s="3" t="s">
        <v>959</v>
      </c>
      <c r="Q7" s="3">
        <v>68</v>
      </c>
    </row>
    <row r="8" spans="1:39">
      <c r="A8" s="3" t="s">
        <v>959</v>
      </c>
      <c r="B8" s="3" t="s">
        <v>978</v>
      </c>
      <c r="C8" s="3">
        <v>68</v>
      </c>
      <c r="D8">
        <v>-73.187916666666666</v>
      </c>
      <c r="E8">
        <v>5.7487500000000002</v>
      </c>
      <c r="F8">
        <v>-74.84041666666667</v>
      </c>
      <c r="G8">
        <v>11.065416666666666</v>
      </c>
      <c r="H8" s="3" t="s">
        <v>996</v>
      </c>
      <c r="I8" s="3">
        <v>67</v>
      </c>
      <c r="J8" s="3">
        <v>23</v>
      </c>
      <c r="K8" s="3">
        <v>6</v>
      </c>
      <c r="L8" s="3">
        <v>68</v>
      </c>
      <c r="M8" s="3">
        <v>0</v>
      </c>
      <c r="N8" s="3">
        <v>0</v>
      </c>
      <c r="O8" s="3">
        <v>0</v>
      </c>
    </row>
    <row r="9" spans="1:39">
      <c r="A9" s="3" t="s">
        <v>970</v>
      </c>
      <c r="B9" s="3" t="s">
        <v>997</v>
      </c>
      <c r="C9" s="3">
        <v>85</v>
      </c>
      <c r="D9">
        <v>-73.388750000000002</v>
      </c>
      <c r="E9">
        <v>5.6404166666666669</v>
      </c>
      <c r="F9">
        <v>-73.393749999999997</v>
      </c>
      <c r="G9">
        <v>5.6279166666666667</v>
      </c>
      <c r="H9" s="3">
        <v>0</v>
      </c>
      <c r="I9" s="3">
        <v>0</v>
      </c>
      <c r="J9" s="3">
        <v>0</v>
      </c>
      <c r="K9" s="3">
        <v>10</v>
      </c>
      <c r="L9" s="3">
        <v>85</v>
      </c>
      <c r="M9" s="3" t="s">
        <v>998</v>
      </c>
      <c r="N9" s="3">
        <v>88</v>
      </c>
      <c r="O9" s="3">
        <v>23</v>
      </c>
      <c r="P9" s="3" t="s">
        <v>972</v>
      </c>
      <c r="Q9" s="3">
        <v>89</v>
      </c>
    </row>
    <row r="10" spans="1:39">
      <c r="A10" s="3" t="s">
        <v>972</v>
      </c>
      <c r="B10" s="3" t="s">
        <v>980</v>
      </c>
      <c r="C10" s="3">
        <v>89</v>
      </c>
      <c r="D10">
        <v>-73.393749999999997</v>
      </c>
      <c r="E10">
        <v>5.6279166666666667</v>
      </c>
      <c r="F10">
        <v>-73.223749999999995</v>
      </c>
      <c r="G10">
        <v>5.7062499999999998</v>
      </c>
      <c r="H10" s="3" t="s">
        <v>998</v>
      </c>
      <c r="I10" s="3">
        <v>88</v>
      </c>
      <c r="J10" s="3">
        <v>23</v>
      </c>
      <c r="K10" s="3">
        <v>14</v>
      </c>
      <c r="L10" s="3">
        <v>89</v>
      </c>
      <c r="M10" s="3" t="s">
        <v>992</v>
      </c>
      <c r="N10" s="3">
        <v>86</v>
      </c>
      <c r="O10" s="3">
        <v>13</v>
      </c>
      <c r="P10" s="3" t="s">
        <v>971</v>
      </c>
      <c r="Q10" s="3">
        <v>87</v>
      </c>
    </row>
    <row r="11" spans="1:39">
      <c r="A11" s="3" t="s">
        <v>973</v>
      </c>
      <c r="B11" s="3" t="s">
        <v>999</v>
      </c>
      <c r="C11" s="3">
        <v>106</v>
      </c>
      <c r="D11">
        <v>-73.113749999999996</v>
      </c>
      <c r="E11">
        <v>5.5370833333333334</v>
      </c>
      <c r="F11">
        <v>-73.114583333333329</v>
      </c>
      <c r="G11">
        <v>5.5512500000000005</v>
      </c>
      <c r="H11" s="3">
        <v>0</v>
      </c>
      <c r="I11" s="3">
        <v>0</v>
      </c>
      <c r="J11" s="3">
        <v>0</v>
      </c>
      <c r="K11" s="3">
        <v>18</v>
      </c>
      <c r="L11" s="3">
        <v>106</v>
      </c>
      <c r="M11" s="3" t="s">
        <v>1000</v>
      </c>
      <c r="N11" s="3">
        <v>109</v>
      </c>
      <c r="O11" s="3">
        <v>23</v>
      </c>
      <c r="P11" s="3" t="s">
        <v>975</v>
      </c>
      <c r="Q11" s="3">
        <v>110</v>
      </c>
    </row>
    <row r="12" spans="1:39">
      <c r="A12" s="3" t="s">
        <v>975</v>
      </c>
      <c r="B12" s="3" t="s">
        <v>982</v>
      </c>
      <c r="C12" s="3">
        <v>110</v>
      </c>
      <c r="D12">
        <v>-73.114583333333329</v>
      </c>
      <c r="E12">
        <v>5.5512500000000005</v>
      </c>
      <c r="F12">
        <v>-73.200416666666669</v>
      </c>
      <c r="G12">
        <v>5.6195833333333329</v>
      </c>
      <c r="H12" s="3" t="s">
        <v>1000</v>
      </c>
      <c r="I12" s="3">
        <v>109</v>
      </c>
      <c r="J12" s="3">
        <v>23</v>
      </c>
      <c r="K12" s="3">
        <v>22</v>
      </c>
      <c r="L12" s="3">
        <v>110</v>
      </c>
      <c r="M12" s="3" t="s">
        <v>989</v>
      </c>
      <c r="N12" s="3">
        <v>107</v>
      </c>
      <c r="O12" s="3">
        <v>13</v>
      </c>
      <c r="P12" s="3" t="s">
        <v>974</v>
      </c>
      <c r="Q12" s="3">
        <v>108</v>
      </c>
    </row>
    <row r="608" spans="1:37" s="61" customFormat="1">
      <c r="A608" s="54"/>
      <c r="B608" s="54"/>
      <c r="C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5"/>
      <c r="S608" s="55"/>
      <c r="T608" s="54"/>
      <c r="U608" s="56"/>
      <c r="V608" s="57"/>
      <c r="W608" s="55"/>
      <c r="X608" s="55"/>
      <c r="Y608" s="54"/>
      <c r="Z608" s="54"/>
      <c r="AA608" s="54"/>
      <c r="AB608" s="54"/>
      <c r="AC608" s="54"/>
      <c r="AD608" s="54"/>
      <c r="AE608" s="54"/>
      <c r="AF608" s="54"/>
      <c r="AG608" s="54"/>
      <c r="AH608" s="58"/>
      <c r="AI608" s="59"/>
      <c r="AJ608" s="59"/>
      <c r="AK608" s="6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504D-2E8F-4ACC-9D54-B05BB0723DF9}">
  <sheetPr codeName="Hoja9">
    <tabColor theme="7" tint="0.79998168889431442"/>
  </sheetPr>
  <dimension ref="A1:K1"/>
  <sheetViews>
    <sheetView zoomScale="70" zoomScaleNormal="70" workbookViewId="0">
      <selection activeCell="A2" sqref="A2:I11"/>
    </sheetView>
  </sheetViews>
  <sheetFormatPr baseColWidth="10" defaultColWidth="11.5546875" defaultRowHeight="14.4"/>
  <cols>
    <col min="1" max="1" width="19" bestFit="1" customWidth="1"/>
    <col min="2" max="2" width="45.109375" bestFit="1" customWidth="1"/>
    <col min="3" max="3" width="14.44140625" bestFit="1" customWidth="1"/>
    <col min="4" max="4" width="19" customWidth="1"/>
    <col min="5" max="5" width="73.88671875" bestFit="1" customWidth="1"/>
    <col min="6" max="6" width="16.109375" bestFit="1" customWidth="1"/>
    <col min="7" max="7" width="18.109375" bestFit="1" customWidth="1"/>
    <col min="8" max="9" width="14.109375" bestFit="1" customWidth="1"/>
  </cols>
  <sheetData>
    <row r="1" spans="1:11" s="1" customFormat="1" ht="28.8">
      <c r="A1" s="53" t="s">
        <v>102</v>
      </c>
      <c r="B1" s="53" t="s">
        <v>103</v>
      </c>
      <c r="C1" s="53" t="s">
        <v>104</v>
      </c>
      <c r="D1" s="53" t="s">
        <v>105</v>
      </c>
      <c r="E1" s="53" t="s">
        <v>106</v>
      </c>
      <c r="F1" s="53" t="s">
        <v>107</v>
      </c>
      <c r="G1" s="53" t="s">
        <v>108</v>
      </c>
      <c r="H1" s="53" t="s">
        <v>109</v>
      </c>
      <c r="I1" s="53" t="s">
        <v>110</v>
      </c>
      <c r="J1" s="86"/>
      <c r="K1" s="86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4D662-AE31-4329-9272-82D19890B23F}">
  <sheetPr codeName="Hoja14">
    <tabColor theme="7" tint="0.79998168889431442"/>
  </sheetPr>
  <dimension ref="A1:V12"/>
  <sheetViews>
    <sheetView workbookViewId="0">
      <selection activeCell="C18" sqref="C18"/>
    </sheetView>
  </sheetViews>
  <sheetFormatPr baseColWidth="10" defaultColWidth="11.44140625" defaultRowHeight="14.4"/>
  <cols>
    <col min="1" max="1" width="92.21875" style="3" bestFit="1" customWidth="1"/>
    <col min="2" max="2" width="23.21875" style="3" customWidth="1"/>
    <col min="3" max="3" width="68.21875" style="3" customWidth="1"/>
    <col min="4" max="4" width="23.109375" style="3" bestFit="1" customWidth="1"/>
    <col min="5" max="5" width="22.44140625" style="3" bestFit="1" customWidth="1"/>
    <col min="6" max="6" width="8.44140625" style="3" bestFit="1" customWidth="1"/>
    <col min="7" max="11" width="19.88671875" style="4" customWidth="1"/>
    <col min="12" max="12" width="5.88671875" style="3" customWidth="1"/>
    <col min="13" max="13" width="10.88671875" style="3" customWidth="1"/>
    <col min="14" max="14" width="5.88671875" style="3" customWidth="1"/>
    <col min="15" max="16" width="19.88671875" style="4" customWidth="1"/>
    <col min="17" max="19" width="10.88671875" style="3" customWidth="1"/>
    <col min="20" max="20" width="254.88671875" style="3" customWidth="1"/>
    <col min="21" max="22" width="19.88671875" style="4" customWidth="1"/>
  </cols>
  <sheetData>
    <row r="1" spans="1:22">
      <c r="A1" s="53" t="s">
        <v>113</v>
      </c>
      <c r="B1" s="53" t="s">
        <v>117</v>
      </c>
      <c r="C1" s="53" t="s">
        <v>768</v>
      </c>
      <c r="D1" s="53" t="s">
        <v>516</v>
      </c>
      <c r="E1" s="53" t="s">
        <v>517</v>
      </c>
      <c r="F1" s="53"/>
      <c r="U1" s="4" t="s">
        <v>6</v>
      </c>
      <c r="V1" s="4" t="s">
        <v>7</v>
      </c>
    </row>
    <row r="2" spans="1:22">
      <c r="A2" s="3" t="s">
        <v>971</v>
      </c>
      <c r="B2" s="3">
        <v>12</v>
      </c>
      <c r="C2" s="3" t="s">
        <v>1001</v>
      </c>
      <c r="D2" s="3" t="s">
        <v>994</v>
      </c>
      <c r="E2" s="3">
        <v>32</v>
      </c>
      <c r="G2" s="45"/>
      <c r="H2" s="45"/>
      <c r="I2" s="45"/>
      <c r="J2" s="45"/>
      <c r="K2" s="45"/>
      <c r="L2" s="45"/>
      <c r="M2" s="45"/>
      <c r="N2" s="63"/>
    </row>
    <row r="3" spans="1:22">
      <c r="G3" s="45"/>
      <c r="H3" s="45"/>
      <c r="I3" s="45"/>
      <c r="J3" s="45"/>
      <c r="K3" s="45"/>
      <c r="L3" s="45"/>
      <c r="M3" s="45"/>
      <c r="N3" s="63"/>
    </row>
    <row r="4" spans="1:22">
      <c r="G4" s="45"/>
      <c r="H4" s="45"/>
      <c r="I4" s="45"/>
      <c r="J4" s="45"/>
    </row>
    <row r="5" spans="1:22">
      <c r="G5" s="45"/>
      <c r="H5" s="45"/>
      <c r="I5" s="45"/>
      <c r="J5" s="45"/>
    </row>
    <row r="6" spans="1:22">
      <c r="G6" s="45"/>
      <c r="H6" s="45"/>
      <c r="I6" s="45"/>
      <c r="J6" s="45"/>
      <c r="K6" s="3"/>
    </row>
    <row r="11" spans="1:22">
      <c r="G11"/>
      <c r="H11"/>
    </row>
    <row r="12" spans="1:22">
      <c r="G12"/>
      <c r="H12"/>
      <c r="I12" s="45"/>
      <c r="J12" s="45"/>
      <c r="K12" s="45"/>
      <c r="L12" s="45"/>
    </row>
  </sheetData>
  <autoFilter ref="A1:E139" xr:uid="{4D64D662-AE31-4329-9272-82D19890B23F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14427-D2ED-46DF-A2EA-8069B836E062}">
  <sheetPr codeName="Hoja21"/>
  <dimension ref="A1:B139"/>
  <sheetViews>
    <sheetView workbookViewId="0">
      <selection activeCell="G28" sqref="G28"/>
    </sheetView>
  </sheetViews>
  <sheetFormatPr baseColWidth="10" defaultRowHeight="14.4"/>
  <cols>
    <col min="1" max="1" width="68.21875" style="3" customWidth="1"/>
  </cols>
  <sheetData>
    <row r="1" spans="1:2">
      <c r="A1" s="53" t="s">
        <v>768</v>
      </c>
    </row>
    <row r="2" spans="1:2">
      <c r="A2" s="3" t="s">
        <v>796</v>
      </c>
      <c r="B2" t="s">
        <v>797</v>
      </c>
    </row>
    <row r="3" spans="1:2">
      <c r="A3" s="3" t="s">
        <v>796</v>
      </c>
      <c r="B3" t="s">
        <v>798</v>
      </c>
    </row>
    <row r="4" spans="1:2">
      <c r="A4" s="3" t="s">
        <v>796</v>
      </c>
      <c r="B4" t="s">
        <v>799</v>
      </c>
    </row>
    <row r="5" spans="1:2">
      <c r="A5" s="3" t="s">
        <v>796</v>
      </c>
      <c r="B5" t="s">
        <v>800</v>
      </c>
    </row>
    <row r="6" spans="1:2">
      <c r="A6" s="3" t="s">
        <v>796</v>
      </c>
      <c r="B6" t="s">
        <v>801</v>
      </c>
    </row>
    <row r="7" spans="1:2">
      <c r="A7" s="3" t="s">
        <v>796</v>
      </c>
      <c r="B7" t="s">
        <v>802</v>
      </c>
    </row>
    <row r="8" spans="1:2">
      <c r="A8" s="3" t="s">
        <v>796</v>
      </c>
      <c r="B8" t="s">
        <v>803</v>
      </c>
    </row>
    <row r="9" spans="1:2">
      <c r="A9" s="3" t="s">
        <v>796</v>
      </c>
      <c r="B9" t="s">
        <v>804</v>
      </c>
    </row>
    <row r="10" spans="1:2">
      <c r="A10" s="3" t="s">
        <v>796</v>
      </c>
      <c r="B10" t="s">
        <v>805</v>
      </c>
    </row>
    <row r="11" spans="1:2">
      <c r="A11" s="3" t="s">
        <v>796</v>
      </c>
      <c r="B11" t="s">
        <v>806</v>
      </c>
    </row>
    <row r="12" spans="1:2">
      <c r="A12" s="3" t="s">
        <v>796</v>
      </c>
      <c r="B12" t="s">
        <v>807</v>
      </c>
    </row>
    <row r="13" spans="1:2">
      <c r="A13" s="3" t="s">
        <v>796</v>
      </c>
      <c r="B13" t="s">
        <v>808</v>
      </c>
    </row>
    <row r="14" spans="1:2">
      <c r="A14" s="3" t="s">
        <v>796</v>
      </c>
      <c r="B14" t="s">
        <v>809</v>
      </c>
    </row>
    <row r="15" spans="1:2">
      <c r="A15" s="3" t="s">
        <v>796</v>
      </c>
      <c r="B15" t="s">
        <v>810</v>
      </c>
    </row>
    <row r="16" spans="1:2">
      <c r="A16" s="3" t="s">
        <v>796</v>
      </c>
      <c r="B16" t="s">
        <v>811</v>
      </c>
    </row>
    <row r="17" spans="1:2">
      <c r="A17" s="3" t="s">
        <v>796</v>
      </c>
      <c r="B17" t="s">
        <v>812</v>
      </c>
    </row>
    <row r="18" spans="1:2">
      <c r="A18" s="3" t="s">
        <v>796</v>
      </c>
      <c r="B18" t="s">
        <v>813</v>
      </c>
    </row>
    <row r="19" spans="1:2">
      <c r="A19" s="3" t="s">
        <v>796</v>
      </c>
      <c r="B19" t="s">
        <v>814</v>
      </c>
    </row>
    <row r="20" spans="1:2">
      <c r="A20" s="3" t="s">
        <v>796</v>
      </c>
      <c r="B20" t="s">
        <v>815</v>
      </c>
    </row>
    <row r="21" spans="1:2">
      <c r="A21" s="3" t="s">
        <v>796</v>
      </c>
      <c r="B21" t="s">
        <v>816</v>
      </c>
    </row>
    <row r="22" spans="1:2">
      <c r="A22" s="3" t="s">
        <v>796</v>
      </c>
      <c r="B22" t="s">
        <v>817</v>
      </c>
    </row>
    <row r="23" spans="1:2">
      <c r="A23" s="3" t="s">
        <v>796</v>
      </c>
      <c r="B23" t="s">
        <v>818</v>
      </c>
    </row>
    <row r="24" spans="1:2">
      <c r="A24" s="3" t="s">
        <v>796</v>
      </c>
      <c r="B24" t="s">
        <v>819</v>
      </c>
    </row>
    <row r="25" spans="1:2">
      <c r="A25" s="3" t="s">
        <v>796</v>
      </c>
      <c r="B25" t="s">
        <v>820</v>
      </c>
    </row>
    <row r="26" spans="1:2">
      <c r="A26" s="3" t="s">
        <v>796</v>
      </c>
      <c r="B26" t="s">
        <v>821</v>
      </c>
    </row>
    <row r="27" spans="1:2">
      <c r="A27" s="3" t="s">
        <v>796</v>
      </c>
      <c r="B27" t="s">
        <v>822</v>
      </c>
    </row>
    <row r="28" spans="1:2">
      <c r="A28" s="3" t="s">
        <v>796</v>
      </c>
      <c r="B28" t="s">
        <v>823</v>
      </c>
    </row>
    <row r="29" spans="1:2">
      <c r="A29" s="3" t="s">
        <v>796</v>
      </c>
      <c r="B29" t="s">
        <v>824</v>
      </c>
    </row>
    <row r="30" spans="1:2">
      <c r="A30" s="3" t="s">
        <v>796</v>
      </c>
      <c r="B30" t="s">
        <v>825</v>
      </c>
    </row>
    <row r="31" spans="1:2">
      <c r="A31" s="3" t="s">
        <v>796</v>
      </c>
      <c r="B31" t="s">
        <v>826</v>
      </c>
    </row>
    <row r="32" spans="1:2">
      <c r="A32" s="3" t="s">
        <v>796</v>
      </c>
      <c r="B32" t="s">
        <v>827</v>
      </c>
    </row>
    <row r="33" spans="1:2">
      <c r="A33" s="3" t="s">
        <v>796</v>
      </c>
      <c r="B33" t="s">
        <v>828</v>
      </c>
    </row>
    <row r="34" spans="1:2">
      <c r="A34" s="3" t="s">
        <v>796</v>
      </c>
      <c r="B34" t="s">
        <v>829</v>
      </c>
    </row>
    <row r="35" spans="1:2">
      <c r="A35" s="3" t="s">
        <v>796</v>
      </c>
      <c r="B35" t="s">
        <v>830</v>
      </c>
    </row>
    <row r="36" spans="1:2">
      <c r="A36" s="3" t="s">
        <v>796</v>
      </c>
      <c r="B36" t="s">
        <v>831</v>
      </c>
    </row>
    <row r="37" spans="1:2">
      <c r="A37" s="3" t="s">
        <v>796</v>
      </c>
      <c r="B37" t="s">
        <v>832</v>
      </c>
    </row>
    <row r="38" spans="1:2">
      <c r="A38" s="3" t="s">
        <v>796</v>
      </c>
      <c r="B38" t="s">
        <v>833</v>
      </c>
    </row>
    <row r="39" spans="1:2">
      <c r="A39" s="3" t="s">
        <v>796</v>
      </c>
      <c r="B39" t="s">
        <v>834</v>
      </c>
    </row>
    <row r="40" spans="1:2">
      <c r="A40" s="3" t="s">
        <v>796</v>
      </c>
      <c r="B40" t="s">
        <v>835</v>
      </c>
    </row>
    <row r="41" spans="1:2">
      <c r="A41" s="3" t="s">
        <v>796</v>
      </c>
      <c r="B41" t="s">
        <v>836</v>
      </c>
    </row>
    <row r="42" spans="1:2">
      <c r="A42" s="3" t="s">
        <v>796</v>
      </c>
      <c r="B42" t="s">
        <v>837</v>
      </c>
    </row>
    <row r="43" spans="1:2">
      <c r="A43" s="3" t="s">
        <v>796</v>
      </c>
      <c r="B43" t="s">
        <v>838</v>
      </c>
    </row>
    <row r="44" spans="1:2">
      <c r="A44" s="3" t="s">
        <v>796</v>
      </c>
      <c r="B44" t="s">
        <v>839</v>
      </c>
    </row>
    <row r="45" spans="1:2">
      <c r="A45" s="3" t="s">
        <v>796</v>
      </c>
      <c r="B45" t="s">
        <v>840</v>
      </c>
    </row>
    <row r="46" spans="1:2">
      <c r="A46" s="3" t="s">
        <v>796</v>
      </c>
      <c r="B46" t="s">
        <v>841</v>
      </c>
    </row>
    <row r="47" spans="1:2">
      <c r="A47" s="3" t="s">
        <v>796</v>
      </c>
      <c r="B47" t="s">
        <v>842</v>
      </c>
    </row>
    <row r="48" spans="1:2">
      <c r="A48" s="3" t="s">
        <v>796</v>
      </c>
      <c r="B48" t="s">
        <v>843</v>
      </c>
    </row>
    <row r="49" spans="1:2">
      <c r="A49" s="3" t="s">
        <v>796</v>
      </c>
      <c r="B49" t="s">
        <v>844</v>
      </c>
    </row>
    <row r="50" spans="1:2">
      <c r="A50" s="3" t="s">
        <v>796</v>
      </c>
      <c r="B50" t="s">
        <v>845</v>
      </c>
    </row>
    <row r="51" spans="1:2">
      <c r="A51" s="3" t="s">
        <v>796</v>
      </c>
      <c r="B51" t="s">
        <v>846</v>
      </c>
    </row>
    <row r="52" spans="1:2">
      <c r="A52" s="3" t="s">
        <v>796</v>
      </c>
      <c r="B52" t="s">
        <v>847</v>
      </c>
    </row>
    <row r="53" spans="1:2">
      <c r="A53" s="3" t="s">
        <v>796</v>
      </c>
      <c r="B53" t="s">
        <v>848</v>
      </c>
    </row>
    <row r="54" spans="1:2">
      <c r="A54" s="3" t="s">
        <v>796</v>
      </c>
      <c r="B54" t="s">
        <v>849</v>
      </c>
    </row>
    <row r="55" spans="1:2">
      <c r="A55" s="3" t="s">
        <v>796</v>
      </c>
      <c r="B55" t="s">
        <v>850</v>
      </c>
    </row>
    <row r="56" spans="1:2">
      <c r="A56" s="3" t="s">
        <v>796</v>
      </c>
      <c r="B56" t="s">
        <v>851</v>
      </c>
    </row>
    <row r="57" spans="1:2">
      <c r="A57" s="3" t="s">
        <v>796</v>
      </c>
      <c r="B57" t="s">
        <v>852</v>
      </c>
    </row>
    <row r="58" spans="1:2">
      <c r="A58" s="3" t="s">
        <v>796</v>
      </c>
      <c r="B58" t="s">
        <v>853</v>
      </c>
    </row>
    <row r="59" spans="1:2">
      <c r="A59" s="3" t="s">
        <v>796</v>
      </c>
      <c r="B59" t="s">
        <v>854</v>
      </c>
    </row>
    <row r="60" spans="1:2">
      <c r="A60" s="3" t="s">
        <v>796</v>
      </c>
      <c r="B60" t="s">
        <v>855</v>
      </c>
    </row>
    <row r="61" spans="1:2">
      <c r="A61" s="3" t="s">
        <v>796</v>
      </c>
      <c r="B61" t="s">
        <v>856</v>
      </c>
    </row>
    <row r="62" spans="1:2">
      <c r="A62" s="3" t="s">
        <v>796</v>
      </c>
      <c r="B62" t="s">
        <v>857</v>
      </c>
    </row>
    <row r="63" spans="1:2">
      <c r="A63" s="3" t="s">
        <v>796</v>
      </c>
      <c r="B63" t="s">
        <v>858</v>
      </c>
    </row>
    <row r="64" spans="1:2">
      <c r="A64" s="3" t="s">
        <v>796</v>
      </c>
      <c r="B64" t="s">
        <v>859</v>
      </c>
    </row>
    <row r="65" spans="1:2">
      <c r="A65" s="3" t="s">
        <v>796</v>
      </c>
      <c r="B65" t="s">
        <v>860</v>
      </c>
    </row>
    <row r="66" spans="1:2">
      <c r="A66" s="3" t="s">
        <v>796</v>
      </c>
      <c r="B66" t="s">
        <v>861</v>
      </c>
    </row>
    <row r="67" spans="1:2">
      <c r="A67" s="3" t="s">
        <v>796</v>
      </c>
      <c r="B67" t="s">
        <v>862</v>
      </c>
    </row>
    <row r="68" spans="1:2">
      <c r="A68" s="3" t="s">
        <v>796</v>
      </c>
      <c r="B68" t="s">
        <v>863</v>
      </c>
    </row>
    <row r="69" spans="1:2">
      <c r="A69" s="3" t="s">
        <v>796</v>
      </c>
      <c r="B69" t="s">
        <v>864</v>
      </c>
    </row>
    <row r="70" spans="1:2">
      <c r="A70" s="3" t="s">
        <v>796</v>
      </c>
      <c r="B70" t="s">
        <v>865</v>
      </c>
    </row>
    <row r="71" spans="1:2">
      <c r="A71" s="3" t="s">
        <v>796</v>
      </c>
      <c r="B71" t="s">
        <v>866</v>
      </c>
    </row>
    <row r="72" spans="1:2">
      <c r="A72" s="3" t="s">
        <v>796</v>
      </c>
      <c r="B72" t="s">
        <v>867</v>
      </c>
    </row>
    <row r="73" spans="1:2">
      <c r="A73" s="3" t="s">
        <v>796</v>
      </c>
      <c r="B73" t="s">
        <v>868</v>
      </c>
    </row>
    <row r="74" spans="1:2">
      <c r="A74" s="3" t="s">
        <v>796</v>
      </c>
      <c r="B74" t="s">
        <v>869</v>
      </c>
    </row>
    <row r="75" spans="1:2">
      <c r="A75" s="3" t="s">
        <v>796</v>
      </c>
      <c r="B75" t="s">
        <v>870</v>
      </c>
    </row>
    <row r="76" spans="1:2">
      <c r="A76" s="3" t="s">
        <v>796</v>
      </c>
      <c r="B76" t="s">
        <v>871</v>
      </c>
    </row>
    <row r="77" spans="1:2">
      <c r="A77" s="3" t="s">
        <v>796</v>
      </c>
      <c r="B77" t="s">
        <v>872</v>
      </c>
    </row>
    <row r="78" spans="1:2">
      <c r="A78" s="3" t="s">
        <v>796</v>
      </c>
      <c r="B78" t="s">
        <v>873</v>
      </c>
    </row>
    <row r="79" spans="1:2">
      <c r="A79" s="3" t="s">
        <v>796</v>
      </c>
      <c r="B79" t="s">
        <v>874</v>
      </c>
    </row>
    <row r="80" spans="1:2">
      <c r="A80" s="3" t="s">
        <v>796</v>
      </c>
      <c r="B80" t="s">
        <v>875</v>
      </c>
    </row>
    <row r="81" spans="1:2">
      <c r="A81" s="3" t="s">
        <v>796</v>
      </c>
      <c r="B81" t="s">
        <v>876</v>
      </c>
    </row>
    <row r="82" spans="1:2">
      <c r="A82" s="3" t="s">
        <v>796</v>
      </c>
      <c r="B82" t="s">
        <v>877</v>
      </c>
    </row>
    <row r="83" spans="1:2">
      <c r="A83" s="3" t="s">
        <v>796</v>
      </c>
      <c r="B83" t="s">
        <v>878</v>
      </c>
    </row>
    <row r="84" spans="1:2">
      <c r="A84" s="3" t="s">
        <v>796</v>
      </c>
      <c r="B84" t="s">
        <v>879</v>
      </c>
    </row>
    <row r="85" spans="1:2">
      <c r="A85" s="3" t="s">
        <v>796</v>
      </c>
      <c r="B85" t="s">
        <v>880</v>
      </c>
    </row>
    <row r="86" spans="1:2">
      <c r="A86" s="3" t="s">
        <v>796</v>
      </c>
      <c r="B86" t="s">
        <v>881</v>
      </c>
    </row>
    <row r="87" spans="1:2">
      <c r="A87" s="3" t="s">
        <v>796</v>
      </c>
      <c r="B87" t="s">
        <v>882</v>
      </c>
    </row>
    <row r="88" spans="1:2">
      <c r="A88" s="3" t="s">
        <v>796</v>
      </c>
      <c r="B88" t="s">
        <v>883</v>
      </c>
    </row>
    <row r="89" spans="1:2">
      <c r="A89" s="3" t="s">
        <v>796</v>
      </c>
      <c r="B89" t="s">
        <v>884</v>
      </c>
    </row>
    <row r="90" spans="1:2">
      <c r="A90" s="3" t="s">
        <v>796</v>
      </c>
      <c r="B90" t="s">
        <v>885</v>
      </c>
    </row>
    <row r="91" spans="1:2">
      <c r="A91" s="3" t="s">
        <v>796</v>
      </c>
      <c r="B91" t="s">
        <v>886</v>
      </c>
    </row>
    <row r="92" spans="1:2">
      <c r="A92" s="3" t="s">
        <v>796</v>
      </c>
      <c r="B92" t="s">
        <v>887</v>
      </c>
    </row>
    <row r="93" spans="1:2">
      <c r="A93" s="3" t="s">
        <v>796</v>
      </c>
      <c r="B93" t="s">
        <v>888</v>
      </c>
    </row>
    <row r="94" spans="1:2">
      <c r="A94" s="3" t="s">
        <v>796</v>
      </c>
      <c r="B94" t="s">
        <v>889</v>
      </c>
    </row>
    <row r="95" spans="1:2">
      <c r="A95" s="3" t="s">
        <v>796</v>
      </c>
      <c r="B95" t="s">
        <v>890</v>
      </c>
    </row>
    <row r="96" spans="1:2">
      <c r="A96" s="3" t="s">
        <v>796</v>
      </c>
      <c r="B96" t="s">
        <v>891</v>
      </c>
    </row>
    <row r="97" spans="1:2">
      <c r="A97" s="3" t="s">
        <v>796</v>
      </c>
      <c r="B97" t="s">
        <v>892</v>
      </c>
    </row>
    <row r="98" spans="1:2">
      <c r="A98" s="3" t="s">
        <v>796</v>
      </c>
      <c r="B98" t="s">
        <v>893</v>
      </c>
    </row>
    <row r="99" spans="1:2">
      <c r="A99" s="3" t="s">
        <v>796</v>
      </c>
      <c r="B99" t="s">
        <v>894</v>
      </c>
    </row>
    <row r="100" spans="1:2">
      <c r="A100" s="3" t="s">
        <v>796</v>
      </c>
      <c r="B100" t="s">
        <v>895</v>
      </c>
    </row>
    <row r="101" spans="1:2">
      <c r="A101" s="3" t="s">
        <v>796</v>
      </c>
      <c r="B101" t="s">
        <v>896</v>
      </c>
    </row>
    <row r="102" spans="1:2">
      <c r="A102" s="3" t="s">
        <v>796</v>
      </c>
      <c r="B102" t="s">
        <v>897</v>
      </c>
    </row>
    <row r="103" spans="1:2">
      <c r="A103" s="3" t="s">
        <v>796</v>
      </c>
      <c r="B103" t="s">
        <v>898</v>
      </c>
    </row>
    <row r="104" spans="1:2">
      <c r="A104" s="3" t="s">
        <v>796</v>
      </c>
      <c r="B104" t="s">
        <v>899</v>
      </c>
    </row>
    <row r="105" spans="1:2">
      <c r="A105" s="3" t="s">
        <v>796</v>
      </c>
      <c r="B105" t="s">
        <v>900</v>
      </c>
    </row>
    <row r="106" spans="1:2">
      <c r="A106" s="3" t="s">
        <v>796</v>
      </c>
      <c r="B106" t="s">
        <v>901</v>
      </c>
    </row>
    <row r="107" spans="1:2">
      <c r="A107" s="3" t="s">
        <v>796</v>
      </c>
      <c r="B107" t="s">
        <v>902</v>
      </c>
    </row>
    <row r="108" spans="1:2">
      <c r="A108" s="3" t="s">
        <v>796</v>
      </c>
      <c r="B108" t="s">
        <v>903</v>
      </c>
    </row>
    <row r="109" spans="1:2">
      <c r="A109" s="3" t="s">
        <v>796</v>
      </c>
      <c r="B109" t="s">
        <v>904</v>
      </c>
    </row>
    <row r="110" spans="1:2">
      <c r="A110" s="3" t="s">
        <v>796</v>
      </c>
      <c r="B110" t="s">
        <v>905</v>
      </c>
    </row>
    <row r="111" spans="1:2">
      <c r="A111" s="3" t="s">
        <v>796</v>
      </c>
      <c r="B111" t="s">
        <v>906</v>
      </c>
    </row>
    <row r="112" spans="1:2">
      <c r="A112" s="3" t="s">
        <v>796</v>
      </c>
      <c r="B112" t="s">
        <v>907</v>
      </c>
    </row>
    <row r="113" spans="1:2">
      <c r="A113" s="3" t="s">
        <v>796</v>
      </c>
      <c r="B113" t="s">
        <v>908</v>
      </c>
    </row>
    <row r="114" spans="1:2">
      <c r="A114" s="3" t="s">
        <v>796</v>
      </c>
      <c r="B114" t="s">
        <v>909</v>
      </c>
    </row>
    <row r="115" spans="1:2">
      <c r="A115" s="3" t="s">
        <v>796</v>
      </c>
      <c r="B115" t="s">
        <v>910</v>
      </c>
    </row>
    <row r="116" spans="1:2">
      <c r="A116" s="3" t="s">
        <v>796</v>
      </c>
      <c r="B116" t="s">
        <v>911</v>
      </c>
    </row>
    <row r="117" spans="1:2">
      <c r="A117" s="3" t="s">
        <v>796</v>
      </c>
      <c r="B117" t="s">
        <v>912</v>
      </c>
    </row>
    <row r="118" spans="1:2">
      <c r="A118" s="3" t="s">
        <v>796</v>
      </c>
      <c r="B118" t="s">
        <v>913</v>
      </c>
    </row>
    <row r="119" spans="1:2">
      <c r="A119" s="3" t="s">
        <v>796</v>
      </c>
      <c r="B119" t="s">
        <v>914</v>
      </c>
    </row>
    <row r="120" spans="1:2">
      <c r="A120" s="3" t="s">
        <v>796</v>
      </c>
      <c r="B120" t="s">
        <v>915</v>
      </c>
    </row>
    <row r="121" spans="1:2">
      <c r="A121" s="3" t="s">
        <v>796</v>
      </c>
      <c r="B121" t="s">
        <v>916</v>
      </c>
    </row>
    <row r="122" spans="1:2">
      <c r="A122" s="3" t="s">
        <v>796</v>
      </c>
      <c r="B122" t="s">
        <v>917</v>
      </c>
    </row>
    <row r="123" spans="1:2">
      <c r="A123" s="3" t="s">
        <v>796</v>
      </c>
      <c r="B123" t="s">
        <v>918</v>
      </c>
    </row>
    <row r="124" spans="1:2">
      <c r="A124" s="3" t="s">
        <v>796</v>
      </c>
      <c r="B124" t="s">
        <v>919</v>
      </c>
    </row>
    <row r="125" spans="1:2">
      <c r="A125" s="3" t="s">
        <v>796</v>
      </c>
      <c r="B125" t="s">
        <v>920</v>
      </c>
    </row>
    <row r="126" spans="1:2">
      <c r="A126" s="3" t="s">
        <v>796</v>
      </c>
      <c r="B126" t="s">
        <v>921</v>
      </c>
    </row>
    <row r="127" spans="1:2">
      <c r="A127" s="3" t="s">
        <v>796</v>
      </c>
      <c r="B127" t="s">
        <v>922</v>
      </c>
    </row>
    <row r="128" spans="1:2">
      <c r="A128" s="3" t="s">
        <v>796</v>
      </c>
      <c r="B128" t="s">
        <v>923</v>
      </c>
    </row>
    <row r="129" spans="1:2">
      <c r="A129" s="3" t="s">
        <v>796</v>
      </c>
      <c r="B129" t="s">
        <v>924</v>
      </c>
    </row>
    <row r="130" spans="1:2">
      <c r="A130" s="3" t="s">
        <v>796</v>
      </c>
      <c r="B130" t="s">
        <v>925</v>
      </c>
    </row>
    <row r="131" spans="1:2">
      <c r="A131" s="3" t="s">
        <v>796</v>
      </c>
      <c r="B131" t="s">
        <v>926</v>
      </c>
    </row>
    <row r="132" spans="1:2">
      <c r="A132" s="3" t="s">
        <v>796</v>
      </c>
      <c r="B132" t="s">
        <v>927</v>
      </c>
    </row>
    <row r="133" spans="1:2">
      <c r="A133" s="3" t="s">
        <v>796</v>
      </c>
      <c r="B133" t="s">
        <v>928</v>
      </c>
    </row>
    <row r="134" spans="1:2">
      <c r="A134" s="3" t="s">
        <v>796</v>
      </c>
      <c r="B134" t="s">
        <v>929</v>
      </c>
    </row>
    <row r="135" spans="1:2">
      <c r="A135" s="3" t="s">
        <v>796</v>
      </c>
      <c r="B135" t="s">
        <v>930</v>
      </c>
    </row>
    <row r="136" spans="1:2">
      <c r="A136" s="3" t="s">
        <v>796</v>
      </c>
      <c r="B136" t="s">
        <v>931</v>
      </c>
    </row>
    <row r="137" spans="1:2">
      <c r="A137" s="3" t="s">
        <v>796</v>
      </c>
      <c r="B137" t="s">
        <v>932</v>
      </c>
    </row>
    <row r="138" spans="1:2">
      <c r="A138" s="3" t="s">
        <v>796</v>
      </c>
      <c r="B138" t="s">
        <v>933</v>
      </c>
    </row>
    <row r="139" spans="1:2">
      <c r="A139" s="3" t="s">
        <v>796</v>
      </c>
      <c r="B139" t="s">
        <v>934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EDFDC-219E-46FA-ABC5-DB6AA8CF89FE}">
  <sheetPr codeName="Hoja33">
    <tabColor rgb="FFFFFFCC"/>
  </sheetPr>
  <dimension ref="A1:T7"/>
  <sheetViews>
    <sheetView workbookViewId="0">
      <selection activeCell="R34" sqref="R34"/>
    </sheetView>
  </sheetViews>
  <sheetFormatPr baseColWidth="10" defaultColWidth="11.5546875" defaultRowHeight="14.4"/>
  <cols>
    <col min="1" max="1" width="74.44140625" customWidth="1"/>
    <col min="2" max="2" width="12.5546875" bestFit="1" customWidth="1"/>
  </cols>
  <sheetData>
    <row r="1" spans="1:20" ht="28.8">
      <c r="A1" s="53" t="s">
        <v>78</v>
      </c>
      <c r="B1" s="53" t="s">
        <v>20</v>
      </c>
    </row>
    <row r="2" spans="1:20">
      <c r="A2" s="3" t="str">
        <f>'I. WEAP Query setup'!C12</f>
        <v>Supply and Resources\River\Blue River\Reaches\Below Blue River Runoff</v>
      </c>
      <c r="B2" s="3">
        <f>VLOOKUP(A2,WEAP_RiverReaches_Topology!A:C,3,FALSE)</f>
        <v>68</v>
      </c>
      <c r="C2" s="3"/>
      <c r="D2" s="3"/>
      <c r="E2" s="45"/>
      <c r="F2" s="45"/>
      <c r="G2" s="45"/>
      <c r="H2" s="45"/>
      <c r="I2" s="45"/>
      <c r="J2" s="45"/>
      <c r="K2" s="45"/>
      <c r="L2" s="63"/>
      <c r="M2" s="4"/>
      <c r="N2" s="4"/>
      <c r="O2" s="3"/>
      <c r="P2" s="3"/>
      <c r="Q2" s="3"/>
      <c r="R2" s="3"/>
      <c r="S2" s="4"/>
      <c r="T2" s="4"/>
    </row>
    <row r="3" spans="1:20">
      <c r="A3" s="3"/>
      <c r="B3" s="3"/>
    </row>
    <row r="4" spans="1:20">
      <c r="A4" s="3"/>
      <c r="B4" s="3"/>
    </row>
    <row r="5" spans="1:20">
      <c r="A5" s="3"/>
      <c r="B5" s="3"/>
    </row>
    <row r="6" spans="1:20">
      <c r="A6" s="3"/>
      <c r="B6" s="3"/>
    </row>
    <row r="7" spans="1:20">
      <c r="A7" s="3"/>
      <c r="B7" s="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AE152-3EF3-4C8D-9AA2-DF56F296899A}">
  <sheetPr codeName="Hoja1"/>
  <dimension ref="A1:I1030"/>
  <sheetViews>
    <sheetView workbookViewId="0">
      <selection activeCell="A2" sqref="A2:E16"/>
    </sheetView>
  </sheetViews>
  <sheetFormatPr baseColWidth="10" defaultColWidth="11" defaultRowHeight="14.4"/>
  <cols>
    <col min="1" max="1" width="15" style="3" bestFit="1" customWidth="1"/>
    <col min="2" max="2" width="15" bestFit="1" customWidth="1"/>
    <col min="3" max="3" width="12" customWidth="1"/>
    <col min="4" max="4" width="20.5546875" customWidth="1"/>
    <col min="5" max="5" width="15.109375" bestFit="1" customWidth="1"/>
    <col min="8" max="8" width="19" bestFit="1" customWidth="1"/>
  </cols>
  <sheetData>
    <row r="1" spans="1:9" ht="24" customHeight="1">
      <c r="A1" s="7" t="s">
        <v>13</v>
      </c>
      <c r="B1" s="15" t="s">
        <v>0</v>
      </c>
      <c r="C1" s="15" t="s">
        <v>1</v>
      </c>
      <c r="D1" s="17" t="s">
        <v>14</v>
      </c>
      <c r="E1" s="15" t="s">
        <v>18</v>
      </c>
      <c r="F1" s="1"/>
      <c r="H1" s="12" t="s">
        <v>20</v>
      </c>
      <c r="I1" s="11">
        <f>WEAP_BasinMouth!B2</f>
        <v>68</v>
      </c>
    </row>
    <row r="2" spans="1:9">
      <c r="A2" s="3">
        <f>'III. WaTT Main'!A4</f>
        <v>116</v>
      </c>
      <c r="B2" s="3">
        <f>'III. WaTT Main'!A4</f>
        <v>116</v>
      </c>
      <c r="C2" s="3">
        <f>'III. WaTT Main'!B4</f>
        <v>108</v>
      </c>
      <c r="D2" s="16">
        <v>1</v>
      </c>
      <c r="E2">
        <f>'III. WaTT Main'!G3</f>
        <v>0</v>
      </c>
    </row>
    <row r="3" spans="1:9">
      <c r="A3" s="3">
        <f>'III. WaTT Main'!A5</f>
        <v>108</v>
      </c>
      <c r="B3" s="3">
        <f>'III. WaTT Main'!A5</f>
        <v>108</v>
      </c>
      <c r="C3" s="3">
        <f>'III. WaTT Main'!B5</f>
        <v>122</v>
      </c>
      <c r="D3" s="16">
        <v>1</v>
      </c>
      <c r="E3">
        <f>'III. WaTT Main'!G4</f>
        <v>0</v>
      </c>
    </row>
    <row r="4" spans="1:9">
      <c r="A4" s="3">
        <f>'III. WaTT Main'!A6</f>
        <v>122</v>
      </c>
      <c r="B4" s="3">
        <f>'III. WaTT Main'!A6</f>
        <v>122</v>
      </c>
      <c r="C4" s="3">
        <f>'III. WaTT Main'!B6</f>
        <v>87</v>
      </c>
      <c r="D4" s="16">
        <v>1</v>
      </c>
      <c r="E4">
        <f>'III. WaTT Main'!G5</f>
        <v>0</v>
      </c>
    </row>
    <row r="5" spans="1:9">
      <c r="A5" s="3">
        <f>'III. WaTT Main'!A7</f>
        <v>87</v>
      </c>
      <c r="B5" s="3">
        <f>'III. WaTT Main'!A7</f>
        <v>87</v>
      </c>
      <c r="C5" s="3">
        <f>'III. WaTT Main'!B7</f>
        <v>125</v>
      </c>
      <c r="D5" s="16">
        <v>1</v>
      </c>
      <c r="E5">
        <f>'III. WaTT Main'!G6</f>
        <v>0</v>
      </c>
    </row>
    <row r="6" spans="1:9">
      <c r="A6" s="3">
        <f>'III. WaTT Main'!A8</f>
        <v>125</v>
      </c>
      <c r="B6" s="3">
        <f>'III. WaTT Main'!A8</f>
        <v>125</v>
      </c>
      <c r="C6" s="3">
        <f>'III. WaTT Main'!B8</f>
        <v>68</v>
      </c>
      <c r="D6" s="16">
        <v>1</v>
      </c>
      <c r="E6">
        <f>'III. WaTT Main'!G7</f>
        <v>0</v>
      </c>
    </row>
    <row r="7" spans="1:9">
      <c r="A7" s="3">
        <f>'III. WaTT Main'!A9</f>
        <v>68</v>
      </c>
      <c r="B7" s="3">
        <f>'III. WaTT Main'!A9</f>
        <v>68</v>
      </c>
      <c r="C7" s="3">
        <f>'III. WaTT Main'!B9</f>
        <v>0</v>
      </c>
      <c r="D7" s="16">
        <v>1</v>
      </c>
      <c r="E7">
        <f>'III. WaTT Main'!G8</f>
        <v>0</v>
      </c>
    </row>
    <row r="8" spans="1:9">
      <c r="A8" s="3">
        <f>'III. WaTT Main'!A10</f>
        <v>85</v>
      </c>
      <c r="B8" s="3">
        <f>'III. WaTT Main'!A10</f>
        <v>85</v>
      </c>
      <c r="C8" s="3">
        <f>'III. WaTT Main'!B10</f>
        <v>89</v>
      </c>
      <c r="D8" s="16">
        <v>1</v>
      </c>
      <c r="E8">
        <f>'III. WaTT Main'!G9</f>
        <v>0</v>
      </c>
    </row>
    <row r="9" spans="1:9">
      <c r="A9" s="3">
        <f>'III. WaTT Main'!A11</f>
        <v>89</v>
      </c>
      <c r="B9" s="3">
        <f>'III. WaTT Main'!A11</f>
        <v>89</v>
      </c>
      <c r="C9" s="3">
        <f>'III. WaTT Main'!B11</f>
        <v>87</v>
      </c>
      <c r="D9" s="16">
        <v>1</v>
      </c>
      <c r="E9">
        <f>'III. WaTT Main'!G10</f>
        <v>0</v>
      </c>
    </row>
    <row r="10" spans="1:9">
      <c r="A10" s="3">
        <f>'III. WaTT Main'!A12</f>
        <v>106</v>
      </c>
      <c r="B10" s="3">
        <f>'III. WaTT Main'!A12</f>
        <v>106</v>
      </c>
      <c r="C10" s="3">
        <f>'III. WaTT Main'!B12</f>
        <v>110</v>
      </c>
      <c r="D10" s="16">
        <v>1</v>
      </c>
      <c r="E10">
        <f>'III. WaTT Main'!G11</f>
        <v>0</v>
      </c>
    </row>
    <row r="11" spans="1:9">
      <c r="A11" s="3">
        <f>'III. WaTT Main'!A13</f>
        <v>110</v>
      </c>
      <c r="B11" s="3">
        <f>'III. WaTT Main'!A13</f>
        <v>110</v>
      </c>
      <c r="C11" s="3">
        <f>'III. WaTT Main'!B13</f>
        <v>108</v>
      </c>
      <c r="D11" s="16">
        <v>1</v>
      </c>
      <c r="E11">
        <f>'III. WaTT Main'!G12</f>
        <v>0</v>
      </c>
    </row>
    <row r="12" spans="1:9">
      <c r="A12" s="3">
        <f>'III. WaTT Main'!A14</f>
        <v>0</v>
      </c>
      <c r="B12" s="3">
        <f>'III. WaTT Main'!A14</f>
        <v>0</v>
      </c>
      <c r="C12" s="3">
        <f>'III. WaTT Main'!B14</f>
        <v>0</v>
      </c>
      <c r="D12" s="16">
        <v>1</v>
      </c>
      <c r="E12">
        <f>'III. WaTT Main'!G13</f>
        <v>0</v>
      </c>
    </row>
    <row r="13" spans="1:9">
      <c r="A13" s="3">
        <f>'III. WaTT Main'!A15</f>
        <v>0</v>
      </c>
      <c r="B13" s="3">
        <f>'III. WaTT Main'!A15</f>
        <v>0</v>
      </c>
      <c r="C13" s="3">
        <f>'III. WaTT Main'!B15</f>
        <v>0</v>
      </c>
      <c r="D13" s="16">
        <v>1</v>
      </c>
      <c r="E13">
        <f>'III. WaTT Main'!G14</f>
        <v>0</v>
      </c>
    </row>
    <row r="14" spans="1:9">
      <c r="A14" s="3">
        <f>'III. WaTT Main'!A16</f>
        <v>0</v>
      </c>
      <c r="B14" s="3">
        <f>'III. WaTT Main'!A16</f>
        <v>0</v>
      </c>
      <c r="C14" s="3">
        <f>'III. WaTT Main'!B16</f>
        <v>0</v>
      </c>
      <c r="D14" s="16">
        <v>1</v>
      </c>
      <c r="E14">
        <f>'III. WaTT Main'!G15</f>
        <v>0</v>
      </c>
    </row>
    <row r="15" spans="1:9">
      <c r="A15" s="3">
        <f>'III. WaTT Main'!A17</f>
        <v>0</v>
      </c>
      <c r="B15" s="3">
        <f>'III. WaTT Main'!A17</f>
        <v>0</v>
      </c>
      <c r="C15" s="3">
        <f>'III. WaTT Main'!B17</f>
        <v>0</v>
      </c>
      <c r="D15" s="16">
        <v>1</v>
      </c>
      <c r="E15">
        <f>'III. WaTT Main'!G16</f>
        <v>0</v>
      </c>
    </row>
    <row r="16" spans="1:9">
      <c r="A16" s="3">
        <f>'III. WaTT Main'!A18</f>
        <v>0</v>
      </c>
      <c r="B16" s="3">
        <f>'III. WaTT Main'!A18</f>
        <v>0</v>
      </c>
      <c r="C16" s="3">
        <f>'III. WaTT Main'!B18</f>
        <v>0</v>
      </c>
      <c r="D16" s="16">
        <v>1</v>
      </c>
      <c r="E16">
        <f>'III. WaTT Main'!G17</f>
        <v>0</v>
      </c>
    </row>
    <row r="17" spans="1:5">
      <c r="A17" s="3">
        <f>'III. WaTT Main'!A19</f>
        <v>0</v>
      </c>
      <c r="B17" s="3">
        <f>'III. WaTT Main'!A19</f>
        <v>0</v>
      </c>
      <c r="C17" s="3">
        <f>'III. WaTT Main'!B19</f>
        <v>0</v>
      </c>
      <c r="D17" s="16">
        <v>1</v>
      </c>
      <c r="E17">
        <f>'III. WaTT Main'!G18</f>
        <v>0</v>
      </c>
    </row>
    <row r="18" spans="1:5">
      <c r="A18" s="3">
        <f>'III. WaTT Main'!A20</f>
        <v>0</v>
      </c>
      <c r="B18" s="3">
        <f>'III. WaTT Main'!A20</f>
        <v>0</v>
      </c>
      <c r="C18" s="3">
        <f>'III. WaTT Main'!B20</f>
        <v>0</v>
      </c>
      <c r="D18" s="16">
        <v>1</v>
      </c>
      <c r="E18">
        <f>'III. WaTT Main'!G19</f>
        <v>0</v>
      </c>
    </row>
    <row r="19" spans="1:5">
      <c r="A19" s="3">
        <f>'III. WaTT Main'!A21</f>
        <v>0</v>
      </c>
      <c r="B19" s="3">
        <f>'III. WaTT Main'!A21</f>
        <v>0</v>
      </c>
      <c r="C19" s="3">
        <f>'III. WaTT Main'!B21</f>
        <v>0</v>
      </c>
      <c r="D19" s="16">
        <v>1</v>
      </c>
      <c r="E19">
        <f>'III. WaTT Main'!G20</f>
        <v>0</v>
      </c>
    </row>
    <row r="20" spans="1:5">
      <c r="A20" s="3">
        <f>'III. WaTT Main'!A22</f>
        <v>0</v>
      </c>
      <c r="B20" s="3">
        <f>'III. WaTT Main'!A22</f>
        <v>0</v>
      </c>
      <c r="C20" s="3">
        <f>'III. WaTT Main'!B22</f>
        <v>0</v>
      </c>
      <c r="D20" s="16">
        <v>1</v>
      </c>
      <c r="E20">
        <f>'III. WaTT Main'!G21</f>
        <v>0</v>
      </c>
    </row>
    <row r="21" spans="1:5">
      <c r="A21" s="3">
        <f>'III. WaTT Main'!A23</f>
        <v>0</v>
      </c>
      <c r="B21" s="3">
        <f>'III. WaTT Main'!A23</f>
        <v>0</v>
      </c>
      <c r="C21" s="3">
        <f>'III. WaTT Main'!B23</f>
        <v>0</v>
      </c>
      <c r="D21" s="16">
        <v>1</v>
      </c>
      <c r="E21">
        <f>'III. WaTT Main'!G22</f>
        <v>0</v>
      </c>
    </row>
    <row r="22" spans="1:5">
      <c r="A22" s="3">
        <f>'III. WaTT Main'!A24</f>
        <v>0</v>
      </c>
      <c r="B22" s="3">
        <f>'III. WaTT Main'!A24</f>
        <v>0</v>
      </c>
      <c r="C22" s="3">
        <f>'III. WaTT Main'!B24</f>
        <v>0</v>
      </c>
      <c r="D22" s="16">
        <v>1</v>
      </c>
      <c r="E22">
        <f>'III. WaTT Main'!G23</f>
        <v>0</v>
      </c>
    </row>
    <row r="23" spans="1:5">
      <c r="A23" s="3">
        <f>'III. WaTT Main'!A25</f>
        <v>0</v>
      </c>
      <c r="B23" s="3">
        <f>'III. WaTT Main'!A25</f>
        <v>0</v>
      </c>
      <c r="C23" s="3">
        <f>'III. WaTT Main'!B25</f>
        <v>0</v>
      </c>
      <c r="D23" s="16">
        <v>1</v>
      </c>
      <c r="E23">
        <f>'III. WaTT Main'!G24</f>
        <v>0</v>
      </c>
    </row>
    <row r="24" spans="1:5">
      <c r="A24" s="3">
        <f>'III. WaTT Main'!A26</f>
        <v>0</v>
      </c>
      <c r="B24" s="3">
        <f>'III. WaTT Main'!A26</f>
        <v>0</v>
      </c>
      <c r="C24" s="3">
        <f>'III. WaTT Main'!B26</f>
        <v>0</v>
      </c>
      <c r="D24" s="16">
        <v>1</v>
      </c>
      <c r="E24">
        <f>'III. WaTT Main'!G25</f>
        <v>0</v>
      </c>
    </row>
    <row r="25" spans="1:5">
      <c r="A25" s="3">
        <f>'III. WaTT Main'!A27</f>
        <v>0</v>
      </c>
      <c r="B25" s="3">
        <f>'III. WaTT Main'!A27</f>
        <v>0</v>
      </c>
      <c r="C25" s="3">
        <f>'III. WaTT Main'!B27</f>
        <v>0</v>
      </c>
      <c r="D25" s="16">
        <v>1</v>
      </c>
      <c r="E25">
        <f>'III. WaTT Main'!G26</f>
        <v>0</v>
      </c>
    </row>
    <row r="26" spans="1:5">
      <c r="A26" s="3">
        <f>'III. WaTT Main'!A28</f>
        <v>0</v>
      </c>
      <c r="B26" s="3">
        <f>'III. WaTT Main'!A28</f>
        <v>0</v>
      </c>
      <c r="C26" s="3">
        <f>'III. WaTT Main'!B28</f>
        <v>0</v>
      </c>
      <c r="D26" s="16">
        <v>1</v>
      </c>
      <c r="E26">
        <f>'III. WaTT Main'!G27</f>
        <v>0</v>
      </c>
    </row>
    <row r="27" spans="1:5">
      <c r="A27" s="3">
        <f>'III. WaTT Main'!A29</f>
        <v>0</v>
      </c>
      <c r="B27" s="3">
        <f>'III. WaTT Main'!A29</f>
        <v>0</v>
      </c>
      <c r="C27" s="3">
        <f>'III. WaTT Main'!B29</f>
        <v>0</v>
      </c>
      <c r="D27" s="16">
        <v>1</v>
      </c>
      <c r="E27">
        <f>'III. WaTT Main'!G28</f>
        <v>0</v>
      </c>
    </row>
    <row r="28" spans="1:5">
      <c r="A28" s="3">
        <f>'III. WaTT Main'!A30</f>
        <v>0</v>
      </c>
      <c r="B28" s="3">
        <f>'III. WaTT Main'!A30</f>
        <v>0</v>
      </c>
      <c r="C28" s="3">
        <f>'III. WaTT Main'!B30</f>
        <v>0</v>
      </c>
      <c r="D28" s="16">
        <v>1</v>
      </c>
      <c r="E28">
        <f>'III. WaTT Main'!G29</f>
        <v>0</v>
      </c>
    </row>
    <row r="29" spans="1:5">
      <c r="A29" s="3">
        <f>'III. WaTT Main'!A31</f>
        <v>0</v>
      </c>
      <c r="B29" s="3">
        <f>'III. WaTT Main'!A31</f>
        <v>0</v>
      </c>
      <c r="C29" s="3">
        <f>'III. WaTT Main'!B31</f>
        <v>0</v>
      </c>
      <c r="D29" s="16">
        <v>1</v>
      </c>
      <c r="E29">
        <f>'III. WaTT Main'!G30</f>
        <v>0</v>
      </c>
    </row>
    <row r="30" spans="1:5">
      <c r="A30" s="3">
        <f>'III. WaTT Main'!A32</f>
        <v>0</v>
      </c>
      <c r="B30" s="3">
        <f>'III. WaTT Main'!A32</f>
        <v>0</v>
      </c>
      <c r="C30" s="3">
        <f>'III. WaTT Main'!B32</f>
        <v>0</v>
      </c>
      <c r="D30" s="16">
        <v>1</v>
      </c>
      <c r="E30">
        <f>'III. WaTT Main'!G31</f>
        <v>0</v>
      </c>
    </row>
    <row r="31" spans="1:5">
      <c r="A31" s="3">
        <f>'III. WaTT Main'!A33</f>
        <v>0</v>
      </c>
      <c r="B31" s="3">
        <f>'III. WaTT Main'!A33</f>
        <v>0</v>
      </c>
      <c r="C31" s="3">
        <f>'III. WaTT Main'!B33</f>
        <v>0</v>
      </c>
      <c r="D31" s="16">
        <v>1</v>
      </c>
      <c r="E31">
        <f>'III. WaTT Main'!G32</f>
        <v>0</v>
      </c>
    </row>
    <row r="32" spans="1:5">
      <c r="A32" s="3">
        <f>'III. WaTT Main'!A34</f>
        <v>0</v>
      </c>
      <c r="B32" s="3">
        <f>'III. WaTT Main'!A34</f>
        <v>0</v>
      </c>
      <c r="C32" s="3">
        <f>'III. WaTT Main'!B34</f>
        <v>0</v>
      </c>
      <c r="D32" s="16">
        <v>1</v>
      </c>
      <c r="E32">
        <f>'III. WaTT Main'!G33</f>
        <v>0</v>
      </c>
    </row>
    <row r="33" spans="1:5">
      <c r="A33" s="3">
        <f>'III. WaTT Main'!A35</f>
        <v>0</v>
      </c>
      <c r="B33" s="3">
        <f>'III. WaTT Main'!A35</f>
        <v>0</v>
      </c>
      <c r="C33" s="3">
        <f>'III. WaTT Main'!B35</f>
        <v>0</v>
      </c>
      <c r="D33" s="16">
        <v>1</v>
      </c>
      <c r="E33">
        <f>'III. WaTT Main'!G34</f>
        <v>0</v>
      </c>
    </row>
    <row r="34" spans="1:5">
      <c r="A34" s="3">
        <f>'III. WaTT Main'!A36</f>
        <v>0</v>
      </c>
      <c r="B34" s="3">
        <f>'III. WaTT Main'!A36</f>
        <v>0</v>
      </c>
      <c r="C34" s="3">
        <f>'III. WaTT Main'!B36</f>
        <v>0</v>
      </c>
      <c r="D34" s="16">
        <v>1</v>
      </c>
      <c r="E34">
        <f>'III. WaTT Main'!G35</f>
        <v>0</v>
      </c>
    </row>
    <row r="35" spans="1:5">
      <c r="A35" s="3">
        <f>'III. WaTT Main'!A37</f>
        <v>0</v>
      </c>
      <c r="B35" s="3">
        <f>'III. WaTT Main'!A37</f>
        <v>0</v>
      </c>
      <c r="C35" s="3">
        <f>'III. WaTT Main'!B37</f>
        <v>0</v>
      </c>
      <c r="D35" s="16">
        <v>1</v>
      </c>
      <c r="E35">
        <f>'III. WaTT Main'!G36</f>
        <v>0</v>
      </c>
    </row>
    <row r="36" spans="1:5">
      <c r="A36" s="3">
        <f>'III. WaTT Main'!A38</f>
        <v>0</v>
      </c>
      <c r="B36" s="3">
        <f>'III. WaTT Main'!A38</f>
        <v>0</v>
      </c>
      <c r="C36" s="3">
        <f>'III. WaTT Main'!B38</f>
        <v>0</v>
      </c>
      <c r="D36" s="16">
        <v>1</v>
      </c>
      <c r="E36">
        <f>'III. WaTT Main'!G37</f>
        <v>0</v>
      </c>
    </row>
    <row r="37" spans="1:5">
      <c r="A37" s="3">
        <f>'III. WaTT Main'!A39</f>
        <v>0</v>
      </c>
      <c r="B37" s="3">
        <f>'III. WaTT Main'!A39</f>
        <v>0</v>
      </c>
      <c r="C37" s="3">
        <f>'III. WaTT Main'!B39</f>
        <v>0</v>
      </c>
      <c r="D37" s="16">
        <v>1</v>
      </c>
      <c r="E37">
        <f>'III. WaTT Main'!G38</f>
        <v>0</v>
      </c>
    </row>
    <row r="38" spans="1:5">
      <c r="A38" s="3">
        <f>'III. WaTT Main'!A40</f>
        <v>0</v>
      </c>
      <c r="B38" s="3">
        <f>'III. WaTT Main'!A40</f>
        <v>0</v>
      </c>
      <c r="C38" s="3">
        <f>'III. WaTT Main'!B40</f>
        <v>0</v>
      </c>
      <c r="D38" s="16">
        <v>1</v>
      </c>
      <c r="E38">
        <f>'III. WaTT Main'!G39</f>
        <v>0</v>
      </c>
    </row>
    <row r="39" spans="1:5">
      <c r="A39" s="3">
        <f>'III. WaTT Main'!A41</f>
        <v>0</v>
      </c>
      <c r="B39" s="3">
        <f>'III. WaTT Main'!A41</f>
        <v>0</v>
      </c>
      <c r="C39" s="3">
        <f>'III. WaTT Main'!B41</f>
        <v>0</v>
      </c>
      <c r="D39" s="16">
        <v>1</v>
      </c>
      <c r="E39">
        <f>'III. WaTT Main'!G40</f>
        <v>0</v>
      </c>
    </row>
    <row r="40" spans="1:5">
      <c r="A40" s="3">
        <f>'III. WaTT Main'!A42</f>
        <v>0</v>
      </c>
      <c r="B40" s="3">
        <f>'III. WaTT Main'!A42</f>
        <v>0</v>
      </c>
      <c r="C40" s="3">
        <f>'III. WaTT Main'!B42</f>
        <v>0</v>
      </c>
      <c r="D40" s="16">
        <v>1</v>
      </c>
      <c r="E40">
        <f>'III. WaTT Main'!G41</f>
        <v>0</v>
      </c>
    </row>
    <row r="41" spans="1:5">
      <c r="A41" s="3">
        <f>'III. WaTT Main'!A43</f>
        <v>0</v>
      </c>
      <c r="B41" s="3">
        <f>'III. WaTT Main'!A43</f>
        <v>0</v>
      </c>
      <c r="C41" s="3">
        <f>'III. WaTT Main'!B43</f>
        <v>0</v>
      </c>
      <c r="D41" s="16">
        <v>1</v>
      </c>
      <c r="E41">
        <f>'III. WaTT Main'!G42</f>
        <v>0</v>
      </c>
    </row>
    <row r="42" spans="1:5">
      <c r="A42" s="3">
        <f>'III. WaTT Main'!A44</f>
        <v>0</v>
      </c>
      <c r="B42" s="3">
        <f>'III. WaTT Main'!A44</f>
        <v>0</v>
      </c>
      <c r="C42" s="3">
        <f>'III. WaTT Main'!B44</f>
        <v>0</v>
      </c>
      <c r="D42" s="16">
        <v>1</v>
      </c>
      <c r="E42">
        <f>'III. WaTT Main'!G43</f>
        <v>0</v>
      </c>
    </row>
    <row r="43" spans="1:5">
      <c r="A43" s="3">
        <f>'III. WaTT Main'!A45</f>
        <v>0</v>
      </c>
      <c r="B43" s="3">
        <f>'III. WaTT Main'!A45</f>
        <v>0</v>
      </c>
      <c r="C43" s="3">
        <f>'III. WaTT Main'!B45</f>
        <v>0</v>
      </c>
      <c r="D43" s="16">
        <v>1</v>
      </c>
      <c r="E43">
        <f>'III. WaTT Main'!G44</f>
        <v>0</v>
      </c>
    </row>
    <row r="44" spans="1:5">
      <c r="A44" s="3">
        <f>'III. WaTT Main'!A46</f>
        <v>0</v>
      </c>
      <c r="B44" s="3">
        <f>'III. WaTT Main'!A46</f>
        <v>0</v>
      </c>
      <c r="C44" s="3">
        <f>'III. WaTT Main'!B46</f>
        <v>0</v>
      </c>
      <c r="D44" s="16">
        <v>1</v>
      </c>
      <c r="E44">
        <f>'III. WaTT Main'!G45</f>
        <v>0</v>
      </c>
    </row>
    <row r="45" spans="1:5">
      <c r="A45" s="3">
        <f>'III. WaTT Main'!A47</f>
        <v>0</v>
      </c>
      <c r="B45" s="3">
        <f>'III. WaTT Main'!A47</f>
        <v>0</v>
      </c>
      <c r="C45" s="3">
        <f>'III. WaTT Main'!B47</f>
        <v>0</v>
      </c>
      <c r="D45" s="16">
        <v>1</v>
      </c>
      <c r="E45">
        <f>'III. WaTT Main'!G46</f>
        <v>0</v>
      </c>
    </row>
    <row r="46" spans="1:5">
      <c r="A46" s="3">
        <f>'III. WaTT Main'!A48</f>
        <v>0</v>
      </c>
      <c r="B46" s="3">
        <f>'III. WaTT Main'!A48</f>
        <v>0</v>
      </c>
      <c r="C46" s="3">
        <f>'III. WaTT Main'!B48</f>
        <v>0</v>
      </c>
      <c r="D46" s="16">
        <v>1</v>
      </c>
      <c r="E46">
        <f>'III. WaTT Main'!G47</f>
        <v>0</v>
      </c>
    </row>
    <row r="47" spans="1:5">
      <c r="A47" s="3">
        <f>'III. WaTT Main'!A49</f>
        <v>0</v>
      </c>
      <c r="B47" s="3">
        <f>'III. WaTT Main'!A49</f>
        <v>0</v>
      </c>
      <c r="C47" s="3">
        <f>'III. WaTT Main'!B49</f>
        <v>0</v>
      </c>
      <c r="D47" s="16">
        <v>1</v>
      </c>
      <c r="E47">
        <f>'III. WaTT Main'!G48</f>
        <v>0</v>
      </c>
    </row>
    <row r="48" spans="1:5">
      <c r="A48" s="3">
        <f>'III. WaTT Main'!A50</f>
        <v>0</v>
      </c>
      <c r="B48" s="3">
        <f>'III. WaTT Main'!A50</f>
        <v>0</v>
      </c>
      <c r="C48" s="3">
        <f>'III. WaTT Main'!B50</f>
        <v>0</v>
      </c>
      <c r="D48" s="16">
        <v>1</v>
      </c>
      <c r="E48">
        <f>'III. WaTT Main'!G49</f>
        <v>0</v>
      </c>
    </row>
    <row r="49" spans="1:5">
      <c r="A49" s="3">
        <f>'III. WaTT Main'!A51</f>
        <v>0</v>
      </c>
      <c r="B49" s="3">
        <f>'III. WaTT Main'!A51</f>
        <v>0</v>
      </c>
      <c r="C49" s="3">
        <f>'III. WaTT Main'!B51</f>
        <v>0</v>
      </c>
      <c r="D49" s="16">
        <v>1</v>
      </c>
      <c r="E49">
        <f>'III. WaTT Main'!G50</f>
        <v>0</v>
      </c>
    </row>
    <row r="50" spans="1:5">
      <c r="A50" s="3">
        <f>'III. WaTT Main'!A52</f>
        <v>0</v>
      </c>
      <c r="B50" s="3">
        <f>'III. WaTT Main'!A52</f>
        <v>0</v>
      </c>
      <c r="C50" s="3">
        <f>'III. WaTT Main'!B52</f>
        <v>0</v>
      </c>
      <c r="D50" s="16">
        <v>1</v>
      </c>
      <c r="E50">
        <f>'III. WaTT Main'!G51</f>
        <v>0</v>
      </c>
    </row>
    <row r="51" spans="1:5">
      <c r="A51" s="3">
        <f>'III. WaTT Main'!A53</f>
        <v>0</v>
      </c>
      <c r="B51" s="3">
        <f>'III. WaTT Main'!A53</f>
        <v>0</v>
      </c>
      <c r="C51" s="3">
        <f>'III. WaTT Main'!B53</f>
        <v>0</v>
      </c>
      <c r="D51" s="16">
        <v>1</v>
      </c>
      <c r="E51">
        <f>'III. WaTT Main'!G52</f>
        <v>0</v>
      </c>
    </row>
    <row r="52" spans="1:5">
      <c r="A52" s="3">
        <f>'III. WaTT Main'!A54</f>
        <v>0</v>
      </c>
      <c r="B52" s="3">
        <f>'III. WaTT Main'!A54</f>
        <v>0</v>
      </c>
      <c r="C52" s="3">
        <f>'III. WaTT Main'!B54</f>
        <v>0</v>
      </c>
      <c r="D52" s="16">
        <v>1</v>
      </c>
      <c r="E52">
        <f>'III. WaTT Main'!G53</f>
        <v>0</v>
      </c>
    </row>
    <row r="53" spans="1:5">
      <c r="A53" s="3">
        <f>'III. WaTT Main'!A55</f>
        <v>0</v>
      </c>
      <c r="B53" s="3">
        <f>'III. WaTT Main'!A55</f>
        <v>0</v>
      </c>
      <c r="C53" s="3">
        <f>'III. WaTT Main'!B55</f>
        <v>0</v>
      </c>
      <c r="D53" s="16">
        <v>1</v>
      </c>
      <c r="E53">
        <f>'III. WaTT Main'!G54</f>
        <v>0</v>
      </c>
    </row>
    <row r="54" spans="1:5">
      <c r="A54" s="3">
        <f>'III. WaTT Main'!A56</f>
        <v>0</v>
      </c>
      <c r="B54" s="3">
        <f>'III. WaTT Main'!A56</f>
        <v>0</v>
      </c>
      <c r="C54" s="3">
        <f>'III. WaTT Main'!B56</f>
        <v>0</v>
      </c>
      <c r="D54" s="16">
        <v>1</v>
      </c>
      <c r="E54">
        <f>'III. WaTT Main'!G55</f>
        <v>0</v>
      </c>
    </row>
    <row r="55" spans="1:5">
      <c r="A55" s="3">
        <f>'III. WaTT Main'!A57</f>
        <v>0</v>
      </c>
      <c r="B55" s="3">
        <f>'III. WaTT Main'!A57</f>
        <v>0</v>
      </c>
      <c r="C55" s="3">
        <f>'III. WaTT Main'!B57</f>
        <v>0</v>
      </c>
      <c r="D55" s="16">
        <v>1</v>
      </c>
      <c r="E55">
        <f>'III. WaTT Main'!G56</f>
        <v>0</v>
      </c>
    </row>
    <row r="56" spans="1:5">
      <c r="A56" s="3">
        <f>'III. WaTT Main'!A58</f>
        <v>0</v>
      </c>
      <c r="B56" s="3">
        <f>'III. WaTT Main'!A58</f>
        <v>0</v>
      </c>
      <c r="C56" s="3">
        <f>'III. WaTT Main'!B58</f>
        <v>0</v>
      </c>
      <c r="D56" s="16">
        <v>1</v>
      </c>
      <c r="E56">
        <f>'III. WaTT Main'!G57</f>
        <v>0</v>
      </c>
    </row>
    <row r="57" spans="1:5">
      <c r="A57" s="3">
        <f>'III. WaTT Main'!A59</f>
        <v>0</v>
      </c>
      <c r="B57" s="3">
        <f>'III. WaTT Main'!A59</f>
        <v>0</v>
      </c>
      <c r="C57" s="3">
        <f>'III. WaTT Main'!B59</f>
        <v>0</v>
      </c>
      <c r="D57" s="16">
        <v>1</v>
      </c>
      <c r="E57">
        <f>'III. WaTT Main'!G58</f>
        <v>0</v>
      </c>
    </row>
    <row r="58" spans="1:5">
      <c r="A58" s="3">
        <f>'III. WaTT Main'!A60</f>
        <v>0</v>
      </c>
      <c r="B58" s="3">
        <f>'III. WaTT Main'!A60</f>
        <v>0</v>
      </c>
      <c r="C58" s="3">
        <f>'III. WaTT Main'!B60</f>
        <v>0</v>
      </c>
      <c r="D58" s="16">
        <v>1</v>
      </c>
      <c r="E58">
        <f>'III. WaTT Main'!G59</f>
        <v>0</v>
      </c>
    </row>
    <row r="59" spans="1:5">
      <c r="A59" s="3">
        <f>'III. WaTT Main'!A61</f>
        <v>0</v>
      </c>
      <c r="B59" s="3">
        <f>'III. WaTT Main'!A61</f>
        <v>0</v>
      </c>
      <c r="C59" s="3">
        <f>'III. WaTT Main'!B61</f>
        <v>0</v>
      </c>
      <c r="D59" s="16">
        <v>1</v>
      </c>
      <c r="E59">
        <f>'III. WaTT Main'!G60</f>
        <v>0</v>
      </c>
    </row>
    <row r="60" spans="1:5">
      <c r="A60" s="3">
        <f>'III. WaTT Main'!A62</f>
        <v>0</v>
      </c>
      <c r="B60" s="3">
        <f>'III. WaTT Main'!A62</f>
        <v>0</v>
      </c>
      <c r="C60" s="3">
        <f>'III. WaTT Main'!B62</f>
        <v>0</v>
      </c>
      <c r="D60" s="16">
        <v>1</v>
      </c>
      <c r="E60">
        <f>'III. WaTT Main'!G61</f>
        <v>0</v>
      </c>
    </row>
    <row r="61" spans="1:5">
      <c r="A61" s="3">
        <f>'III. WaTT Main'!A63</f>
        <v>0</v>
      </c>
      <c r="B61" s="3">
        <f>'III. WaTT Main'!A63</f>
        <v>0</v>
      </c>
      <c r="C61" s="3">
        <f>'III. WaTT Main'!B63</f>
        <v>0</v>
      </c>
      <c r="D61" s="16">
        <v>1</v>
      </c>
      <c r="E61">
        <f>'III. WaTT Main'!G62</f>
        <v>0</v>
      </c>
    </row>
    <row r="62" spans="1:5">
      <c r="A62" s="3">
        <f>'III. WaTT Main'!A64</f>
        <v>0</v>
      </c>
      <c r="B62" s="3">
        <f>'III. WaTT Main'!A64</f>
        <v>0</v>
      </c>
      <c r="C62" s="3">
        <f>'III. WaTT Main'!B64</f>
        <v>0</v>
      </c>
      <c r="D62" s="16">
        <v>1</v>
      </c>
      <c r="E62">
        <f>'III. WaTT Main'!G63</f>
        <v>0</v>
      </c>
    </row>
    <row r="63" spans="1:5">
      <c r="A63" s="3">
        <f>'III. WaTT Main'!A65</f>
        <v>0</v>
      </c>
      <c r="B63" s="3">
        <f>'III. WaTT Main'!A65</f>
        <v>0</v>
      </c>
      <c r="C63" s="3">
        <f>'III. WaTT Main'!B65</f>
        <v>0</v>
      </c>
      <c r="D63" s="16">
        <v>1</v>
      </c>
      <c r="E63">
        <f>'III. WaTT Main'!G64</f>
        <v>0</v>
      </c>
    </row>
    <row r="64" spans="1:5">
      <c r="A64" s="3">
        <f>'III. WaTT Main'!A66</f>
        <v>0</v>
      </c>
      <c r="B64" s="3">
        <f>'III. WaTT Main'!A66</f>
        <v>0</v>
      </c>
      <c r="C64" s="3">
        <f>'III. WaTT Main'!B66</f>
        <v>0</v>
      </c>
      <c r="D64" s="16">
        <v>1</v>
      </c>
      <c r="E64">
        <f>'III. WaTT Main'!G65</f>
        <v>0</v>
      </c>
    </row>
    <row r="65" spans="1:5">
      <c r="A65" s="3">
        <f>'III. WaTT Main'!A67</f>
        <v>0</v>
      </c>
      <c r="B65" s="3">
        <f>'III. WaTT Main'!A67</f>
        <v>0</v>
      </c>
      <c r="C65" s="3">
        <f>'III. WaTT Main'!B67</f>
        <v>0</v>
      </c>
      <c r="D65" s="16">
        <v>1</v>
      </c>
      <c r="E65">
        <f>'III. WaTT Main'!G66</f>
        <v>0</v>
      </c>
    </row>
    <row r="66" spans="1:5">
      <c r="A66" s="3">
        <f>'III. WaTT Main'!A68</f>
        <v>0</v>
      </c>
      <c r="B66" s="3">
        <f>'III. WaTT Main'!A68</f>
        <v>0</v>
      </c>
      <c r="C66" s="3">
        <f>'III. WaTT Main'!B68</f>
        <v>0</v>
      </c>
      <c r="D66" s="16">
        <v>1</v>
      </c>
      <c r="E66">
        <f>'III. WaTT Main'!G67</f>
        <v>0</v>
      </c>
    </row>
    <row r="67" spans="1:5">
      <c r="A67" s="3">
        <f>'III. WaTT Main'!A69</f>
        <v>0</v>
      </c>
      <c r="B67" s="3">
        <f>'III. WaTT Main'!A69</f>
        <v>0</v>
      </c>
      <c r="C67" s="3">
        <f>'III. WaTT Main'!B69</f>
        <v>0</v>
      </c>
      <c r="D67" s="16">
        <v>1</v>
      </c>
      <c r="E67">
        <f>'III. WaTT Main'!G68</f>
        <v>0</v>
      </c>
    </row>
    <row r="68" spans="1:5">
      <c r="A68" s="3">
        <f>'III. WaTT Main'!A70</f>
        <v>0</v>
      </c>
      <c r="B68" s="3">
        <f>'III. WaTT Main'!A70</f>
        <v>0</v>
      </c>
      <c r="C68" s="3">
        <f>'III. WaTT Main'!B70</f>
        <v>0</v>
      </c>
      <c r="D68" s="16">
        <v>1</v>
      </c>
      <c r="E68">
        <f>'III. WaTT Main'!G69</f>
        <v>0</v>
      </c>
    </row>
    <row r="69" spans="1:5">
      <c r="A69" s="3">
        <f>'III. WaTT Main'!A71</f>
        <v>0</v>
      </c>
      <c r="B69" s="3">
        <f>'III. WaTT Main'!A71</f>
        <v>0</v>
      </c>
      <c r="C69" s="3">
        <f>'III. WaTT Main'!B71</f>
        <v>0</v>
      </c>
      <c r="D69" s="16">
        <v>1</v>
      </c>
      <c r="E69">
        <f>'III. WaTT Main'!G70</f>
        <v>0</v>
      </c>
    </row>
    <row r="70" spans="1:5">
      <c r="A70" s="3">
        <f>'III. WaTT Main'!A72</f>
        <v>0</v>
      </c>
      <c r="B70" s="3">
        <f>'III. WaTT Main'!A72</f>
        <v>0</v>
      </c>
      <c r="C70" s="3">
        <f>'III. WaTT Main'!B72</f>
        <v>0</v>
      </c>
      <c r="D70" s="16">
        <v>1</v>
      </c>
      <c r="E70">
        <f>'III. WaTT Main'!G71</f>
        <v>0</v>
      </c>
    </row>
    <row r="71" spans="1:5">
      <c r="A71" s="3">
        <f>'III. WaTT Main'!A73</f>
        <v>0</v>
      </c>
      <c r="B71" s="3">
        <f>'III. WaTT Main'!A73</f>
        <v>0</v>
      </c>
      <c r="C71" s="3">
        <f>'III. WaTT Main'!B73</f>
        <v>0</v>
      </c>
      <c r="D71" s="16">
        <v>1</v>
      </c>
      <c r="E71">
        <f>'III. WaTT Main'!G72</f>
        <v>0</v>
      </c>
    </row>
    <row r="72" spans="1:5">
      <c r="A72" s="3">
        <f>'III. WaTT Main'!A74</f>
        <v>0</v>
      </c>
      <c r="B72" s="3">
        <f>'III. WaTT Main'!A74</f>
        <v>0</v>
      </c>
      <c r="C72" s="3">
        <f>'III. WaTT Main'!B74</f>
        <v>0</v>
      </c>
      <c r="D72" s="16">
        <v>1</v>
      </c>
      <c r="E72">
        <f>'III. WaTT Main'!G73</f>
        <v>0</v>
      </c>
    </row>
    <row r="73" spans="1:5">
      <c r="A73" s="3">
        <f>'III. WaTT Main'!A75</f>
        <v>0</v>
      </c>
      <c r="B73" s="3">
        <f>'III. WaTT Main'!A75</f>
        <v>0</v>
      </c>
      <c r="C73" s="3">
        <f>'III. WaTT Main'!B75</f>
        <v>0</v>
      </c>
      <c r="D73" s="16">
        <v>1</v>
      </c>
      <c r="E73">
        <f>'III. WaTT Main'!G74</f>
        <v>0</v>
      </c>
    </row>
    <row r="74" spans="1:5">
      <c r="A74" s="3">
        <f>'III. WaTT Main'!A76</f>
        <v>0</v>
      </c>
      <c r="B74" s="3">
        <f>'III. WaTT Main'!A76</f>
        <v>0</v>
      </c>
      <c r="C74" s="3">
        <f>'III. WaTT Main'!B76</f>
        <v>0</v>
      </c>
      <c r="D74" s="16">
        <v>1</v>
      </c>
      <c r="E74">
        <f>'III. WaTT Main'!G75</f>
        <v>0</v>
      </c>
    </row>
    <row r="75" spans="1:5">
      <c r="A75" s="3">
        <f>'III. WaTT Main'!A77</f>
        <v>0</v>
      </c>
      <c r="B75" s="3">
        <f>'III. WaTT Main'!A77</f>
        <v>0</v>
      </c>
      <c r="C75" s="3">
        <f>'III. WaTT Main'!B77</f>
        <v>0</v>
      </c>
      <c r="D75" s="16">
        <v>1</v>
      </c>
      <c r="E75">
        <f>'III. WaTT Main'!G76</f>
        <v>0</v>
      </c>
    </row>
    <row r="76" spans="1:5">
      <c r="A76" s="3">
        <f>'III. WaTT Main'!A78</f>
        <v>0</v>
      </c>
      <c r="B76" s="3">
        <f>'III. WaTT Main'!A78</f>
        <v>0</v>
      </c>
      <c r="C76" s="3">
        <f>'III. WaTT Main'!B78</f>
        <v>0</v>
      </c>
      <c r="D76" s="16">
        <v>1</v>
      </c>
      <c r="E76">
        <f>'III. WaTT Main'!G77</f>
        <v>0</v>
      </c>
    </row>
    <row r="77" spans="1:5">
      <c r="A77" s="3">
        <f>'III. WaTT Main'!A79</f>
        <v>0</v>
      </c>
      <c r="B77" s="3">
        <f>'III. WaTT Main'!A79</f>
        <v>0</v>
      </c>
      <c r="C77" s="3">
        <f>'III. WaTT Main'!B79</f>
        <v>0</v>
      </c>
      <c r="D77" s="16">
        <v>1</v>
      </c>
      <c r="E77">
        <f>'III. WaTT Main'!G78</f>
        <v>0</v>
      </c>
    </row>
    <row r="78" spans="1:5">
      <c r="A78" s="3">
        <f>'III. WaTT Main'!A80</f>
        <v>0</v>
      </c>
      <c r="B78" s="3">
        <f>'III. WaTT Main'!A80</f>
        <v>0</v>
      </c>
      <c r="C78" s="3">
        <f>'III. WaTT Main'!B80</f>
        <v>0</v>
      </c>
      <c r="D78" s="16">
        <v>1</v>
      </c>
      <c r="E78">
        <f>'III. WaTT Main'!G79</f>
        <v>0</v>
      </c>
    </row>
    <row r="79" spans="1:5">
      <c r="A79" s="3">
        <f>'III. WaTT Main'!A81</f>
        <v>0</v>
      </c>
      <c r="B79" s="3">
        <f>'III. WaTT Main'!A81</f>
        <v>0</v>
      </c>
      <c r="C79" s="3">
        <f>'III. WaTT Main'!B81</f>
        <v>0</v>
      </c>
      <c r="D79" s="16">
        <v>1</v>
      </c>
      <c r="E79">
        <f>'III. WaTT Main'!G80</f>
        <v>0</v>
      </c>
    </row>
    <row r="80" spans="1:5">
      <c r="A80" s="3">
        <f>'III. WaTT Main'!A82</f>
        <v>0</v>
      </c>
      <c r="B80" s="3">
        <f>'III. WaTT Main'!A82</f>
        <v>0</v>
      </c>
      <c r="C80" s="3">
        <f>'III. WaTT Main'!B82</f>
        <v>0</v>
      </c>
      <c r="D80" s="16">
        <v>1</v>
      </c>
      <c r="E80">
        <f>'III. WaTT Main'!G81</f>
        <v>0</v>
      </c>
    </row>
    <row r="81" spans="1:5">
      <c r="A81" s="3">
        <f>'III. WaTT Main'!A83</f>
        <v>0</v>
      </c>
      <c r="B81" s="3">
        <f>'III. WaTT Main'!A83</f>
        <v>0</v>
      </c>
      <c r="C81" s="3">
        <f>'III. WaTT Main'!B83</f>
        <v>0</v>
      </c>
      <c r="D81" s="16">
        <v>1</v>
      </c>
      <c r="E81">
        <f>'III. WaTT Main'!G82</f>
        <v>0</v>
      </c>
    </row>
    <row r="82" spans="1:5">
      <c r="A82" s="3">
        <f>'III. WaTT Main'!A84</f>
        <v>0</v>
      </c>
      <c r="B82" s="3">
        <f>'III. WaTT Main'!A84</f>
        <v>0</v>
      </c>
      <c r="C82" s="3">
        <f>'III. WaTT Main'!B84</f>
        <v>0</v>
      </c>
      <c r="D82" s="16">
        <v>1</v>
      </c>
      <c r="E82">
        <f>'III. WaTT Main'!G83</f>
        <v>0</v>
      </c>
    </row>
    <row r="83" spans="1:5">
      <c r="A83" s="3">
        <f>'III. WaTT Main'!A85</f>
        <v>0</v>
      </c>
      <c r="B83" s="3">
        <f>'III. WaTT Main'!A85</f>
        <v>0</v>
      </c>
      <c r="C83" s="3">
        <f>'III. WaTT Main'!B85</f>
        <v>0</v>
      </c>
      <c r="D83" s="16">
        <v>1</v>
      </c>
      <c r="E83">
        <f>'III. WaTT Main'!G84</f>
        <v>0</v>
      </c>
    </row>
    <row r="84" spans="1:5">
      <c r="A84" s="3">
        <f>'III. WaTT Main'!A86</f>
        <v>0</v>
      </c>
      <c r="B84" s="3">
        <f>'III. WaTT Main'!A86</f>
        <v>0</v>
      </c>
      <c r="C84" s="3">
        <f>'III. WaTT Main'!B86</f>
        <v>0</v>
      </c>
      <c r="D84" s="16">
        <v>1</v>
      </c>
      <c r="E84">
        <f>'III. WaTT Main'!G85</f>
        <v>0</v>
      </c>
    </row>
    <row r="85" spans="1:5">
      <c r="A85" s="3">
        <f>'III. WaTT Main'!A87</f>
        <v>0</v>
      </c>
      <c r="B85" s="3">
        <f>'III. WaTT Main'!A87</f>
        <v>0</v>
      </c>
      <c r="C85" s="3">
        <f>'III. WaTT Main'!B87</f>
        <v>0</v>
      </c>
      <c r="D85" s="16">
        <v>1</v>
      </c>
      <c r="E85">
        <f>'III. WaTT Main'!G86</f>
        <v>0</v>
      </c>
    </row>
    <row r="86" spans="1:5">
      <c r="A86" s="3">
        <f>'III. WaTT Main'!A88</f>
        <v>0</v>
      </c>
      <c r="B86" s="3">
        <f>'III. WaTT Main'!A88</f>
        <v>0</v>
      </c>
      <c r="C86" s="3">
        <f>'III. WaTT Main'!B88</f>
        <v>0</v>
      </c>
      <c r="D86" s="16">
        <v>1</v>
      </c>
      <c r="E86">
        <f>'III. WaTT Main'!G87</f>
        <v>0</v>
      </c>
    </row>
    <row r="87" spans="1:5">
      <c r="A87" s="3">
        <f>'III. WaTT Main'!A89</f>
        <v>0</v>
      </c>
      <c r="B87" s="3">
        <f>'III. WaTT Main'!A89</f>
        <v>0</v>
      </c>
      <c r="C87" s="3">
        <f>'III. WaTT Main'!B89</f>
        <v>0</v>
      </c>
      <c r="D87" s="16">
        <v>1</v>
      </c>
      <c r="E87">
        <f>'III. WaTT Main'!G88</f>
        <v>0</v>
      </c>
    </row>
    <row r="88" spans="1:5">
      <c r="A88" s="3">
        <f>'III. WaTT Main'!A90</f>
        <v>0</v>
      </c>
      <c r="B88" s="3">
        <f>'III. WaTT Main'!A90</f>
        <v>0</v>
      </c>
      <c r="C88" s="3">
        <f>'III. WaTT Main'!B90</f>
        <v>0</v>
      </c>
      <c r="D88" s="16">
        <v>1</v>
      </c>
      <c r="E88">
        <f>'III. WaTT Main'!G89</f>
        <v>0</v>
      </c>
    </row>
    <row r="89" spans="1:5">
      <c r="A89" s="3">
        <f>'III. WaTT Main'!A91</f>
        <v>0</v>
      </c>
      <c r="B89" s="3">
        <f>'III. WaTT Main'!A91</f>
        <v>0</v>
      </c>
      <c r="C89" s="3">
        <f>'III. WaTT Main'!B91</f>
        <v>0</v>
      </c>
      <c r="D89" s="16">
        <v>1</v>
      </c>
      <c r="E89">
        <f>'III. WaTT Main'!G90</f>
        <v>0</v>
      </c>
    </row>
    <row r="90" spans="1:5">
      <c r="A90" s="3">
        <f>'III. WaTT Main'!A92</f>
        <v>0</v>
      </c>
      <c r="B90" s="3">
        <f>'III. WaTT Main'!A92</f>
        <v>0</v>
      </c>
      <c r="C90" s="3">
        <f>'III. WaTT Main'!B92</f>
        <v>0</v>
      </c>
      <c r="D90" s="16">
        <v>1</v>
      </c>
      <c r="E90">
        <f>'III. WaTT Main'!G91</f>
        <v>0</v>
      </c>
    </row>
    <row r="91" spans="1:5">
      <c r="A91" s="3">
        <f>'III. WaTT Main'!A93</f>
        <v>0</v>
      </c>
      <c r="B91" s="3">
        <f>'III. WaTT Main'!A93</f>
        <v>0</v>
      </c>
      <c r="C91" s="3">
        <f>'III. WaTT Main'!B93</f>
        <v>0</v>
      </c>
      <c r="D91" s="16">
        <v>1</v>
      </c>
      <c r="E91">
        <f>'III. WaTT Main'!G92</f>
        <v>0</v>
      </c>
    </row>
    <row r="92" spans="1:5">
      <c r="A92" s="3">
        <f>'III. WaTT Main'!A94</f>
        <v>0</v>
      </c>
      <c r="B92" s="3">
        <f>'III. WaTT Main'!A94</f>
        <v>0</v>
      </c>
      <c r="C92" s="3">
        <f>'III. WaTT Main'!B94</f>
        <v>0</v>
      </c>
      <c r="D92" s="16">
        <v>1</v>
      </c>
      <c r="E92">
        <f>'III. WaTT Main'!G93</f>
        <v>0</v>
      </c>
    </row>
    <row r="93" spans="1:5">
      <c r="A93" s="3">
        <f>'III. WaTT Main'!A95</f>
        <v>0</v>
      </c>
      <c r="B93" s="3">
        <f>'III. WaTT Main'!A95</f>
        <v>0</v>
      </c>
      <c r="C93" s="3">
        <f>'III. WaTT Main'!B95</f>
        <v>0</v>
      </c>
      <c r="D93" s="16">
        <v>1</v>
      </c>
      <c r="E93">
        <f>'III. WaTT Main'!G94</f>
        <v>0</v>
      </c>
    </row>
    <row r="94" spans="1:5">
      <c r="A94" s="3">
        <f>'III. WaTT Main'!A96</f>
        <v>0</v>
      </c>
      <c r="B94" s="3">
        <f>'III. WaTT Main'!A96</f>
        <v>0</v>
      </c>
      <c r="C94" s="3">
        <f>'III. WaTT Main'!B96</f>
        <v>0</v>
      </c>
      <c r="D94" s="16">
        <v>1</v>
      </c>
      <c r="E94">
        <f>'III. WaTT Main'!G95</f>
        <v>0</v>
      </c>
    </row>
    <row r="95" spans="1:5">
      <c r="A95" s="3">
        <f>'III. WaTT Main'!A97</f>
        <v>0</v>
      </c>
      <c r="B95" s="3">
        <f>'III. WaTT Main'!A97</f>
        <v>0</v>
      </c>
      <c r="C95" s="3">
        <f>'III. WaTT Main'!B97</f>
        <v>0</v>
      </c>
      <c r="D95" s="16">
        <v>1</v>
      </c>
      <c r="E95">
        <f>'III. WaTT Main'!G96</f>
        <v>0</v>
      </c>
    </row>
    <row r="96" spans="1:5">
      <c r="A96" s="3">
        <f>'III. WaTT Main'!A98</f>
        <v>0</v>
      </c>
      <c r="B96" s="3">
        <f>'III. WaTT Main'!A98</f>
        <v>0</v>
      </c>
      <c r="C96" s="3">
        <f>'III. WaTT Main'!B98</f>
        <v>0</v>
      </c>
      <c r="D96" s="16">
        <v>1</v>
      </c>
      <c r="E96">
        <f>'III. WaTT Main'!G97</f>
        <v>0</v>
      </c>
    </row>
    <row r="97" spans="1:5">
      <c r="A97" s="3">
        <f>'III. WaTT Main'!A99</f>
        <v>0</v>
      </c>
      <c r="B97" s="3">
        <f>'III. WaTT Main'!A99</f>
        <v>0</v>
      </c>
      <c r="C97" s="3">
        <f>'III. WaTT Main'!B99</f>
        <v>0</v>
      </c>
      <c r="D97" s="16">
        <v>1</v>
      </c>
      <c r="E97">
        <f>'III. WaTT Main'!G98</f>
        <v>0</v>
      </c>
    </row>
    <row r="98" spans="1:5">
      <c r="A98" s="3">
        <f>'III. WaTT Main'!A100</f>
        <v>0</v>
      </c>
      <c r="B98" s="3">
        <f>'III. WaTT Main'!A100</f>
        <v>0</v>
      </c>
      <c r="C98" s="3">
        <f>'III. WaTT Main'!B100</f>
        <v>0</v>
      </c>
      <c r="D98" s="16">
        <v>1</v>
      </c>
      <c r="E98">
        <f>'III. WaTT Main'!G99</f>
        <v>0</v>
      </c>
    </row>
    <row r="99" spans="1:5">
      <c r="A99" s="3">
        <f>'III. WaTT Main'!A101</f>
        <v>0</v>
      </c>
      <c r="B99" s="3">
        <f>'III. WaTT Main'!A101</f>
        <v>0</v>
      </c>
      <c r="C99" s="3">
        <f>'III. WaTT Main'!B101</f>
        <v>0</v>
      </c>
      <c r="D99" s="16">
        <v>1</v>
      </c>
      <c r="E99">
        <f>'III. WaTT Main'!G100</f>
        <v>0</v>
      </c>
    </row>
    <row r="100" spans="1:5">
      <c r="A100" s="3">
        <f>'III. WaTT Main'!A102</f>
        <v>0</v>
      </c>
      <c r="B100" s="3">
        <f>'III. WaTT Main'!A102</f>
        <v>0</v>
      </c>
      <c r="C100" s="3">
        <f>'III. WaTT Main'!B102</f>
        <v>0</v>
      </c>
      <c r="D100" s="16">
        <v>1</v>
      </c>
      <c r="E100">
        <f>'III. WaTT Main'!G101</f>
        <v>0</v>
      </c>
    </row>
    <row r="101" spans="1:5">
      <c r="A101" s="3">
        <f>'III. WaTT Main'!A103</f>
        <v>0</v>
      </c>
      <c r="B101" s="3">
        <f>'III. WaTT Main'!A103</f>
        <v>0</v>
      </c>
      <c r="C101" s="3">
        <f>'III. WaTT Main'!B103</f>
        <v>0</v>
      </c>
      <c r="D101" s="16">
        <v>1</v>
      </c>
      <c r="E101">
        <f>'III. WaTT Main'!G102</f>
        <v>0</v>
      </c>
    </row>
    <row r="102" spans="1:5">
      <c r="A102" s="3">
        <f>'III. WaTT Main'!A104</f>
        <v>0</v>
      </c>
      <c r="B102" s="3">
        <f>'III. WaTT Main'!A104</f>
        <v>0</v>
      </c>
      <c r="C102" s="3">
        <f>'III. WaTT Main'!B104</f>
        <v>0</v>
      </c>
      <c r="D102" s="16">
        <v>1</v>
      </c>
      <c r="E102">
        <f>'III. WaTT Main'!G103</f>
        <v>0</v>
      </c>
    </row>
    <row r="103" spans="1:5">
      <c r="A103" s="3">
        <f>'III. WaTT Main'!A105</f>
        <v>0</v>
      </c>
      <c r="B103" s="3">
        <f>'III. WaTT Main'!A105</f>
        <v>0</v>
      </c>
      <c r="C103" s="3">
        <f>'III. WaTT Main'!B105</f>
        <v>0</v>
      </c>
      <c r="D103" s="16">
        <v>1</v>
      </c>
      <c r="E103">
        <f>'III. WaTT Main'!G104</f>
        <v>0</v>
      </c>
    </row>
    <row r="104" spans="1:5">
      <c r="A104" s="3">
        <f>'III. WaTT Main'!A106</f>
        <v>0</v>
      </c>
      <c r="B104" s="3">
        <f>'III. WaTT Main'!A106</f>
        <v>0</v>
      </c>
      <c r="C104" s="3">
        <f>'III. WaTT Main'!B106</f>
        <v>0</v>
      </c>
      <c r="D104" s="16">
        <v>1</v>
      </c>
      <c r="E104">
        <f>'III. WaTT Main'!G105</f>
        <v>0</v>
      </c>
    </row>
    <row r="105" spans="1:5">
      <c r="A105" s="3">
        <f>'III. WaTT Main'!A107</f>
        <v>0</v>
      </c>
      <c r="B105" s="3">
        <f>'III. WaTT Main'!A107</f>
        <v>0</v>
      </c>
      <c r="C105" s="3">
        <f>'III. WaTT Main'!B107</f>
        <v>0</v>
      </c>
      <c r="D105" s="16">
        <v>1</v>
      </c>
      <c r="E105">
        <f>'III. WaTT Main'!G106</f>
        <v>0</v>
      </c>
    </row>
    <row r="106" spans="1:5">
      <c r="A106" s="3">
        <f>'III. WaTT Main'!A108</f>
        <v>0</v>
      </c>
      <c r="B106" s="3">
        <f>'III. WaTT Main'!A108</f>
        <v>0</v>
      </c>
      <c r="C106" s="3">
        <f>'III. WaTT Main'!B108</f>
        <v>0</v>
      </c>
      <c r="D106" s="16">
        <v>1</v>
      </c>
      <c r="E106">
        <f>'III. WaTT Main'!G107</f>
        <v>0</v>
      </c>
    </row>
    <row r="107" spans="1:5">
      <c r="A107" s="3">
        <f>'III. WaTT Main'!A109</f>
        <v>0</v>
      </c>
      <c r="B107" s="3">
        <f>'III. WaTT Main'!A109</f>
        <v>0</v>
      </c>
      <c r="C107" s="3">
        <f>'III. WaTT Main'!B109</f>
        <v>0</v>
      </c>
      <c r="D107" s="16">
        <v>1</v>
      </c>
      <c r="E107">
        <f>'III. WaTT Main'!G108</f>
        <v>0</v>
      </c>
    </row>
    <row r="108" spans="1:5">
      <c r="A108" s="3">
        <f>'III. WaTT Main'!A110</f>
        <v>0</v>
      </c>
      <c r="B108" s="3">
        <f>'III. WaTT Main'!A110</f>
        <v>0</v>
      </c>
      <c r="C108" s="3">
        <f>'III. WaTT Main'!B110</f>
        <v>0</v>
      </c>
      <c r="D108" s="16">
        <v>1</v>
      </c>
      <c r="E108">
        <f>'III. WaTT Main'!G109</f>
        <v>0</v>
      </c>
    </row>
    <row r="109" spans="1:5">
      <c r="A109" s="3">
        <f>'III. WaTT Main'!A111</f>
        <v>0</v>
      </c>
      <c r="B109" s="3">
        <f>'III. WaTT Main'!A111</f>
        <v>0</v>
      </c>
      <c r="C109" s="3">
        <f>'III. WaTT Main'!B111</f>
        <v>0</v>
      </c>
      <c r="D109" s="16">
        <v>1</v>
      </c>
      <c r="E109">
        <f>'III. WaTT Main'!G110</f>
        <v>0</v>
      </c>
    </row>
    <row r="110" spans="1:5">
      <c r="A110" s="3">
        <f>'III. WaTT Main'!A112</f>
        <v>0</v>
      </c>
      <c r="B110" s="3">
        <f>'III. WaTT Main'!A112</f>
        <v>0</v>
      </c>
      <c r="C110" s="3">
        <f>'III. WaTT Main'!B112</f>
        <v>0</v>
      </c>
      <c r="D110" s="16">
        <v>1</v>
      </c>
      <c r="E110">
        <f>'III. WaTT Main'!G111</f>
        <v>0</v>
      </c>
    </row>
    <row r="111" spans="1:5">
      <c r="A111" s="3">
        <f>'III. WaTT Main'!A113</f>
        <v>0</v>
      </c>
      <c r="B111" s="3">
        <f>'III. WaTT Main'!A113</f>
        <v>0</v>
      </c>
      <c r="C111" s="3">
        <f>'III. WaTT Main'!B113</f>
        <v>0</v>
      </c>
      <c r="D111" s="16">
        <v>1</v>
      </c>
      <c r="E111">
        <f>'III. WaTT Main'!G112</f>
        <v>0</v>
      </c>
    </row>
    <row r="112" spans="1:5">
      <c r="A112" s="3">
        <f>'III. WaTT Main'!A114</f>
        <v>0</v>
      </c>
      <c r="B112" s="3">
        <f>'III. WaTT Main'!A114</f>
        <v>0</v>
      </c>
      <c r="C112" s="3">
        <f>'III. WaTT Main'!B114</f>
        <v>0</v>
      </c>
      <c r="D112" s="16">
        <v>1</v>
      </c>
      <c r="E112">
        <f>'III. WaTT Main'!G113</f>
        <v>0</v>
      </c>
    </row>
    <row r="113" spans="1:5">
      <c r="A113" s="3">
        <f>'III. WaTT Main'!A115</f>
        <v>0</v>
      </c>
      <c r="B113" s="3">
        <f>'III. WaTT Main'!A115</f>
        <v>0</v>
      </c>
      <c r="C113" s="3">
        <f>'III. WaTT Main'!B115</f>
        <v>0</v>
      </c>
      <c r="D113" s="16">
        <v>1</v>
      </c>
      <c r="E113">
        <f>'III. WaTT Main'!G114</f>
        <v>0</v>
      </c>
    </row>
    <row r="114" spans="1:5">
      <c r="A114" s="3">
        <f>'III. WaTT Main'!A116</f>
        <v>0</v>
      </c>
      <c r="B114" s="3">
        <f>'III. WaTT Main'!A116</f>
        <v>0</v>
      </c>
      <c r="C114" s="3">
        <f>'III. WaTT Main'!B116</f>
        <v>0</v>
      </c>
      <c r="D114" s="16">
        <v>1</v>
      </c>
      <c r="E114">
        <f>'III. WaTT Main'!G115</f>
        <v>0</v>
      </c>
    </row>
    <row r="115" spans="1:5">
      <c r="A115" s="3">
        <f>'III. WaTT Main'!A117</f>
        <v>0</v>
      </c>
      <c r="B115" s="3">
        <f>'III. WaTT Main'!A117</f>
        <v>0</v>
      </c>
      <c r="C115" s="3">
        <f>'III. WaTT Main'!B117</f>
        <v>0</v>
      </c>
      <c r="D115" s="16">
        <v>1</v>
      </c>
      <c r="E115">
        <f>'III. WaTT Main'!G116</f>
        <v>0</v>
      </c>
    </row>
    <row r="116" spans="1:5">
      <c r="A116" s="3">
        <f>'III. WaTT Main'!A118</f>
        <v>0</v>
      </c>
      <c r="B116" s="3">
        <f>'III. WaTT Main'!A118</f>
        <v>0</v>
      </c>
      <c r="C116" s="3">
        <f>'III. WaTT Main'!B118</f>
        <v>0</v>
      </c>
      <c r="D116" s="16">
        <v>1</v>
      </c>
      <c r="E116">
        <f>'III. WaTT Main'!G117</f>
        <v>0</v>
      </c>
    </row>
    <row r="117" spans="1:5">
      <c r="A117" s="3">
        <f>'III. WaTT Main'!A119</f>
        <v>0</v>
      </c>
      <c r="B117" s="3">
        <f>'III. WaTT Main'!A119</f>
        <v>0</v>
      </c>
      <c r="C117" s="3">
        <f>'III. WaTT Main'!B119</f>
        <v>0</v>
      </c>
      <c r="D117" s="16">
        <v>1</v>
      </c>
      <c r="E117">
        <f>'III. WaTT Main'!G118</f>
        <v>0</v>
      </c>
    </row>
    <row r="118" spans="1:5">
      <c r="A118" s="3">
        <f>'III. WaTT Main'!A120</f>
        <v>0</v>
      </c>
      <c r="B118" s="3">
        <f>'III. WaTT Main'!A120</f>
        <v>0</v>
      </c>
      <c r="C118" s="3">
        <f>'III. WaTT Main'!B120</f>
        <v>0</v>
      </c>
      <c r="D118" s="16">
        <v>1</v>
      </c>
      <c r="E118">
        <f>'III. WaTT Main'!G119</f>
        <v>0</v>
      </c>
    </row>
    <row r="119" spans="1:5">
      <c r="A119" s="3">
        <f>'III. WaTT Main'!A121</f>
        <v>0</v>
      </c>
      <c r="B119" s="3">
        <f>'III. WaTT Main'!A121</f>
        <v>0</v>
      </c>
      <c r="C119" s="3">
        <f>'III. WaTT Main'!B121</f>
        <v>0</v>
      </c>
      <c r="D119" s="16">
        <v>1</v>
      </c>
      <c r="E119">
        <f>'III. WaTT Main'!G120</f>
        <v>0</v>
      </c>
    </row>
    <row r="120" spans="1:5">
      <c r="A120" s="3">
        <f>'III. WaTT Main'!A122</f>
        <v>0</v>
      </c>
      <c r="B120" s="3">
        <f>'III. WaTT Main'!A122</f>
        <v>0</v>
      </c>
      <c r="C120" s="3">
        <f>'III. WaTT Main'!B122</f>
        <v>0</v>
      </c>
      <c r="D120" s="16">
        <v>1</v>
      </c>
      <c r="E120">
        <f>'III. WaTT Main'!G121</f>
        <v>0</v>
      </c>
    </row>
    <row r="121" spans="1:5">
      <c r="A121" s="3">
        <f>'III. WaTT Main'!A123</f>
        <v>0</v>
      </c>
      <c r="B121" s="3">
        <f>'III. WaTT Main'!A123</f>
        <v>0</v>
      </c>
      <c r="C121" s="3">
        <f>'III. WaTT Main'!B123</f>
        <v>0</v>
      </c>
      <c r="D121" s="16">
        <v>1</v>
      </c>
      <c r="E121">
        <f>'III. WaTT Main'!G122</f>
        <v>0</v>
      </c>
    </row>
    <row r="122" spans="1:5">
      <c r="A122" s="3">
        <f>'III. WaTT Main'!A124</f>
        <v>0</v>
      </c>
      <c r="B122" s="3">
        <f>'III. WaTT Main'!A124</f>
        <v>0</v>
      </c>
      <c r="C122" s="3">
        <f>'III. WaTT Main'!B124</f>
        <v>0</v>
      </c>
      <c r="D122" s="16">
        <v>1</v>
      </c>
      <c r="E122">
        <f>'III. WaTT Main'!G123</f>
        <v>0</v>
      </c>
    </row>
    <row r="123" spans="1:5">
      <c r="A123" s="3">
        <f>'III. WaTT Main'!A125</f>
        <v>0</v>
      </c>
      <c r="B123" s="3">
        <f>'III. WaTT Main'!A125</f>
        <v>0</v>
      </c>
      <c r="C123" s="3">
        <f>'III. WaTT Main'!B125</f>
        <v>0</v>
      </c>
      <c r="D123" s="16">
        <v>1</v>
      </c>
      <c r="E123">
        <f>'III. WaTT Main'!G124</f>
        <v>0</v>
      </c>
    </row>
    <row r="124" spans="1:5">
      <c r="A124" s="3">
        <f>'III. WaTT Main'!A126</f>
        <v>0</v>
      </c>
      <c r="B124" s="3">
        <f>'III. WaTT Main'!A126</f>
        <v>0</v>
      </c>
      <c r="C124" s="3">
        <f>'III. WaTT Main'!B126</f>
        <v>0</v>
      </c>
      <c r="D124" s="16">
        <v>1</v>
      </c>
      <c r="E124">
        <f>'III. WaTT Main'!G125</f>
        <v>0</v>
      </c>
    </row>
    <row r="125" spans="1:5">
      <c r="A125" s="3">
        <f>'III. WaTT Main'!A127</f>
        <v>0</v>
      </c>
      <c r="B125" s="3">
        <f>'III. WaTT Main'!A127</f>
        <v>0</v>
      </c>
      <c r="C125" s="3">
        <f>'III. WaTT Main'!B127</f>
        <v>0</v>
      </c>
      <c r="D125" s="16">
        <v>1</v>
      </c>
      <c r="E125">
        <f>'III. WaTT Main'!G126</f>
        <v>0</v>
      </c>
    </row>
    <row r="126" spans="1:5">
      <c r="A126" s="3">
        <f>'III. WaTT Main'!A128</f>
        <v>0</v>
      </c>
      <c r="B126" s="3">
        <f>'III. WaTT Main'!A128</f>
        <v>0</v>
      </c>
      <c r="C126" s="3">
        <f>'III. WaTT Main'!B128</f>
        <v>0</v>
      </c>
      <c r="D126" s="16">
        <v>1</v>
      </c>
      <c r="E126">
        <f>'III. WaTT Main'!G127</f>
        <v>0</v>
      </c>
    </row>
    <row r="127" spans="1:5">
      <c r="A127" s="3">
        <f>'III. WaTT Main'!A129</f>
        <v>0</v>
      </c>
      <c r="B127" s="3">
        <f>'III. WaTT Main'!A129</f>
        <v>0</v>
      </c>
      <c r="C127" s="3">
        <f>'III. WaTT Main'!B129</f>
        <v>0</v>
      </c>
      <c r="D127" s="16">
        <v>1</v>
      </c>
      <c r="E127">
        <f>'III. WaTT Main'!G128</f>
        <v>0</v>
      </c>
    </row>
    <row r="128" spans="1:5">
      <c r="A128" s="3">
        <f>'III. WaTT Main'!A130</f>
        <v>0</v>
      </c>
      <c r="B128" s="3">
        <f>'III. WaTT Main'!A130</f>
        <v>0</v>
      </c>
      <c r="C128" s="3">
        <f>'III. WaTT Main'!B130</f>
        <v>0</v>
      </c>
      <c r="D128" s="16">
        <v>1</v>
      </c>
      <c r="E128">
        <f>'III. WaTT Main'!G129</f>
        <v>0</v>
      </c>
    </row>
    <row r="129" spans="1:5">
      <c r="A129" s="3">
        <f>'III. WaTT Main'!A131</f>
        <v>0</v>
      </c>
      <c r="B129" s="3">
        <f>'III. WaTT Main'!A131</f>
        <v>0</v>
      </c>
      <c r="C129" s="3">
        <f>'III. WaTT Main'!B131</f>
        <v>0</v>
      </c>
      <c r="D129" s="16">
        <v>1</v>
      </c>
      <c r="E129">
        <f>'III. WaTT Main'!G130</f>
        <v>0</v>
      </c>
    </row>
    <row r="130" spans="1:5">
      <c r="A130" s="3">
        <f>'III. WaTT Main'!A132</f>
        <v>0</v>
      </c>
      <c r="B130" s="3">
        <f>'III. WaTT Main'!A132</f>
        <v>0</v>
      </c>
      <c r="C130" s="3">
        <f>'III. WaTT Main'!B132</f>
        <v>0</v>
      </c>
      <c r="D130" s="16">
        <v>1</v>
      </c>
      <c r="E130">
        <f>'III. WaTT Main'!G131</f>
        <v>0</v>
      </c>
    </row>
    <row r="131" spans="1:5">
      <c r="A131" s="3">
        <f>'III. WaTT Main'!A133</f>
        <v>0</v>
      </c>
      <c r="B131" s="3">
        <f>'III. WaTT Main'!A133</f>
        <v>0</v>
      </c>
      <c r="C131" s="3">
        <f>'III. WaTT Main'!B133</f>
        <v>0</v>
      </c>
      <c r="D131" s="16">
        <v>1</v>
      </c>
      <c r="E131">
        <f>'III. WaTT Main'!G132</f>
        <v>0</v>
      </c>
    </row>
    <row r="132" spans="1:5">
      <c r="A132" s="3">
        <f>'III. WaTT Main'!A134</f>
        <v>0</v>
      </c>
      <c r="B132" s="3">
        <f>'III. WaTT Main'!A134</f>
        <v>0</v>
      </c>
      <c r="C132" s="3">
        <f>'III. WaTT Main'!B134</f>
        <v>0</v>
      </c>
      <c r="D132" s="16">
        <v>1</v>
      </c>
      <c r="E132">
        <f>'III. WaTT Main'!G133</f>
        <v>0</v>
      </c>
    </row>
    <row r="133" spans="1:5">
      <c r="A133" s="3">
        <f>'III. WaTT Main'!A135</f>
        <v>0</v>
      </c>
      <c r="B133" s="3">
        <f>'III. WaTT Main'!A135</f>
        <v>0</v>
      </c>
      <c r="C133" s="3">
        <f>'III. WaTT Main'!B135</f>
        <v>0</v>
      </c>
      <c r="D133" s="16">
        <v>1</v>
      </c>
      <c r="E133">
        <f>'III. WaTT Main'!G134</f>
        <v>0</v>
      </c>
    </row>
    <row r="134" spans="1:5">
      <c r="A134" s="3">
        <f>'III. WaTT Main'!A136</f>
        <v>0</v>
      </c>
      <c r="B134" s="3">
        <f>'III. WaTT Main'!A136</f>
        <v>0</v>
      </c>
      <c r="C134" s="3">
        <f>'III. WaTT Main'!B136</f>
        <v>0</v>
      </c>
      <c r="D134" s="16">
        <v>1</v>
      </c>
      <c r="E134">
        <f>'III. WaTT Main'!G135</f>
        <v>0</v>
      </c>
    </row>
    <row r="135" spans="1:5">
      <c r="A135" s="3">
        <f>'III. WaTT Main'!A137</f>
        <v>0</v>
      </c>
      <c r="B135" s="3">
        <f>'III. WaTT Main'!A137</f>
        <v>0</v>
      </c>
      <c r="C135" s="3">
        <f>'III. WaTT Main'!B137</f>
        <v>0</v>
      </c>
      <c r="D135" s="16">
        <v>1</v>
      </c>
      <c r="E135">
        <f>'III. WaTT Main'!G136</f>
        <v>0</v>
      </c>
    </row>
    <row r="136" spans="1:5">
      <c r="A136" s="3">
        <f>'III. WaTT Main'!A138</f>
        <v>0</v>
      </c>
      <c r="B136" s="3">
        <f>'III. WaTT Main'!A138</f>
        <v>0</v>
      </c>
      <c r="C136" s="3">
        <f>'III. WaTT Main'!B138</f>
        <v>0</v>
      </c>
      <c r="D136" s="16">
        <v>1</v>
      </c>
      <c r="E136">
        <f>'III. WaTT Main'!G137</f>
        <v>0</v>
      </c>
    </row>
    <row r="137" spans="1:5">
      <c r="A137" s="3">
        <f>'III. WaTT Main'!A139</f>
        <v>0</v>
      </c>
      <c r="B137" s="3">
        <f>'III. WaTT Main'!A139</f>
        <v>0</v>
      </c>
      <c r="C137" s="3">
        <f>'III. WaTT Main'!B139</f>
        <v>0</v>
      </c>
      <c r="D137" s="16">
        <v>1</v>
      </c>
      <c r="E137">
        <f>'III. WaTT Main'!G138</f>
        <v>0</v>
      </c>
    </row>
    <row r="138" spans="1:5">
      <c r="A138" s="3">
        <f>'III. WaTT Main'!A140</f>
        <v>0</v>
      </c>
      <c r="B138" s="3">
        <f>'III. WaTT Main'!A140</f>
        <v>0</v>
      </c>
      <c r="C138" s="3">
        <f>'III. WaTT Main'!B140</f>
        <v>0</v>
      </c>
      <c r="D138" s="16">
        <v>1</v>
      </c>
      <c r="E138">
        <f>'III. WaTT Main'!G139</f>
        <v>0</v>
      </c>
    </row>
    <row r="139" spans="1:5">
      <c r="A139" s="3">
        <f>'III. WaTT Main'!A141</f>
        <v>0</v>
      </c>
      <c r="B139" s="3">
        <f>'III. WaTT Main'!A141</f>
        <v>0</v>
      </c>
      <c r="C139" s="3">
        <f>'III. WaTT Main'!B141</f>
        <v>0</v>
      </c>
      <c r="D139" s="16">
        <v>1</v>
      </c>
      <c r="E139">
        <f>'III. WaTT Main'!G140</f>
        <v>0</v>
      </c>
    </row>
    <row r="140" spans="1:5">
      <c r="A140" s="3">
        <f>'III. WaTT Main'!A142</f>
        <v>0</v>
      </c>
      <c r="B140" s="3">
        <f>'III. WaTT Main'!A142</f>
        <v>0</v>
      </c>
      <c r="C140" s="3">
        <f>'III. WaTT Main'!B142</f>
        <v>0</v>
      </c>
      <c r="D140" s="16">
        <v>1</v>
      </c>
      <c r="E140">
        <f>'III. WaTT Main'!G141</f>
        <v>0</v>
      </c>
    </row>
    <row r="141" spans="1:5">
      <c r="A141" s="3">
        <f>'III. WaTT Main'!A143</f>
        <v>0</v>
      </c>
      <c r="B141" s="3">
        <f>'III. WaTT Main'!A143</f>
        <v>0</v>
      </c>
      <c r="C141" s="3">
        <f>'III. WaTT Main'!B143</f>
        <v>0</v>
      </c>
      <c r="D141" s="16">
        <v>1</v>
      </c>
      <c r="E141">
        <f>'III. WaTT Main'!G142</f>
        <v>0</v>
      </c>
    </row>
    <row r="142" spans="1:5">
      <c r="A142" s="3">
        <f>'III. WaTT Main'!A144</f>
        <v>0</v>
      </c>
      <c r="B142" s="3">
        <f>'III. WaTT Main'!A144</f>
        <v>0</v>
      </c>
      <c r="C142" s="3">
        <f>'III. WaTT Main'!B144</f>
        <v>0</v>
      </c>
      <c r="D142" s="16">
        <v>1</v>
      </c>
      <c r="E142">
        <f>'III. WaTT Main'!G143</f>
        <v>0</v>
      </c>
    </row>
    <row r="143" spans="1:5">
      <c r="A143" s="3">
        <f>'III. WaTT Main'!A145</f>
        <v>0</v>
      </c>
      <c r="B143" s="3">
        <f>'III. WaTT Main'!A145</f>
        <v>0</v>
      </c>
      <c r="C143" s="3">
        <f>'III. WaTT Main'!B145</f>
        <v>0</v>
      </c>
      <c r="D143" s="16">
        <v>1</v>
      </c>
      <c r="E143">
        <f>'III. WaTT Main'!G144</f>
        <v>0</v>
      </c>
    </row>
    <row r="144" spans="1:5">
      <c r="A144" s="3">
        <f>'III. WaTT Main'!A146</f>
        <v>0</v>
      </c>
      <c r="B144" s="3">
        <f>'III. WaTT Main'!A146</f>
        <v>0</v>
      </c>
      <c r="C144" s="3">
        <f>'III. WaTT Main'!B146</f>
        <v>0</v>
      </c>
      <c r="D144" s="16">
        <v>1</v>
      </c>
      <c r="E144">
        <f>'III. WaTT Main'!G145</f>
        <v>0</v>
      </c>
    </row>
    <row r="145" spans="1:5">
      <c r="A145" s="3">
        <f>'III. WaTT Main'!A147</f>
        <v>0</v>
      </c>
      <c r="B145" s="3">
        <f>'III. WaTT Main'!A147</f>
        <v>0</v>
      </c>
      <c r="C145" s="3">
        <f>'III. WaTT Main'!B147</f>
        <v>0</v>
      </c>
      <c r="D145" s="16">
        <v>1</v>
      </c>
      <c r="E145">
        <f>'III. WaTT Main'!G146</f>
        <v>0</v>
      </c>
    </row>
    <row r="146" spans="1:5">
      <c r="A146" s="3">
        <f>'III. WaTT Main'!A148</f>
        <v>0</v>
      </c>
      <c r="B146" s="3">
        <f>'III. WaTT Main'!A148</f>
        <v>0</v>
      </c>
      <c r="C146" s="3">
        <f>'III. WaTT Main'!B148</f>
        <v>0</v>
      </c>
      <c r="D146" s="16">
        <v>1</v>
      </c>
      <c r="E146">
        <f>'III. WaTT Main'!G147</f>
        <v>0</v>
      </c>
    </row>
    <row r="147" spans="1:5">
      <c r="A147" s="3">
        <f>'III. WaTT Main'!A149</f>
        <v>0</v>
      </c>
      <c r="B147" s="3">
        <f>'III. WaTT Main'!A149</f>
        <v>0</v>
      </c>
      <c r="C147" s="3">
        <f>'III. WaTT Main'!B149</f>
        <v>0</v>
      </c>
      <c r="D147" s="16">
        <v>1</v>
      </c>
      <c r="E147">
        <f>'III. WaTT Main'!G148</f>
        <v>0</v>
      </c>
    </row>
    <row r="148" spans="1:5">
      <c r="A148" s="3">
        <f>'III. WaTT Main'!A150</f>
        <v>0</v>
      </c>
      <c r="B148" s="3">
        <f>'III. WaTT Main'!A150</f>
        <v>0</v>
      </c>
      <c r="C148" s="3">
        <f>'III. WaTT Main'!B150</f>
        <v>0</v>
      </c>
      <c r="D148" s="16">
        <v>1</v>
      </c>
      <c r="E148">
        <f>'III. WaTT Main'!G149</f>
        <v>0</v>
      </c>
    </row>
    <row r="149" spans="1:5">
      <c r="A149" s="3">
        <f>'III. WaTT Main'!A151</f>
        <v>0</v>
      </c>
      <c r="B149" s="3">
        <f>'III. WaTT Main'!A151</f>
        <v>0</v>
      </c>
      <c r="C149" s="3">
        <f>'III. WaTT Main'!B151</f>
        <v>0</v>
      </c>
      <c r="D149" s="16">
        <v>1</v>
      </c>
      <c r="E149">
        <f>'III. WaTT Main'!G150</f>
        <v>0</v>
      </c>
    </row>
    <row r="150" spans="1:5">
      <c r="A150" s="3">
        <f>'III. WaTT Main'!A152</f>
        <v>0</v>
      </c>
      <c r="B150" s="3">
        <f>'III. WaTT Main'!A152</f>
        <v>0</v>
      </c>
      <c r="C150" s="3">
        <f>'III. WaTT Main'!B152</f>
        <v>0</v>
      </c>
      <c r="D150" s="16">
        <v>1</v>
      </c>
      <c r="E150">
        <f>'III. WaTT Main'!G151</f>
        <v>0</v>
      </c>
    </row>
    <row r="151" spans="1:5">
      <c r="A151" s="3">
        <f>'III. WaTT Main'!A153</f>
        <v>0</v>
      </c>
      <c r="B151" s="3">
        <f>'III. WaTT Main'!A153</f>
        <v>0</v>
      </c>
      <c r="C151" s="3">
        <f>'III. WaTT Main'!B153</f>
        <v>0</v>
      </c>
      <c r="D151" s="16">
        <v>1</v>
      </c>
      <c r="E151">
        <f>'III. WaTT Main'!G152</f>
        <v>0</v>
      </c>
    </row>
    <row r="152" spans="1:5">
      <c r="A152" s="3">
        <f>'III. WaTT Main'!A154</f>
        <v>0</v>
      </c>
      <c r="B152" s="3">
        <f>'III. WaTT Main'!A154</f>
        <v>0</v>
      </c>
      <c r="C152" s="3">
        <f>'III. WaTT Main'!B154</f>
        <v>0</v>
      </c>
      <c r="D152" s="16">
        <v>1</v>
      </c>
      <c r="E152">
        <f>'III. WaTT Main'!G153</f>
        <v>0</v>
      </c>
    </row>
    <row r="153" spans="1:5">
      <c r="A153" s="3">
        <f>'III. WaTT Main'!A155</f>
        <v>0</v>
      </c>
      <c r="B153" s="3">
        <f>'III. WaTT Main'!A155</f>
        <v>0</v>
      </c>
      <c r="C153" s="3">
        <f>'III. WaTT Main'!B155</f>
        <v>0</v>
      </c>
      <c r="D153" s="16">
        <v>1</v>
      </c>
      <c r="E153">
        <f>'III. WaTT Main'!G154</f>
        <v>0</v>
      </c>
    </row>
    <row r="154" spans="1:5">
      <c r="A154" s="3">
        <f>'III. WaTT Main'!A156</f>
        <v>0</v>
      </c>
      <c r="B154" s="3">
        <f>'III. WaTT Main'!A156</f>
        <v>0</v>
      </c>
      <c r="C154" s="3">
        <f>'III. WaTT Main'!B156</f>
        <v>0</v>
      </c>
      <c r="D154" s="16">
        <v>1</v>
      </c>
      <c r="E154">
        <f>'III. WaTT Main'!G155</f>
        <v>0</v>
      </c>
    </row>
    <row r="155" spans="1:5">
      <c r="A155" s="3">
        <f>'III. WaTT Main'!A157</f>
        <v>0</v>
      </c>
      <c r="B155" s="3">
        <f>'III. WaTT Main'!A157</f>
        <v>0</v>
      </c>
      <c r="C155" s="3">
        <f>'III. WaTT Main'!B157</f>
        <v>0</v>
      </c>
      <c r="D155" s="16">
        <v>1</v>
      </c>
      <c r="E155">
        <f>'III. WaTT Main'!G156</f>
        <v>0</v>
      </c>
    </row>
    <row r="156" spans="1:5">
      <c r="A156" s="3">
        <f>'III. WaTT Main'!A158</f>
        <v>0</v>
      </c>
      <c r="B156" s="3">
        <f>'III. WaTT Main'!A158</f>
        <v>0</v>
      </c>
      <c r="C156" s="3">
        <f>'III. WaTT Main'!B158</f>
        <v>0</v>
      </c>
      <c r="D156" s="16">
        <v>1</v>
      </c>
      <c r="E156">
        <f>'III. WaTT Main'!G157</f>
        <v>0</v>
      </c>
    </row>
    <row r="157" spans="1:5">
      <c r="A157" s="3">
        <f>'III. WaTT Main'!A159</f>
        <v>0</v>
      </c>
      <c r="B157" s="3">
        <f>'III. WaTT Main'!A159</f>
        <v>0</v>
      </c>
      <c r="C157" s="3">
        <f>'III. WaTT Main'!B159</f>
        <v>0</v>
      </c>
      <c r="D157" s="16">
        <v>1</v>
      </c>
      <c r="E157">
        <f>'III. WaTT Main'!G158</f>
        <v>0</v>
      </c>
    </row>
    <row r="158" spans="1:5">
      <c r="A158" s="3">
        <f>'III. WaTT Main'!A160</f>
        <v>0</v>
      </c>
      <c r="B158" s="3">
        <f>'III. WaTT Main'!A160</f>
        <v>0</v>
      </c>
      <c r="C158" s="3">
        <f>'III. WaTT Main'!B160</f>
        <v>0</v>
      </c>
      <c r="D158" s="16">
        <v>1</v>
      </c>
      <c r="E158">
        <f>'III. WaTT Main'!G159</f>
        <v>0</v>
      </c>
    </row>
    <row r="159" spans="1:5">
      <c r="A159" s="3">
        <f>'III. WaTT Main'!A161</f>
        <v>0</v>
      </c>
      <c r="B159" s="3">
        <f>'III. WaTT Main'!A161</f>
        <v>0</v>
      </c>
      <c r="C159" s="3">
        <f>'III. WaTT Main'!B161</f>
        <v>0</v>
      </c>
      <c r="D159" s="16">
        <v>1</v>
      </c>
      <c r="E159">
        <f>'III. WaTT Main'!G160</f>
        <v>0</v>
      </c>
    </row>
    <row r="160" spans="1:5">
      <c r="A160" s="3">
        <f>'III. WaTT Main'!A162</f>
        <v>0</v>
      </c>
      <c r="B160" s="3">
        <f>'III. WaTT Main'!A162</f>
        <v>0</v>
      </c>
      <c r="C160" s="3">
        <f>'III. WaTT Main'!B162</f>
        <v>0</v>
      </c>
      <c r="D160" s="16">
        <v>1</v>
      </c>
      <c r="E160">
        <f>'III. WaTT Main'!G161</f>
        <v>0</v>
      </c>
    </row>
    <row r="161" spans="1:5">
      <c r="A161" s="3">
        <f>'III. WaTT Main'!A163</f>
        <v>0</v>
      </c>
      <c r="B161" s="3">
        <f>'III. WaTT Main'!A163</f>
        <v>0</v>
      </c>
      <c r="C161" s="3">
        <f>'III. WaTT Main'!B163</f>
        <v>0</v>
      </c>
      <c r="D161" s="16">
        <v>1</v>
      </c>
      <c r="E161">
        <f>'III. WaTT Main'!G162</f>
        <v>0</v>
      </c>
    </row>
    <row r="162" spans="1:5">
      <c r="A162" s="3">
        <f>'III. WaTT Main'!A164</f>
        <v>0</v>
      </c>
      <c r="B162" s="3">
        <f>'III. WaTT Main'!A164</f>
        <v>0</v>
      </c>
      <c r="C162" s="3">
        <f>'III. WaTT Main'!B164</f>
        <v>0</v>
      </c>
      <c r="D162" s="16">
        <v>1</v>
      </c>
      <c r="E162">
        <f>'III. WaTT Main'!G163</f>
        <v>0</v>
      </c>
    </row>
    <row r="163" spans="1:5">
      <c r="A163" s="3">
        <f>'III. WaTT Main'!A165</f>
        <v>0</v>
      </c>
      <c r="B163" s="3">
        <f>'III. WaTT Main'!A165</f>
        <v>0</v>
      </c>
      <c r="C163" s="3">
        <f>'III. WaTT Main'!B165</f>
        <v>0</v>
      </c>
      <c r="D163" s="16">
        <v>1</v>
      </c>
      <c r="E163">
        <f>'III. WaTT Main'!G164</f>
        <v>0</v>
      </c>
    </row>
    <row r="164" spans="1:5">
      <c r="A164" s="3">
        <f>'III. WaTT Main'!A166</f>
        <v>0</v>
      </c>
      <c r="B164" s="3">
        <f>'III. WaTT Main'!A166</f>
        <v>0</v>
      </c>
      <c r="C164" s="3">
        <f>'III. WaTT Main'!B166</f>
        <v>0</v>
      </c>
      <c r="D164" s="16">
        <v>1</v>
      </c>
      <c r="E164">
        <f>'III. WaTT Main'!G165</f>
        <v>0</v>
      </c>
    </row>
    <row r="165" spans="1:5">
      <c r="A165" s="3">
        <f>'III. WaTT Main'!A167</f>
        <v>0</v>
      </c>
      <c r="B165" s="3">
        <f>'III. WaTT Main'!A167</f>
        <v>0</v>
      </c>
      <c r="C165" s="3">
        <f>'III. WaTT Main'!B167</f>
        <v>0</v>
      </c>
      <c r="D165" s="16">
        <v>1</v>
      </c>
      <c r="E165">
        <f>'III. WaTT Main'!G166</f>
        <v>0</v>
      </c>
    </row>
    <row r="166" spans="1:5">
      <c r="A166" s="3">
        <f>'III. WaTT Main'!A168</f>
        <v>0</v>
      </c>
      <c r="B166" s="3">
        <f>'III. WaTT Main'!A168</f>
        <v>0</v>
      </c>
      <c r="C166" s="3">
        <f>'III. WaTT Main'!B168</f>
        <v>0</v>
      </c>
      <c r="D166" s="16">
        <v>1</v>
      </c>
      <c r="E166">
        <f>'III. WaTT Main'!G167</f>
        <v>0</v>
      </c>
    </row>
    <row r="167" spans="1:5">
      <c r="A167" s="3">
        <f>'III. WaTT Main'!A169</f>
        <v>0</v>
      </c>
      <c r="B167" s="3">
        <f>'III. WaTT Main'!A169</f>
        <v>0</v>
      </c>
      <c r="C167" s="3">
        <f>'III. WaTT Main'!B169</f>
        <v>0</v>
      </c>
      <c r="D167" s="16">
        <v>1</v>
      </c>
      <c r="E167">
        <f>'III. WaTT Main'!G168</f>
        <v>0</v>
      </c>
    </row>
    <row r="168" spans="1:5">
      <c r="A168" s="3">
        <f>'III. WaTT Main'!A170</f>
        <v>0</v>
      </c>
      <c r="B168" s="3">
        <f>'III. WaTT Main'!A170</f>
        <v>0</v>
      </c>
      <c r="C168" s="3">
        <f>'III. WaTT Main'!B170</f>
        <v>0</v>
      </c>
      <c r="D168" s="16">
        <v>1</v>
      </c>
      <c r="E168">
        <f>'III. WaTT Main'!G169</f>
        <v>0</v>
      </c>
    </row>
    <row r="169" spans="1:5">
      <c r="A169" s="3">
        <f>'III. WaTT Main'!A171</f>
        <v>0</v>
      </c>
      <c r="B169" s="3">
        <f>'III. WaTT Main'!A171</f>
        <v>0</v>
      </c>
      <c r="C169" s="3">
        <f>'III. WaTT Main'!B171</f>
        <v>0</v>
      </c>
      <c r="D169" s="16">
        <v>1</v>
      </c>
      <c r="E169">
        <f>'III. WaTT Main'!G170</f>
        <v>0</v>
      </c>
    </row>
    <row r="170" spans="1:5">
      <c r="A170" s="3">
        <f>'III. WaTT Main'!A172</f>
        <v>0</v>
      </c>
      <c r="B170" s="3">
        <f>'III. WaTT Main'!A172</f>
        <v>0</v>
      </c>
      <c r="C170" s="3">
        <f>'III. WaTT Main'!B172</f>
        <v>0</v>
      </c>
      <c r="D170" s="16">
        <v>1</v>
      </c>
      <c r="E170">
        <f>'III. WaTT Main'!G171</f>
        <v>0</v>
      </c>
    </row>
    <row r="171" spans="1:5">
      <c r="A171" s="3">
        <f>'III. WaTT Main'!A173</f>
        <v>0</v>
      </c>
      <c r="B171" s="3">
        <f>'III. WaTT Main'!A173</f>
        <v>0</v>
      </c>
      <c r="C171" s="3">
        <f>'III. WaTT Main'!B173</f>
        <v>0</v>
      </c>
      <c r="D171" s="16">
        <v>1</v>
      </c>
      <c r="E171">
        <f>'III. WaTT Main'!G172</f>
        <v>0</v>
      </c>
    </row>
    <row r="172" spans="1:5">
      <c r="A172" s="3">
        <f>'III. WaTT Main'!A174</f>
        <v>0</v>
      </c>
      <c r="B172" s="3">
        <f>'III. WaTT Main'!A174</f>
        <v>0</v>
      </c>
      <c r="C172" s="3">
        <f>'III. WaTT Main'!B174</f>
        <v>0</v>
      </c>
      <c r="D172" s="16">
        <v>1</v>
      </c>
      <c r="E172">
        <f>'III. WaTT Main'!G173</f>
        <v>0</v>
      </c>
    </row>
    <row r="173" spans="1:5">
      <c r="A173" s="3">
        <f>'III. WaTT Main'!A175</f>
        <v>0</v>
      </c>
      <c r="B173" s="3">
        <f>'III. WaTT Main'!A175</f>
        <v>0</v>
      </c>
      <c r="C173" s="3">
        <f>'III. WaTT Main'!B175</f>
        <v>0</v>
      </c>
      <c r="D173" s="16">
        <v>1</v>
      </c>
      <c r="E173">
        <f>'III. WaTT Main'!G174</f>
        <v>0</v>
      </c>
    </row>
    <row r="174" spans="1:5">
      <c r="A174" s="3">
        <f>'III. WaTT Main'!A176</f>
        <v>0</v>
      </c>
      <c r="B174" s="3">
        <f>'III. WaTT Main'!A176</f>
        <v>0</v>
      </c>
      <c r="C174" s="3">
        <f>'III. WaTT Main'!B176</f>
        <v>0</v>
      </c>
      <c r="D174" s="16">
        <v>1</v>
      </c>
      <c r="E174">
        <f>'III. WaTT Main'!G175</f>
        <v>0</v>
      </c>
    </row>
    <row r="175" spans="1:5">
      <c r="A175" s="3">
        <f>'III. WaTT Main'!A177</f>
        <v>0</v>
      </c>
      <c r="B175" s="3">
        <f>'III. WaTT Main'!A177</f>
        <v>0</v>
      </c>
      <c r="C175" s="3">
        <f>'III. WaTT Main'!B177</f>
        <v>0</v>
      </c>
      <c r="D175" s="16">
        <v>1</v>
      </c>
      <c r="E175">
        <f>'III. WaTT Main'!G176</f>
        <v>0</v>
      </c>
    </row>
    <row r="176" spans="1:5">
      <c r="A176" s="3">
        <f>'III. WaTT Main'!A178</f>
        <v>0</v>
      </c>
      <c r="B176" s="3">
        <f>'III. WaTT Main'!A178</f>
        <v>0</v>
      </c>
      <c r="C176" s="3">
        <f>'III. WaTT Main'!B178</f>
        <v>0</v>
      </c>
      <c r="D176" s="16">
        <v>1</v>
      </c>
      <c r="E176">
        <f>'III. WaTT Main'!G177</f>
        <v>0</v>
      </c>
    </row>
    <row r="177" spans="1:5">
      <c r="A177" s="3">
        <f>'III. WaTT Main'!A179</f>
        <v>0</v>
      </c>
      <c r="B177" s="3">
        <f>'III. WaTT Main'!A179</f>
        <v>0</v>
      </c>
      <c r="C177" s="3">
        <f>'III. WaTT Main'!B179</f>
        <v>0</v>
      </c>
      <c r="D177" s="16">
        <v>1</v>
      </c>
      <c r="E177">
        <f>'III. WaTT Main'!G178</f>
        <v>0</v>
      </c>
    </row>
    <row r="178" spans="1:5">
      <c r="A178" s="3">
        <f>'III. WaTT Main'!A180</f>
        <v>0</v>
      </c>
      <c r="B178" s="3">
        <f>'III. WaTT Main'!A180</f>
        <v>0</v>
      </c>
      <c r="C178" s="3">
        <f>'III. WaTT Main'!B180</f>
        <v>0</v>
      </c>
      <c r="D178" s="16">
        <v>1</v>
      </c>
      <c r="E178">
        <f>'III. WaTT Main'!G179</f>
        <v>0</v>
      </c>
    </row>
    <row r="179" spans="1:5">
      <c r="A179" s="3">
        <f>'III. WaTT Main'!A181</f>
        <v>0</v>
      </c>
      <c r="B179" s="3">
        <f>'III. WaTT Main'!A181</f>
        <v>0</v>
      </c>
      <c r="C179" s="3">
        <f>'III. WaTT Main'!B181</f>
        <v>0</v>
      </c>
      <c r="D179" s="16">
        <v>1</v>
      </c>
      <c r="E179">
        <f>'III. WaTT Main'!G180</f>
        <v>0</v>
      </c>
    </row>
    <row r="180" spans="1:5">
      <c r="A180" s="3">
        <f>'III. WaTT Main'!A182</f>
        <v>0</v>
      </c>
      <c r="B180" s="3">
        <f>'III. WaTT Main'!A182</f>
        <v>0</v>
      </c>
      <c r="C180" s="3">
        <f>'III. WaTT Main'!B182</f>
        <v>0</v>
      </c>
      <c r="D180" s="16">
        <v>1</v>
      </c>
      <c r="E180">
        <f>'III. WaTT Main'!G181</f>
        <v>0</v>
      </c>
    </row>
    <row r="181" spans="1:5">
      <c r="A181" s="3">
        <f>'III. WaTT Main'!A183</f>
        <v>0</v>
      </c>
      <c r="B181" s="3">
        <f>'III. WaTT Main'!A183</f>
        <v>0</v>
      </c>
      <c r="C181" s="3">
        <f>'III. WaTT Main'!B183</f>
        <v>0</v>
      </c>
      <c r="D181" s="16">
        <v>1</v>
      </c>
      <c r="E181">
        <f>'III. WaTT Main'!G182</f>
        <v>0</v>
      </c>
    </row>
    <row r="182" spans="1:5">
      <c r="A182" s="3">
        <f>'III. WaTT Main'!A184</f>
        <v>0</v>
      </c>
      <c r="B182" s="3">
        <f>'III. WaTT Main'!A184</f>
        <v>0</v>
      </c>
      <c r="C182" s="3">
        <f>'III. WaTT Main'!B184</f>
        <v>0</v>
      </c>
      <c r="D182" s="16">
        <v>1</v>
      </c>
      <c r="E182">
        <f>'III. WaTT Main'!G183</f>
        <v>0</v>
      </c>
    </row>
    <row r="183" spans="1:5">
      <c r="A183" s="3">
        <f>'III. WaTT Main'!A185</f>
        <v>0</v>
      </c>
      <c r="B183" s="3">
        <f>'III. WaTT Main'!A185</f>
        <v>0</v>
      </c>
      <c r="C183" s="3">
        <f>'III. WaTT Main'!B185</f>
        <v>0</v>
      </c>
      <c r="D183" s="16">
        <v>1</v>
      </c>
      <c r="E183">
        <f>'III. WaTT Main'!G184</f>
        <v>0</v>
      </c>
    </row>
    <row r="184" spans="1:5">
      <c r="A184" s="3">
        <f>'III. WaTT Main'!A186</f>
        <v>0</v>
      </c>
      <c r="B184" s="3">
        <f>'III. WaTT Main'!A186</f>
        <v>0</v>
      </c>
      <c r="C184" s="3">
        <f>'III. WaTT Main'!B186</f>
        <v>0</v>
      </c>
      <c r="D184" s="16">
        <v>1</v>
      </c>
      <c r="E184">
        <f>'III. WaTT Main'!G185</f>
        <v>0</v>
      </c>
    </row>
    <row r="185" spans="1:5">
      <c r="A185" s="3">
        <f>'III. WaTT Main'!A187</f>
        <v>0</v>
      </c>
      <c r="B185" s="3">
        <f>'III. WaTT Main'!A187</f>
        <v>0</v>
      </c>
      <c r="C185" s="3">
        <f>'III. WaTT Main'!B187</f>
        <v>0</v>
      </c>
      <c r="D185" s="16">
        <v>1</v>
      </c>
      <c r="E185">
        <f>'III. WaTT Main'!G186</f>
        <v>0</v>
      </c>
    </row>
    <row r="186" spans="1:5">
      <c r="A186" s="3">
        <f>'III. WaTT Main'!A188</f>
        <v>0</v>
      </c>
      <c r="B186" s="3">
        <f>'III. WaTT Main'!A188</f>
        <v>0</v>
      </c>
      <c r="C186" s="3">
        <f>'III. WaTT Main'!B188</f>
        <v>0</v>
      </c>
      <c r="D186" s="16">
        <v>1</v>
      </c>
      <c r="E186">
        <f>'III. WaTT Main'!G187</f>
        <v>0</v>
      </c>
    </row>
    <row r="187" spans="1:5">
      <c r="A187" s="3">
        <f>'III. WaTT Main'!A189</f>
        <v>0</v>
      </c>
      <c r="B187" s="3">
        <f>'III. WaTT Main'!A189</f>
        <v>0</v>
      </c>
      <c r="C187" s="3">
        <f>'III. WaTT Main'!B189</f>
        <v>0</v>
      </c>
      <c r="D187" s="16">
        <v>1</v>
      </c>
      <c r="E187">
        <f>'III. WaTT Main'!G188</f>
        <v>0</v>
      </c>
    </row>
    <row r="188" spans="1:5">
      <c r="A188" s="3">
        <f>'III. WaTT Main'!A190</f>
        <v>0</v>
      </c>
      <c r="B188" s="3">
        <f>'III. WaTT Main'!A190</f>
        <v>0</v>
      </c>
      <c r="C188" s="3">
        <f>'III. WaTT Main'!B190</f>
        <v>0</v>
      </c>
      <c r="D188" s="16">
        <v>1</v>
      </c>
      <c r="E188">
        <f>'III. WaTT Main'!G189</f>
        <v>0</v>
      </c>
    </row>
    <row r="189" spans="1:5">
      <c r="A189" s="3">
        <f>'III. WaTT Main'!A191</f>
        <v>0</v>
      </c>
      <c r="B189" s="3">
        <f>'III. WaTT Main'!A191</f>
        <v>0</v>
      </c>
      <c r="C189" s="3">
        <f>'III. WaTT Main'!B191</f>
        <v>0</v>
      </c>
      <c r="D189" s="16">
        <v>1</v>
      </c>
      <c r="E189">
        <f>'III. WaTT Main'!G190</f>
        <v>0</v>
      </c>
    </row>
    <row r="190" spans="1:5">
      <c r="A190" s="3">
        <f>'III. WaTT Main'!A192</f>
        <v>0</v>
      </c>
      <c r="B190" s="3">
        <f>'III. WaTT Main'!A192</f>
        <v>0</v>
      </c>
      <c r="C190" s="3">
        <f>'III. WaTT Main'!B192</f>
        <v>0</v>
      </c>
      <c r="D190" s="16">
        <v>1</v>
      </c>
      <c r="E190">
        <f>'III. WaTT Main'!G191</f>
        <v>0</v>
      </c>
    </row>
    <row r="191" spans="1:5">
      <c r="A191" s="3">
        <f>'III. WaTT Main'!A193</f>
        <v>0</v>
      </c>
      <c r="B191" s="3">
        <f>'III. WaTT Main'!A193</f>
        <v>0</v>
      </c>
      <c r="C191" s="3">
        <f>'III. WaTT Main'!B193</f>
        <v>0</v>
      </c>
      <c r="D191" s="16">
        <v>1</v>
      </c>
      <c r="E191">
        <f>'III. WaTT Main'!G192</f>
        <v>0</v>
      </c>
    </row>
    <row r="192" spans="1:5">
      <c r="A192" s="3">
        <f>'III. WaTT Main'!A194</f>
        <v>0</v>
      </c>
      <c r="B192" s="3">
        <f>'III. WaTT Main'!A194</f>
        <v>0</v>
      </c>
      <c r="C192" s="3">
        <f>'III. WaTT Main'!B194</f>
        <v>0</v>
      </c>
      <c r="D192" s="16">
        <v>1</v>
      </c>
      <c r="E192">
        <f>'III. WaTT Main'!G193</f>
        <v>0</v>
      </c>
    </row>
    <row r="193" spans="1:5">
      <c r="A193" s="3">
        <f>'III. WaTT Main'!A195</f>
        <v>0</v>
      </c>
      <c r="B193" s="3">
        <f>'III. WaTT Main'!A195</f>
        <v>0</v>
      </c>
      <c r="C193" s="3">
        <f>'III. WaTT Main'!B195</f>
        <v>0</v>
      </c>
      <c r="D193" s="16">
        <v>1</v>
      </c>
      <c r="E193">
        <f>'III. WaTT Main'!G194</f>
        <v>0</v>
      </c>
    </row>
    <row r="194" spans="1:5">
      <c r="A194" s="3">
        <f>'III. WaTT Main'!A196</f>
        <v>0</v>
      </c>
      <c r="B194" s="3">
        <f>'III. WaTT Main'!A196</f>
        <v>0</v>
      </c>
      <c r="C194" s="3">
        <f>'III. WaTT Main'!B196</f>
        <v>0</v>
      </c>
      <c r="D194" s="16">
        <v>1</v>
      </c>
      <c r="E194">
        <f>'III. WaTT Main'!G195</f>
        <v>0</v>
      </c>
    </row>
    <row r="195" spans="1:5">
      <c r="A195" s="3">
        <f>'III. WaTT Main'!A197</f>
        <v>0</v>
      </c>
      <c r="B195" s="3">
        <f>'III. WaTT Main'!A197</f>
        <v>0</v>
      </c>
      <c r="C195" s="3">
        <f>'III. WaTT Main'!B197</f>
        <v>0</v>
      </c>
      <c r="D195" s="16">
        <v>1</v>
      </c>
      <c r="E195">
        <f>'III. WaTT Main'!G196</f>
        <v>0</v>
      </c>
    </row>
    <row r="196" spans="1:5">
      <c r="A196" s="3">
        <f>'III. WaTT Main'!A198</f>
        <v>0</v>
      </c>
      <c r="B196" s="3">
        <f>'III. WaTT Main'!A198</f>
        <v>0</v>
      </c>
      <c r="C196" s="3">
        <f>'III. WaTT Main'!B198</f>
        <v>0</v>
      </c>
      <c r="D196" s="16">
        <v>1</v>
      </c>
      <c r="E196">
        <f>'III. WaTT Main'!G197</f>
        <v>0</v>
      </c>
    </row>
    <row r="197" spans="1:5">
      <c r="A197" s="3">
        <f>'III. WaTT Main'!A199</f>
        <v>0</v>
      </c>
      <c r="B197" s="3">
        <f>'III. WaTT Main'!A199</f>
        <v>0</v>
      </c>
      <c r="C197" s="3">
        <f>'III. WaTT Main'!B199</f>
        <v>0</v>
      </c>
      <c r="D197" s="16">
        <v>1</v>
      </c>
      <c r="E197">
        <f>'III. WaTT Main'!G198</f>
        <v>0</v>
      </c>
    </row>
    <row r="198" spans="1:5">
      <c r="A198" s="3">
        <f>'III. WaTT Main'!A200</f>
        <v>0</v>
      </c>
      <c r="B198" s="3">
        <f>'III. WaTT Main'!A200</f>
        <v>0</v>
      </c>
      <c r="C198" s="3">
        <f>'III. WaTT Main'!B200</f>
        <v>0</v>
      </c>
      <c r="D198" s="16">
        <v>1</v>
      </c>
      <c r="E198">
        <f>'III. WaTT Main'!G199</f>
        <v>0</v>
      </c>
    </row>
    <row r="199" spans="1:5">
      <c r="A199" s="3">
        <f>'III. WaTT Main'!A201</f>
        <v>0</v>
      </c>
      <c r="B199" s="3">
        <f>'III. WaTT Main'!A201</f>
        <v>0</v>
      </c>
      <c r="C199" s="3">
        <f>'III. WaTT Main'!B201</f>
        <v>0</v>
      </c>
      <c r="D199" s="16">
        <v>1</v>
      </c>
      <c r="E199">
        <f>'III. WaTT Main'!G200</f>
        <v>0</v>
      </c>
    </row>
    <row r="200" spans="1:5">
      <c r="A200" s="3">
        <f>'III. WaTT Main'!A202</f>
        <v>0</v>
      </c>
      <c r="B200" s="3">
        <f>'III. WaTT Main'!A202</f>
        <v>0</v>
      </c>
      <c r="C200" s="3">
        <f>'III. WaTT Main'!B202</f>
        <v>0</v>
      </c>
      <c r="D200" s="16">
        <v>1</v>
      </c>
      <c r="E200">
        <f>'III. WaTT Main'!G201</f>
        <v>0</v>
      </c>
    </row>
    <row r="201" spans="1:5">
      <c r="A201" s="3">
        <f>'III. WaTT Main'!A203</f>
        <v>0</v>
      </c>
      <c r="B201" s="3">
        <f>'III. WaTT Main'!A203</f>
        <v>0</v>
      </c>
      <c r="C201" s="3">
        <f>'III. WaTT Main'!B203</f>
        <v>0</v>
      </c>
      <c r="D201" s="16">
        <v>1</v>
      </c>
      <c r="E201">
        <f>'III. WaTT Main'!G202</f>
        <v>0</v>
      </c>
    </row>
    <row r="202" spans="1:5">
      <c r="A202" s="3">
        <f>'III. WaTT Main'!A204</f>
        <v>0</v>
      </c>
      <c r="B202" s="3">
        <f>'III. WaTT Main'!A204</f>
        <v>0</v>
      </c>
      <c r="C202" s="3">
        <f>'III. WaTT Main'!B204</f>
        <v>0</v>
      </c>
      <c r="D202" s="16">
        <v>1</v>
      </c>
      <c r="E202">
        <f>'III. WaTT Main'!G203</f>
        <v>0</v>
      </c>
    </row>
    <row r="203" spans="1:5">
      <c r="A203" s="3">
        <f>'III. WaTT Main'!A205</f>
        <v>0</v>
      </c>
      <c r="B203" s="3">
        <f>'III. WaTT Main'!A205</f>
        <v>0</v>
      </c>
      <c r="C203" s="3">
        <f>'III. WaTT Main'!B205</f>
        <v>0</v>
      </c>
      <c r="D203" s="16">
        <v>1</v>
      </c>
      <c r="E203">
        <f>'III. WaTT Main'!G204</f>
        <v>0</v>
      </c>
    </row>
    <row r="204" spans="1:5">
      <c r="A204" s="3">
        <f>'III. WaTT Main'!A206</f>
        <v>0</v>
      </c>
      <c r="B204" s="3">
        <f>'III. WaTT Main'!A206</f>
        <v>0</v>
      </c>
      <c r="C204" s="3">
        <f>'III. WaTT Main'!B206</f>
        <v>0</v>
      </c>
      <c r="D204" s="16">
        <v>1</v>
      </c>
      <c r="E204">
        <f>'III. WaTT Main'!G205</f>
        <v>0</v>
      </c>
    </row>
    <row r="205" spans="1:5">
      <c r="A205" s="3">
        <f>'III. WaTT Main'!A207</f>
        <v>0</v>
      </c>
      <c r="B205" s="3">
        <f>'III. WaTT Main'!A207</f>
        <v>0</v>
      </c>
      <c r="C205" s="3">
        <f>'III. WaTT Main'!B207</f>
        <v>0</v>
      </c>
      <c r="D205" s="16">
        <v>1</v>
      </c>
      <c r="E205">
        <f>'III. WaTT Main'!G206</f>
        <v>0</v>
      </c>
    </row>
    <row r="206" spans="1:5">
      <c r="A206" s="3">
        <f>'III. WaTT Main'!A208</f>
        <v>0</v>
      </c>
      <c r="B206" s="3">
        <f>'III. WaTT Main'!A208</f>
        <v>0</v>
      </c>
      <c r="C206" s="3">
        <f>'III. WaTT Main'!B208</f>
        <v>0</v>
      </c>
      <c r="D206" s="16">
        <v>1</v>
      </c>
      <c r="E206">
        <f>'III. WaTT Main'!G207</f>
        <v>0</v>
      </c>
    </row>
    <row r="207" spans="1:5">
      <c r="A207" s="3">
        <f>'III. WaTT Main'!A209</f>
        <v>0</v>
      </c>
      <c r="B207" s="3">
        <f>'III. WaTT Main'!A209</f>
        <v>0</v>
      </c>
      <c r="C207" s="3">
        <f>'III. WaTT Main'!B209</f>
        <v>0</v>
      </c>
      <c r="D207" s="16">
        <v>1</v>
      </c>
      <c r="E207">
        <f>'III. WaTT Main'!G208</f>
        <v>0</v>
      </c>
    </row>
    <row r="208" spans="1:5">
      <c r="A208" s="3">
        <f>'III. WaTT Main'!A210</f>
        <v>0</v>
      </c>
      <c r="B208" s="3">
        <f>'III. WaTT Main'!A210</f>
        <v>0</v>
      </c>
      <c r="C208" s="3">
        <f>'III. WaTT Main'!B210</f>
        <v>0</v>
      </c>
      <c r="D208" s="16">
        <v>1</v>
      </c>
      <c r="E208">
        <f>'III. WaTT Main'!G209</f>
        <v>0</v>
      </c>
    </row>
    <row r="209" spans="1:5">
      <c r="A209" s="3">
        <f>'III. WaTT Main'!A211</f>
        <v>0</v>
      </c>
      <c r="B209" s="3">
        <f>'III. WaTT Main'!A211</f>
        <v>0</v>
      </c>
      <c r="C209" s="3">
        <f>'III. WaTT Main'!B211</f>
        <v>0</v>
      </c>
      <c r="D209" s="16">
        <v>1</v>
      </c>
      <c r="E209">
        <f>'III. WaTT Main'!G210</f>
        <v>0</v>
      </c>
    </row>
    <row r="210" spans="1:5">
      <c r="A210" s="3">
        <f>'III. WaTT Main'!A212</f>
        <v>0</v>
      </c>
      <c r="B210" s="3">
        <f>'III. WaTT Main'!A212</f>
        <v>0</v>
      </c>
      <c r="C210" s="3">
        <f>'III. WaTT Main'!B212</f>
        <v>0</v>
      </c>
      <c r="D210" s="16">
        <v>1</v>
      </c>
      <c r="E210">
        <f>'III. WaTT Main'!G211</f>
        <v>0</v>
      </c>
    </row>
    <row r="211" spans="1:5">
      <c r="A211" s="3">
        <f>'III. WaTT Main'!A213</f>
        <v>0</v>
      </c>
      <c r="B211" s="3">
        <f>'III. WaTT Main'!A213</f>
        <v>0</v>
      </c>
      <c r="C211" s="3">
        <f>'III. WaTT Main'!B213</f>
        <v>0</v>
      </c>
      <c r="D211" s="16">
        <v>1</v>
      </c>
      <c r="E211">
        <f>'III. WaTT Main'!G212</f>
        <v>0</v>
      </c>
    </row>
    <row r="212" spans="1:5">
      <c r="A212" s="3">
        <f>'III. WaTT Main'!A214</f>
        <v>0</v>
      </c>
      <c r="B212" s="3">
        <f>'III. WaTT Main'!A214</f>
        <v>0</v>
      </c>
      <c r="C212" s="3">
        <f>'III. WaTT Main'!B214</f>
        <v>0</v>
      </c>
      <c r="D212" s="16">
        <v>1</v>
      </c>
      <c r="E212">
        <f>'III. WaTT Main'!G213</f>
        <v>0</v>
      </c>
    </row>
    <row r="213" spans="1:5">
      <c r="A213" s="3">
        <f>'III. WaTT Main'!A215</f>
        <v>0</v>
      </c>
      <c r="B213" s="3">
        <f>'III. WaTT Main'!A215</f>
        <v>0</v>
      </c>
      <c r="C213" s="3">
        <f>'III. WaTT Main'!B215</f>
        <v>0</v>
      </c>
      <c r="D213" s="16">
        <v>1</v>
      </c>
      <c r="E213">
        <f>'III. WaTT Main'!G214</f>
        <v>0</v>
      </c>
    </row>
    <row r="214" spans="1:5">
      <c r="A214" s="3">
        <f>'III. WaTT Main'!A216</f>
        <v>0</v>
      </c>
      <c r="B214" s="3">
        <f>'III. WaTT Main'!A216</f>
        <v>0</v>
      </c>
      <c r="C214" s="3">
        <f>'III. WaTT Main'!B216</f>
        <v>0</v>
      </c>
      <c r="D214" s="16">
        <v>1</v>
      </c>
      <c r="E214">
        <f>'III. WaTT Main'!G215</f>
        <v>0</v>
      </c>
    </row>
    <row r="215" spans="1:5">
      <c r="A215" s="3">
        <f>'III. WaTT Main'!A217</f>
        <v>0</v>
      </c>
      <c r="B215" s="3">
        <f>'III. WaTT Main'!A217</f>
        <v>0</v>
      </c>
      <c r="C215" s="3">
        <f>'III. WaTT Main'!B217</f>
        <v>0</v>
      </c>
      <c r="D215" s="16">
        <v>1</v>
      </c>
      <c r="E215">
        <f>'III. WaTT Main'!G216</f>
        <v>0</v>
      </c>
    </row>
    <row r="216" spans="1:5">
      <c r="A216" s="3">
        <f>'III. WaTT Main'!A218</f>
        <v>0</v>
      </c>
      <c r="B216" s="3">
        <f>'III. WaTT Main'!A218</f>
        <v>0</v>
      </c>
      <c r="C216" s="3">
        <f>'III. WaTT Main'!B218</f>
        <v>0</v>
      </c>
      <c r="D216" s="16">
        <v>1</v>
      </c>
      <c r="E216">
        <f>'III. WaTT Main'!G217</f>
        <v>0</v>
      </c>
    </row>
    <row r="217" spans="1:5">
      <c r="A217" s="3">
        <f>'III. WaTT Main'!A219</f>
        <v>0</v>
      </c>
      <c r="B217" s="3">
        <f>'III. WaTT Main'!A219</f>
        <v>0</v>
      </c>
      <c r="C217" s="3">
        <f>'III. WaTT Main'!B219</f>
        <v>0</v>
      </c>
      <c r="D217" s="16">
        <v>1</v>
      </c>
      <c r="E217">
        <f>'III. WaTT Main'!G218</f>
        <v>0</v>
      </c>
    </row>
    <row r="218" spans="1:5">
      <c r="A218" s="3">
        <f>'III. WaTT Main'!A220</f>
        <v>0</v>
      </c>
      <c r="B218" s="3">
        <f>'III. WaTT Main'!A220</f>
        <v>0</v>
      </c>
      <c r="C218" s="3">
        <f>'III. WaTT Main'!B220</f>
        <v>0</v>
      </c>
      <c r="D218" s="16">
        <v>1</v>
      </c>
      <c r="E218">
        <f>'III. WaTT Main'!G219</f>
        <v>0</v>
      </c>
    </row>
    <row r="219" spans="1:5">
      <c r="A219" s="3">
        <f>'III. WaTT Main'!A221</f>
        <v>0</v>
      </c>
      <c r="B219" s="3">
        <f>'III. WaTT Main'!A221</f>
        <v>0</v>
      </c>
      <c r="C219" s="3">
        <f>'III. WaTT Main'!B221</f>
        <v>0</v>
      </c>
      <c r="D219" s="16">
        <v>1</v>
      </c>
      <c r="E219">
        <f>'III. WaTT Main'!G220</f>
        <v>0</v>
      </c>
    </row>
    <row r="220" spans="1:5">
      <c r="A220" s="3">
        <f>'III. WaTT Main'!A222</f>
        <v>0</v>
      </c>
      <c r="B220" s="3">
        <f>'III. WaTT Main'!A222</f>
        <v>0</v>
      </c>
      <c r="C220" s="3">
        <f>'III. WaTT Main'!B222</f>
        <v>0</v>
      </c>
      <c r="D220" s="16">
        <v>1</v>
      </c>
      <c r="E220">
        <f>'III. WaTT Main'!G221</f>
        <v>0</v>
      </c>
    </row>
    <row r="221" spans="1:5">
      <c r="A221" s="3">
        <f>'III. WaTT Main'!A223</f>
        <v>0</v>
      </c>
      <c r="B221" s="3">
        <f>'III. WaTT Main'!A223</f>
        <v>0</v>
      </c>
      <c r="C221" s="3">
        <f>'III. WaTT Main'!B223</f>
        <v>0</v>
      </c>
      <c r="D221" s="16">
        <v>1</v>
      </c>
      <c r="E221">
        <f>'III. WaTT Main'!G222</f>
        <v>0</v>
      </c>
    </row>
    <row r="222" spans="1:5">
      <c r="A222" s="3">
        <f>'III. WaTT Main'!A224</f>
        <v>0</v>
      </c>
      <c r="B222" s="3">
        <f>'III. WaTT Main'!A224</f>
        <v>0</v>
      </c>
      <c r="C222" s="3">
        <f>'III. WaTT Main'!B224</f>
        <v>0</v>
      </c>
      <c r="D222" s="16">
        <v>1</v>
      </c>
      <c r="E222">
        <f>'III. WaTT Main'!G223</f>
        <v>0</v>
      </c>
    </row>
    <row r="223" spans="1:5">
      <c r="A223" s="3">
        <f>'III. WaTT Main'!A225</f>
        <v>0</v>
      </c>
      <c r="B223" s="3">
        <f>'III. WaTT Main'!A225</f>
        <v>0</v>
      </c>
      <c r="C223" s="3">
        <f>'III. WaTT Main'!B225</f>
        <v>0</v>
      </c>
      <c r="D223" s="16">
        <v>1</v>
      </c>
      <c r="E223">
        <f>'III. WaTT Main'!G224</f>
        <v>0</v>
      </c>
    </row>
    <row r="224" spans="1:5">
      <c r="A224" s="3">
        <f>'III. WaTT Main'!A226</f>
        <v>0</v>
      </c>
      <c r="B224" s="3">
        <f>'III. WaTT Main'!A226</f>
        <v>0</v>
      </c>
      <c r="C224" s="3">
        <f>'III. WaTT Main'!B226</f>
        <v>0</v>
      </c>
      <c r="D224" s="16">
        <v>1</v>
      </c>
      <c r="E224">
        <f>'III. WaTT Main'!G225</f>
        <v>0</v>
      </c>
    </row>
    <row r="225" spans="1:5">
      <c r="A225" s="3">
        <f>'III. WaTT Main'!A227</f>
        <v>0</v>
      </c>
      <c r="B225" s="3">
        <f>'III. WaTT Main'!A227</f>
        <v>0</v>
      </c>
      <c r="C225" s="3">
        <f>'III. WaTT Main'!B227</f>
        <v>0</v>
      </c>
      <c r="D225" s="16">
        <v>1</v>
      </c>
      <c r="E225">
        <f>'III. WaTT Main'!G226</f>
        <v>0</v>
      </c>
    </row>
    <row r="226" spans="1:5">
      <c r="A226" s="3">
        <f>'III. WaTT Main'!A228</f>
        <v>0</v>
      </c>
      <c r="B226" s="3">
        <f>'III. WaTT Main'!A228</f>
        <v>0</v>
      </c>
      <c r="C226" s="3">
        <f>'III. WaTT Main'!B228</f>
        <v>0</v>
      </c>
      <c r="D226" s="16">
        <v>1</v>
      </c>
      <c r="E226">
        <f>'III. WaTT Main'!G227</f>
        <v>0</v>
      </c>
    </row>
    <row r="227" spans="1:5">
      <c r="A227" s="3">
        <f>'III. WaTT Main'!A229</f>
        <v>0</v>
      </c>
      <c r="B227" s="3">
        <f>'III. WaTT Main'!A229</f>
        <v>0</v>
      </c>
      <c r="C227" s="3">
        <f>'III. WaTT Main'!B229</f>
        <v>0</v>
      </c>
      <c r="D227" s="16">
        <v>1</v>
      </c>
      <c r="E227">
        <f>'III. WaTT Main'!G228</f>
        <v>0</v>
      </c>
    </row>
    <row r="228" spans="1:5">
      <c r="A228" s="3">
        <f>'III. WaTT Main'!A230</f>
        <v>0</v>
      </c>
      <c r="B228" s="3">
        <f>'III. WaTT Main'!A230</f>
        <v>0</v>
      </c>
      <c r="C228" s="3">
        <f>'III. WaTT Main'!B230</f>
        <v>0</v>
      </c>
      <c r="D228" s="16">
        <v>1</v>
      </c>
      <c r="E228">
        <f>'III. WaTT Main'!G229</f>
        <v>0</v>
      </c>
    </row>
    <row r="229" spans="1:5">
      <c r="A229" s="3">
        <f>'III. WaTT Main'!A231</f>
        <v>0</v>
      </c>
      <c r="B229" s="3">
        <f>'III. WaTT Main'!A231</f>
        <v>0</v>
      </c>
      <c r="C229" s="3">
        <f>'III. WaTT Main'!B231</f>
        <v>0</v>
      </c>
      <c r="D229" s="16">
        <v>1</v>
      </c>
      <c r="E229">
        <f>'III. WaTT Main'!G230</f>
        <v>0</v>
      </c>
    </row>
    <row r="230" spans="1:5">
      <c r="A230" s="3">
        <f>'III. WaTT Main'!A232</f>
        <v>0</v>
      </c>
      <c r="B230" s="3">
        <f>'III. WaTT Main'!A232</f>
        <v>0</v>
      </c>
      <c r="C230" s="3">
        <f>'III. WaTT Main'!B232</f>
        <v>0</v>
      </c>
      <c r="D230" s="16">
        <v>1</v>
      </c>
      <c r="E230">
        <f>'III. WaTT Main'!G231</f>
        <v>0</v>
      </c>
    </row>
    <row r="231" spans="1:5">
      <c r="A231" s="3">
        <f>'III. WaTT Main'!A233</f>
        <v>0</v>
      </c>
      <c r="B231" s="3">
        <f>'III. WaTT Main'!A233</f>
        <v>0</v>
      </c>
      <c r="C231" s="3">
        <f>'III. WaTT Main'!B233</f>
        <v>0</v>
      </c>
      <c r="D231" s="16">
        <v>1</v>
      </c>
      <c r="E231">
        <f>'III. WaTT Main'!G232</f>
        <v>0</v>
      </c>
    </row>
    <row r="232" spans="1:5">
      <c r="A232" s="3">
        <f>'III. WaTT Main'!A234</f>
        <v>0</v>
      </c>
      <c r="B232" s="3">
        <f>'III. WaTT Main'!A234</f>
        <v>0</v>
      </c>
      <c r="C232" s="3">
        <f>'III. WaTT Main'!B234</f>
        <v>0</v>
      </c>
      <c r="D232" s="16">
        <v>1</v>
      </c>
      <c r="E232">
        <f>'III. WaTT Main'!G233</f>
        <v>0</v>
      </c>
    </row>
    <row r="233" spans="1:5">
      <c r="A233" s="3">
        <f>'III. WaTT Main'!A235</f>
        <v>0</v>
      </c>
      <c r="B233" s="3">
        <f>'III. WaTT Main'!A235</f>
        <v>0</v>
      </c>
      <c r="C233" s="3">
        <f>'III. WaTT Main'!B235</f>
        <v>0</v>
      </c>
      <c r="D233" s="16">
        <v>1</v>
      </c>
      <c r="E233">
        <f>'III. WaTT Main'!G234</f>
        <v>0</v>
      </c>
    </row>
    <row r="234" spans="1:5">
      <c r="A234" s="3">
        <f>'III. WaTT Main'!A236</f>
        <v>0</v>
      </c>
      <c r="B234" s="3">
        <f>'III. WaTT Main'!A236</f>
        <v>0</v>
      </c>
      <c r="C234" s="3">
        <f>'III. WaTT Main'!B236</f>
        <v>0</v>
      </c>
      <c r="D234" s="16">
        <v>1</v>
      </c>
      <c r="E234">
        <f>'III. WaTT Main'!G235</f>
        <v>0</v>
      </c>
    </row>
    <row r="235" spans="1:5">
      <c r="A235" s="3">
        <f>'III. WaTT Main'!A237</f>
        <v>0</v>
      </c>
      <c r="B235" s="3">
        <f>'III. WaTT Main'!A237</f>
        <v>0</v>
      </c>
      <c r="C235" s="3">
        <f>'III. WaTT Main'!B237</f>
        <v>0</v>
      </c>
      <c r="D235" s="16">
        <v>1</v>
      </c>
      <c r="E235">
        <f>'III. WaTT Main'!G236</f>
        <v>0</v>
      </c>
    </row>
    <row r="236" spans="1:5">
      <c r="A236" s="3">
        <f>'III. WaTT Main'!A238</f>
        <v>0</v>
      </c>
      <c r="B236" s="3">
        <f>'III. WaTT Main'!A238</f>
        <v>0</v>
      </c>
      <c r="C236" s="3">
        <f>'III. WaTT Main'!B238</f>
        <v>0</v>
      </c>
      <c r="D236" s="16">
        <v>1</v>
      </c>
      <c r="E236">
        <f>'III. WaTT Main'!G237</f>
        <v>0</v>
      </c>
    </row>
    <row r="237" spans="1:5">
      <c r="A237" s="3">
        <f>'III. WaTT Main'!A239</f>
        <v>0</v>
      </c>
      <c r="B237" s="3">
        <f>'III. WaTT Main'!A239</f>
        <v>0</v>
      </c>
      <c r="C237" s="3">
        <f>'III. WaTT Main'!B239</f>
        <v>0</v>
      </c>
      <c r="D237" s="16">
        <v>1</v>
      </c>
      <c r="E237">
        <f>'III. WaTT Main'!G238</f>
        <v>0</v>
      </c>
    </row>
    <row r="238" spans="1:5">
      <c r="A238" s="3">
        <f>'III. WaTT Main'!A240</f>
        <v>0</v>
      </c>
      <c r="B238" s="3">
        <f>'III. WaTT Main'!A240</f>
        <v>0</v>
      </c>
      <c r="C238" s="3">
        <f>'III. WaTT Main'!B240</f>
        <v>0</v>
      </c>
      <c r="D238" s="16">
        <v>1</v>
      </c>
      <c r="E238">
        <f>'III. WaTT Main'!G239</f>
        <v>0</v>
      </c>
    </row>
    <row r="239" spans="1:5">
      <c r="A239" s="3">
        <f>'III. WaTT Main'!A241</f>
        <v>0</v>
      </c>
      <c r="B239" s="3">
        <f>'III. WaTT Main'!A241</f>
        <v>0</v>
      </c>
      <c r="C239" s="3">
        <f>'III. WaTT Main'!B241</f>
        <v>0</v>
      </c>
      <c r="D239" s="16">
        <v>1</v>
      </c>
      <c r="E239">
        <f>'III. WaTT Main'!G240</f>
        <v>0</v>
      </c>
    </row>
    <row r="240" spans="1:5">
      <c r="A240" s="3">
        <f>'III. WaTT Main'!A242</f>
        <v>0</v>
      </c>
      <c r="B240" s="3">
        <f>'III. WaTT Main'!A242</f>
        <v>0</v>
      </c>
      <c r="C240" s="3">
        <f>'III. WaTT Main'!B242</f>
        <v>0</v>
      </c>
      <c r="D240" s="16">
        <v>1</v>
      </c>
      <c r="E240">
        <f>'III. WaTT Main'!G241</f>
        <v>0</v>
      </c>
    </row>
    <row r="241" spans="1:5">
      <c r="A241" s="3">
        <f>'III. WaTT Main'!A243</f>
        <v>0</v>
      </c>
      <c r="B241" s="3">
        <f>'III. WaTT Main'!A243</f>
        <v>0</v>
      </c>
      <c r="C241" s="3">
        <f>'III. WaTT Main'!B243</f>
        <v>0</v>
      </c>
      <c r="D241" s="16">
        <v>1</v>
      </c>
      <c r="E241">
        <f>'III. WaTT Main'!G242</f>
        <v>0</v>
      </c>
    </row>
    <row r="242" spans="1:5">
      <c r="A242" s="3">
        <f>'III. WaTT Main'!A244</f>
        <v>0</v>
      </c>
      <c r="B242" s="3">
        <f>'III. WaTT Main'!A244</f>
        <v>0</v>
      </c>
      <c r="C242" s="3">
        <f>'III. WaTT Main'!B244</f>
        <v>0</v>
      </c>
      <c r="D242" s="16">
        <v>1</v>
      </c>
      <c r="E242">
        <f>'III. WaTT Main'!G243</f>
        <v>0</v>
      </c>
    </row>
    <row r="243" spans="1:5">
      <c r="A243" s="3">
        <f>'III. WaTT Main'!A245</f>
        <v>0</v>
      </c>
      <c r="B243" s="3">
        <f>'III. WaTT Main'!A245</f>
        <v>0</v>
      </c>
      <c r="C243" s="3">
        <f>'III. WaTT Main'!B245</f>
        <v>0</v>
      </c>
      <c r="D243" s="16">
        <v>1</v>
      </c>
      <c r="E243">
        <f>'III. WaTT Main'!G244</f>
        <v>0</v>
      </c>
    </row>
    <row r="244" spans="1:5">
      <c r="A244" s="3">
        <f>'III. WaTT Main'!A246</f>
        <v>0</v>
      </c>
      <c r="B244" s="3">
        <f>'III. WaTT Main'!A246</f>
        <v>0</v>
      </c>
      <c r="C244" s="3">
        <f>'III. WaTT Main'!B246</f>
        <v>0</v>
      </c>
      <c r="D244" s="16">
        <v>1</v>
      </c>
      <c r="E244">
        <f>'III. WaTT Main'!G245</f>
        <v>0</v>
      </c>
    </row>
    <row r="245" spans="1:5">
      <c r="A245" s="3">
        <f>'III. WaTT Main'!A247</f>
        <v>0</v>
      </c>
      <c r="B245" s="3">
        <f>'III. WaTT Main'!A247</f>
        <v>0</v>
      </c>
      <c r="C245" s="3">
        <f>'III. WaTT Main'!B247</f>
        <v>0</v>
      </c>
      <c r="D245" s="16">
        <v>1</v>
      </c>
      <c r="E245">
        <f>'III. WaTT Main'!G246</f>
        <v>0</v>
      </c>
    </row>
    <row r="246" spans="1:5">
      <c r="A246" s="3">
        <f>'III. WaTT Main'!A248</f>
        <v>0</v>
      </c>
      <c r="B246" s="3">
        <f>'III. WaTT Main'!A248</f>
        <v>0</v>
      </c>
      <c r="C246" s="3">
        <f>'III. WaTT Main'!B248</f>
        <v>0</v>
      </c>
      <c r="D246" s="16">
        <v>1</v>
      </c>
      <c r="E246">
        <f>'III. WaTT Main'!G247</f>
        <v>0</v>
      </c>
    </row>
    <row r="247" spans="1:5">
      <c r="A247" s="3">
        <f>'III. WaTT Main'!A249</f>
        <v>0</v>
      </c>
      <c r="B247" s="3">
        <f>'III. WaTT Main'!A249</f>
        <v>0</v>
      </c>
      <c r="C247" s="3">
        <f>'III. WaTT Main'!B249</f>
        <v>0</v>
      </c>
      <c r="D247" s="16">
        <v>1</v>
      </c>
      <c r="E247">
        <f>'III. WaTT Main'!G248</f>
        <v>0</v>
      </c>
    </row>
    <row r="248" spans="1:5">
      <c r="A248" s="3">
        <f>'III. WaTT Main'!A250</f>
        <v>0</v>
      </c>
      <c r="B248" s="3">
        <f>'III. WaTT Main'!A250</f>
        <v>0</v>
      </c>
      <c r="C248" s="3">
        <f>'III. WaTT Main'!B250</f>
        <v>0</v>
      </c>
      <c r="D248" s="16">
        <v>1</v>
      </c>
      <c r="E248">
        <f>'III. WaTT Main'!G249</f>
        <v>0</v>
      </c>
    </row>
    <row r="249" spans="1:5">
      <c r="A249" s="3">
        <f>'III. WaTT Main'!A251</f>
        <v>0</v>
      </c>
      <c r="B249" s="3">
        <f>'III. WaTT Main'!A251</f>
        <v>0</v>
      </c>
      <c r="C249" s="3">
        <f>'III. WaTT Main'!B251</f>
        <v>0</v>
      </c>
      <c r="D249" s="16">
        <v>1</v>
      </c>
      <c r="E249">
        <f>'III. WaTT Main'!G250</f>
        <v>0</v>
      </c>
    </row>
    <row r="250" spans="1:5">
      <c r="A250" s="3">
        <f>'III. WaTT Main'!A252</f>
        <v>0</v>
      </c>
      <c r="B250" s="3">
        <f>'III. WaTT Main'!A252</f>
        <v>0</v>
      </c>
      <c r="C250" s="3">
        <f>'III. WaTT Main'!B252</f>
        <v>0</v>
      </c>
      <c r="D250" s="16">
        <v>1</v>
      </c>
      <c r="E250">
        <f>'III. WaTT Main'!G251</f>
        <v>0</v>
      </c>
    </row>
    <row r="251" spans="1:5">
      <c r="A251" s="3">
        <f>'III. WaTT Main'!A253</f>
        <v>0</v>
      </c>
      <c r="B251" s="3">
        <f>'III. WaTT Main'!A253</f>
        <v>0</v>
      </c>
      <c r="C251" s="3">
        <f>'III. WaTT Main'!B253</f>
        <v>0</v>
      </c>
      <c r="D251" s="16">
        <v>1</v>
      </c>
      <c r="E251">
        <f>'III. WaTT Main'!G252</f>
        <v>0</v>
      </c>
    </row>
    <row r="252" spans="1:5">
      <c r="A252" s="3">
        <f>'III. WaTT Main'!A254</f>
        <v>0</v>
      </c>
      <c r="B252" s="3">
        <f>'III. WaTT Main'!A254</f>
        <v>0</v>
      </c>
      <c r="C252" s="3">
        <f>'III. WaTT Main'!B254</f>
        <v>0</v>
      </c>
      <c r="D252" s="16">
        <v>1</v>
      </c>
      <c r="E252">
        <f>'III. WaTT Main'!G253</f>
        <v>0</v>
      </c>
    </row>
    <row r="253" spans="1:5">
      <c r="A253" s="3">
        <f>'III. WaTT Main'!A255</f>
        <v>0</v>
      </c>
      <c r="B253" s="3">
        <f>'III. WaTT Main'!A255</f>
        <v>0</v>
      </c>
      <c r="C253" s="3">
        <f>'III. WaTT Main'!B255</f>
        <v>0</v>
      </c>
      <c r="D253" s="16">
        <v>1</v>
      </c>
      <c r="E253">
        <f>'III. WaTT Main'!G254</f>
        <v>0</v>
      </c>
    </row>
    <row r="254" spans="1:5">
      <c r="A254" s="3">
        <f>'III. WaTT Main'!A256</f>
        <v>0</v>
      </c>
      <c r="B254" s="3">
        <f>'III. WaTT Main'!A256</f>
        <v>0</v>
      </c>
      <c r="C254" s="3">
        <f>'III. WaTT Main'!B256</f>
        <v>0</v>
      </c>
      <c r="D254" s="16">
        <v>1</v>
      </c>
      <c r="E254">
        <f>'III. WaTT Main'!G255</f>
        <v>0</v>
      </c>
    </row>
    <row r="255" spans="1:5">
      <c r="A255" s="3">
        <f>'III. WaTT Main'!A257</f>
        <v>0</v>
      </c>
      <c r="B255" s="3">
        <f>'III. WaTT Main'!A257</f>
        <v>0</v>
      </c>
      <c r="C255" s="3">
        <f>'III. WaTT Main'!B257</f>
        <v>0</v>
      </c>
      <c r="D255" s="16">
        <v>1</v>
      </c>
      <c r="E255">
        <f>'III. WaTT Main'!G256</f>
        <v>0</v>
      </c>
    </row>
    <row r="256" spans="1:5">
      <c r="A256" s="3">
        <f>'III. WaTT Main'!A258</f>
        <v>0</v>
      </c>
      <c r="B256" s="3">
        <f>'III. WaTT Main'!A258</f>
        <v>0</v>
      </c>
      <c r="C256" s="3">
        <f>'III. WaTT Main'!B258</f>
        <v>0</v>
      </c>
      <c r="D256" s="16">
        <v>1</v>
      </c>
      <c r="E256">
        <f>'III. WaTT Main'!G257</f>
        <v>0</v>
      </c>
    </row>
    <row r="257" spans="1:5">
      <c r="A257" s="3">
        <f>'III. WaTT Main'!A259</f>
        <v>0</v>
      </c>
      <c r="B257" s="3">
        <f>'III. WaTT Main'!A259</f>
        <v>0</v>
      </c>
      <c r="C257" s="3">
        <f>'III. WaTT Main'!B259</f>
        <v>0</v>
      </c>
      <c r="D257" s="16">
        <v>1</v>
      </c>
      <c r="E257">
        <f>'III. WaTT Main'!G258</f>
        <v>0</v>
      </c>
    </row>
    <row r="258" spans="1:5">
      <c r="A258" s="3">
        <f>'III. WaTT Main'!A260</f>
        <v>0</v>
      </c>
      <c r="B258" s="3">
        <f>'III. WaTT Main'!A260</f>
        <v>0</v>
      </c>
      <c r="C258" s="3">
        <f>'III. WaTT Main'!B260</f>
        <v>0</v>
      </c>
      <c r="D258" s="16">
        <v>1</v>
      </c>
      <c r="E258">
        <f>'III. WaTT Main'!G259</f>
        <v>0</v>
      </c>
    </row>
    <row r="259" spans="1:5">
      <c r="A259" s="3">
        <f>'III. WaTT Main'!A261</f>
        <v>0</v>
      </c>
      <c r="B259" s="3">
        <f>'III. WaTT Main'!A261</f>
        <v>0</v>
      </c>
      <c r="C259" s="3">
        <f>'III. WaTT Main'!B261</f>
        <v>0</v>
      </c>
      <c r="D259" s="16">
        <v>1</v>
      </c>
      <c r="E259">
        <f>'III. WaTT Main'!G260</f>
        <v>0</v>
      </c>
    </row>
    <row r="260" spans="1:5">
      <c r="A260" s="3">
        <f>'III. WaTT Main'!A262</f>
        <v>0</v>
      </c>
      <c r="B260" s="3">
        <f>'III. WaTT Main'!A262</f>
        <v>0</v>
      </c>
      <c r="C260" s="3">
        <f>'III. WaTT Main'!B262</f>
        <v>0</v>
      </c>
      <c r="D260" s="16">
        <v>1</v>
      </c>
      <c r="E260">
        <f>'III. WaTT Main'!G261</f>
        <v>0</v>
      </c>
    </row>
    <row r="261" spans="1:5">
      <c r="A261" s="3">
        <f>'III. WaTT Main'!A263</f>
        <v>0</v>
      </c>
      <c r="B261" s="3">
        <f>'III. WaTT Main'!A263</f>
        <v>0</v>
      </c>
      <c r="C261" s="3">
        <f>'III. WaTT Main'!B263</f>
        <v>0</v>
      </c>
      <c r="D261" s="16">
        <v>1</v>
      </c>
      <c r="E261">
        <f>'III. WaTT Main'!G262</f>
        <v>0</v>
      </c>
    </row>
    <row r="262" spans="1:5">
      <c r="A262" s="3">
        <f>'III. WaTT Main'!A264</f>
        <v>0</v>
      </c>
      <c r="B262" s="3">
        <f>'III. WaTT Main'!A264</f>
        <v>0</v>
      </c>
      <c r="C262" s="3">
        <f>'III. WaTT Main'!B264</f>
        <v>0</v>
      </c>
      <c r="D262" s="16">
        <v>1</v>
      </c>
      <c r="E262">
        <f>'III. WaTT Main'!G263</f>
        <v>0</v>
      </c>
    </row>
    <row r="263" spans="1:5">
      <c r="A263" s="3">
        <f>'III. WaTT Main'!A265</f>
        <v>0</v>
      </c>
      <c r="B263" s="3">
        <f>'III. WaTT Main'!A265</f>
        <v>0</v>
      </c>
      <c r="C263" s="3">
        <f>'III. WaTT Main'!B265</f>
        <v>0</v>
      </c>
      <c r="D263" s="16">
        <v>1</v>
      </c>
      <c r="E263">
        <f>'III. WaTT Main'!G264</f>
        <v>0</v>
      </c>
    </row>
    <row r="264" spans="1:5">
      <c r="A264" s="3">
        <f>'III. WaTT Main'!A266</f>
        <v>0</v>
      </c>
      <c r="B264" s="3">
        <f>'III. WaTT Main'!A266</f>
        <v>0</v>
      </c>
      <c r="C264" s="3">
        <f>'III. WaTT Main'!B266</f>
        <v>0</v>
      </c>
      <c r="D264" s="16">
        <v>1</v>
      </c>
      <c r="E264">
        <f>'III. WaTT Main'!G265</f>
        <v>0</v>
      </c>
    </row>
    <row r="265" spans="1:5">
      <c r="A265" s="3">
        <f>'III. WaTT Main'!A267</f>
        <v>0</v>
      </c>
      <c r="B265" s="3">
        <f>'III. WaTT Main'!A267</f>
        <v>0</v>
      </c>
      <c r="C265" s="3">
        <f>'III. WaTT Main'!B267</f>
        <v>0</v>
      </c>
      <c r="D265" s="16">
        <v>1</v>
      </c>
      <c r="E265">
        <f>'III. WaTT Main'!G266</f>
        <v>0</v>
      </c>
    </row>
    <row r="266" spans="1:5">
      <c r="A266" s="3">
        <f>'III. WaTT Main'!A268</f>
        <v>0</v>
      </c>
      <c r="B266" s="3">
        <f>'III. WaTT Main'!A268</f>
        <v>0</v>
      </c>
      <c r="C266" s="3">
        <f>'III. WaTT Main'!B268</f>
        <v>0</v>
      </c>
      <c r="D266" s="16">
        <v>1</v>
      </c>
      <c r="E266">
        <f>'III. WaTT Main'!G267</f>
        <v>0</v>
      </c>
    </row>
    <row r="267" spans="1:5">
      <c r="A267" s="3">
        <f>'III. WaTT Main'!A269</f>
        <v>0</v>
      </c>
      <c r="B267" s="3">
        <f>'III. WaTT Main'!A269</f>
        <v>0</v>
      </c>
      <c r="C267" s="3">
        <f>'III. WaTT Main'!B269</f>
        <v>0</v>
      </c>
      <c r="D267" s="16">
        <v>1</v>
      </c>
      <c r="E267">
        <f>'III. WaTT Main'!G268</f>
        <v>0</v>
      </c>
    </row>
    <row r="268" spans="1:5">
      <c r="A268" s="3">
        <f>'III. WaTT Main'!A270</f>
        <v>0</v>
      </c>
      <c r="B268" s="3">
        <f>'III. WaTT Main'!A270</f>
        <v>0</v>
      </c>
      <c r="C268" s="3">
        <f>'III. WaTT Main'!B270</f>
        <v>0</v>
      </c>
      <c r="D268" s="16">
        <v>1</v>
      </c>
      <c r="E268">
        <f>'III. WaTT Main'!G269</f>
        <v>0</v>
      </c>
    </row>
    <row r="269" spans="1:5">
      <c r="A269" s="3">
        <f>'III. WaTT Main'!A271</f>
        <v>0</v>
      </c>
      <c r="B269" s="3">
        <f>'III. WaTT Main'!A271</f>
        <v>0</v>
      </c>
      <c r="C269" s="3">
        <f>'III. WaTT Main'!B271</f>
        <v>0</v>
      </c>
      <c r="D269" s="16">
        <v>1</v>
      </c>
      <c r="E269">
        <f>'III. WaTT Main'!G270</f>
        <v>0</v>
      </c>
    </row>
    <row r="270" spans="1:5">
      <c r="A270" s="3">
        <f>'III. WaTT Main'!A272</f>
        <v>0</v>
      </c>
      <c r="B270" s="3">
        <f>'III. WaTT Main'!A272</f>
        <v>0</v>
      </c>
      <c r="C270" s="3">
        <f>'III. WaTT Main'!B272</f>
        <v>0</v>
      </c>
      <c r="D270" s="16">
        <v>1</v>
      </c>
      <c r="E270">
        <f>'III. WaTT Main'!G271</f>
        <v>0</v>
      </c>
    </row>
    <row r="271" spans="1:5">
      <c r="A271" s="3">
        <f>'III. WaTT Main'!A273</f>
        <v>0</v>
      </c>
      <c r="B271" s="3">
        <f>'III. WaTT Main'!A273</f>
        <v>0</v>
      </c>
      <c r="C271" s="3">
        <f>'III. WaTT Main'!B273</f>
        <v>0</v>
      </c>
      <c r="D271" s="16">
        <v>1</v>
      </c>
      <c r="E271">
        <f>'III. WaTT Main'!G272</f>
        <v>0</v>
      </c>
    </row>
    <row r="272" spans="1:5">
      <c r="A272" s="3">
        <f>'III. WaTT Main'!A274</f>
        <v>0</v>
      </c>
      <c r="B272" s="3">
        <f>'III. WaTT Main'!A274</f>
        <v>0</v>
      </c>
      <c r="C272" s="3">
        <f>'III. WaTT Main'!B274</f>
        <v>0</v>
      </c>
      <c r="D272" s="16">
        <v>1</v>
      </c>
      <c r="E272">
        <f>'III. WaTT Main'!G273</f>
        <v>0</v>
      </c>
    </row>
    <row r="273" spans="1:5">
      <c r="A273" s="3">
        <f>'III. WaTT Main'!A275</f>
        <v>0</v>
      </c>
      <c r="B273" s="3">
        <f>'III. WaTT Main'!A275</f>
        <v>0</v>
      </c>
      <c r="C273" s="3">
        <f>'III. WaTT Main'!B275</f>
        <v>0</v>
      </c>
      <c r="D273" s="16">
        <v>1</v>
      </c>
      <c r="E273">
        <f>'III. WaTT Main'!G274</f>
        <v>0</v>
      </c>
    </row>
    <row r="274" spans="1:5">
      <c r="A274" s="3">
        <f>'III. WaTT Main'!A276</f>
        <v>0</v>
      </c>
      <c r="B274" s="3">
        <f>'III. WaTT Main'!A276</f>
        <v>0</v>
      </c>
      <c r="C274" s="3">
        <f>'III. WaTT Main'!B276</f>
        <v>0</v>
      </c>
      <c r="D274" s="16">
        <v>1</v>
      </c>
      <c r="E274">
        <f>'III. WaTT Main'!G275</f>
        <v>0</v>
      </c>
    </row>
    <row r="275" spans="1:5">
      <c r="A275" s="3">
        <f>'III. WaTT Main'!A277</f>
        <v>0</v>
      </c>
      <c r="B275" s="3">
        <f>'III. WaTT Main'!A277</f>
        <v>0</v>
      </c>
      <c r="C275" s="3">
        <f>'III. WaTT Main'!B277</f>
        <v>0</v>
      </c>
      <c r="D275" s="16">
        <v>1</v>
      </c>
      <c r="E275">
        <f>'III. WaTT Main'!G276</f>
        <v>0</v>
      </c>
    </row>
    <row r="276" spans="1:5">
      <c r="A276" s="3">
        <f>'III. WaTT Main'!A278</f>
        <v>0</v>
      </c>
      <c r="B276" s="3">
        <f>'III. WaTT Main'!A278</f>
        <v>0</v>
      </c>
      <c r="C276" s="3">
        <f>'III. WaTT Main'!B278</f>
        <v>0</v>
      </c>
      <c r="D276" s="16">
        <v>1</v>
      </c>
      <c r="E276">
        <f>'III. WaTT Main'!G277</f>
        <v>0</v>
      </c>
    </row>
    <row r="277" spans="1:5">
      <c r="A277" s="3">
        <f>'III. WaTT Main'!A279</f>
        <v>0</v>
      </c>
      <c r="B277" s="3">
        <f>'III. WaTT Main'!A279</f>
        <v>0</v>
      </c>
      <c r="C277" s="3">
        <f>'III. WaTT Main'!B279</f>
        <v>0</v>
      </c>
      <c r="D277" s="16">
        <v>1</v>
      </c>
      <c r="E277">
        <f>'III. WaTT Main'!G278</f>
        <v>0</v>
      </c>
    </row>
    <row r="278" spans="1:5">
      <c r="A278" s="3">
        <f>'III. WaTT Main'!A280</f>
        <v>0</v>
      </c>
      <c r="B278" s="3">
        <f>'III. WaTT Main'!A280</f>
        <v>0</v>
      </c>
      <c r="C278" s="3">
        <f>'III. WaTT Main'!B280</f>
        <v>0</v>
      </c>
      <c r="D278" s="16">
        <v>1</v>
      </c>
      <c r="E278">
        <f>'III. WaTT Main'!G279</f>
        <v>0</v>
      </c>
    </row>
    <row r="279" spans="1:5">
      <c r="A279" s="3">
        <f>'III. WaTT Main'!A281</f>
        <v>0</v>
      </c>
      <c r="B279" s="3">
        <f>'III. WaTT Main'!A281</f>
        <v>0</v>
      </c>
      <c r="C279" s="3">
        <f>'III. WaTT Main'!B281</f>
        <v>0</v>
      </c>
      <c r="D279" s="16">
        <v>1</v>
      </c>
      <c r="E279">
        <f>'III. WaTT Main'!G280</f>
        <v>0</v>
      </c>
    </row>
    <row r="280" spans="1:5">
      <c r="A280" s="3">
        <f>'III. WaTT Main'!A282</f>
        <v>0</v>
      </c>
      <c r="B280" s="3">
        <f>'III. WaTT Main'!A282</f>
        <v>0</v>
      </c>
      <c r="C280" s="3">
        <f>'III. WaTT Main'!B282</f>
        <v>0</v>
      </c>
      <c r="D280" s="16">
        <v>1</v>
      </c>
      <c r="E280">
        <f>'III. WaTT Main'!G281</f>
        <v>0</v>
      </c>
    </row>
    <row r="281" spans="1:5">
      <c r="A281" s="3">
        <f>'III. WaTT Main'!A283</f>
        <v>0</v>
      </c>
      <c r="B281" s="3">
        <f>'III. WaTT Main'!A283</f>
        <v>0</v>
      </c>
      <c r="C281" s="3">
        <f>'III. WaTT Main'!B283</f>
        <v>0</v>
      </c>
      <c r="D281" s="16">
        <v>1</v>
      </c>
      <c r="E281">
        <f>'III. WaTT Main'!G282</f>
        <v>0</v>
      </c>
    </row>
    <row r="282" spans="1:5">
      <c r="A282" s="3">
        <f>'III. WaTT Main'!A284</f>
        <v>0</v>
      </c>
      <c r="B282" s="3">
        <f>'III. WaTT Main'!A284</f>
        <v>0</v>
      </c>
      <c r="C282" s="3">
        <f>'III. WaTT Main'!B284</f>
        <v>0</v>
      </c>
      <c r="D282" s="16">
        <v>1</v>
      </c>
      <c r="E282">
        <f>'III. WaTT Main'!G283</f>
        <v>0</v>
      </c>
    </row>
    <row r="283" spans="1:5">
      <c r="A283" s="3">
        <f>'III. WaTT Main'!A285</f>
        <v>0</v>
      </c>
      <c r="B283" s="3">
        <f>'III. WaTT Main'!A285</f>
        <v>0</v>
      </c>
      <c r="C283" s="3">
        <f>'III. WaTT Main'!B285</f>
        <v>0</v>
      </c>
      <c r="D283" s="16">
        <v>1</v>
      </c>
      <c r="E283">
        <f>'III. WaTT Main'!G284</f>
        <v>0</v>
      </c>
    </row>
    <row r="284" spans="1:5">
      <c r="A284" s="3">
        <f>'III. WaTT Main'!A286</f>
        <v>0</v>
      </c>
      <c r="B284" s="3">
        <f>'III. WaTT Main'!A286</f>
        <v>0</v>
      </c>
      <c r="C284" s="3">
        <f>'III. WaTT Main'!B286</f>
        <v>0</v>
      </c>
      <c r="D284" s="16">
        <v>1</v>
      </c>
      <c r="E284">
        <f>'III. WaTT Main'!G285</f>
        <v>0</v>
      </c>
    </row>
    <row r="285" spans="1:5">
      <c r="A285" s="3">
        <f>'III. WaTT Main'!A287</f>
        <v>0</v>
      </c>
      <c r="B285" s="3">
        <f>'III. WaTT Main'!A287</f>
        <v>0</v>
      </c>
      <c r="C285" s="3">
        <f>'III. WaTT Main'!B287</f>
        <v>0</v>
      </c>
      <c r="D285" s="16">
        <v>1</v>
      </c>
      <c r="E285">
        <f>'III. WaTT Main'!G286</f>
        <v>0</v>
      </c>
    </row>
    <row r="286" spans="1:5">
      <c r="A286" s="3">
        <f>'III. WaTT Main'!A288</f>
        <v>0</v>
      </c>
      <c r="B286" s="3">
        <f>'III. WaTT Main'!A288</f>
        <v>0</v>
      </c>
      <c r="C286" s="3">
        <f>'III. WaTT Main'!B288</f>
        <v>0</v>
      </c>
      <c r="D286" s="16">
        <v>1</v>
      </c>
      <c r="E286">
        <f>'III. WaTT Main'!G287</f>
        <v>0</v>
      </c>
    </row>
    <row r="287" spans="1:5">
      <c r="A287" s="3">
        <f>'III. WaTT Main'!A289</f>
        <v>0</v>
      </c>
      <c r="B287" s="3">
        <f>'III. WaTT Main'!A289</f>
        <v>0</v>
      </c>
      <c r="C287" s="3">
        <f>'III. WaTT Main'!B289</f>
        <v>0</v>
      </c>
      <c r="D287" s="16">
        <v>1</v>
      </c>
      <c r="E287">
        <f>'III. WaTT Main'!G288</f>
        <v>0</v>
      </c>
    </row>
    <row r="288" spans="1:5">
      <c r="A288" s="3">
        <f>'III. WaTT Main'!A290</f>
        <v>0</v>
      </c>
      <c r="B288" s="3">
        <f>'III. WaTT Main'!A290</f>
        <v>0</v>
      </c>
      <c r="C288" s="3">
        <f>'III. WaTT Main'!B290</f>
        <v>0</v>
      </c>
      <c r="D288" s="16">
        <v>1</v>
      </c>
      <c r="E288">
        <f>'III. WaTT Main'!G289</f>
        <v>0</v>
      </c>
    </row>
    <row r="289" spans="1:5">
      <c r="A289" s="3">
        <f>'III. WaTT Main'!A291</f>
        <v>0</v>
      </c>
      <c r="B289" s="3">
        <f>'III. WaTT Main'!A291</f>
        <v>0</v>
      </c>
      <c r="C289" s="3">
        <f>'III. WaTT Main'!B291</f>
        <v>0</v>
      </c>
      <c r="D289" s="16">
        <v>1</v>
      </c>
      <c r="E289">
        <f>'III. WaTT Main'!G290</f>
        <v>0</v>
      </c>
    </row>
    <row r="290" spans="1:5">
      <c r="A290" s="3">
        <f>'III. WaTT Main'!A292</f>
        <v>0</v>
      </c>
      <c r="B290" s="3">
        <f>'III. WaTT Main'!A292</f>
        <v>0</v>
      </c>
      <c r="C290" s="3">
        <f>'III. WaTT Main'!B292</f>
        <v>0</v>
      </c>
      <c r="D290" s="16">
        <v>1</v>
      </c>
      <c r="E290">
        <f>'III. WaTT Main'!G291</f>
        <v>0</v>
      </c>
    </row>
    <row r="291" spans="1:5">
      <c r="A291" s="3">
        <f>'III. WaTT Main'!A293</f>
        <v>0</v>
      </c>
      <c r="B291" s="3">
        <f>'III. WaTT Main'!A293</f>
        <v>0</v>
      </c>
      <c r="C291" s="3">
        <f>'III. WaTT Main'!B293</f>
        <v>0</v>
      </c>
      <c r="D291" s="16">
        <v>1</v>
      </c>
      <c r="E291">
        <f>'III. WaTT Main'!G292</f>
        <v>0</v>
      </c>
    </row>
    <row r="292" spans="1:5">
      <c r="A292" s="3">
        <f>'III. WaTT Main'!A294</f>
        <v>0</v>
      </c>
      <c r="B292" s="3">
        <f>'III. WaTT Main'!A294</f>
        <v>0</v>
      </c>
      <c r="C292" s="3">
        <f>'III. WaTT Main'!B294</f>
        <v>0</v>
      </c>
      <c r="D292" s="16">
        <v>1</v>
      </c>
      <c r="E292">
        <f>'III. WaTT Main'!G293</f>
        <v>0</v>
      </c>
    </row>
    <row r="293" spans="1:5">
      <c r="A293" s="3">
        <f>'III. WaTT Main'!A295</f>
        <v>0</v>
      </c>
      <c r="B293" s="3">
        <f>'III. WaTT Main'!A295</f>
        <v>0</v>
      </c>
      <c r="C293" s="3">
        <f>'III. WaTT Main'!B295</f>
        <v>0</v>
      </c>
      <c r="D293" s="16">
        <v>1</v>
      </c>
      <c r="E293">
        <f>'III. WaTT Main'!G294</f>
        <v>0</v>
      </c>
    </row>
    <row r="294" spans="1:5">
      <c r="A294" s="3">
        <f>'III. WaTT Main'!A296</f>
        <v>0</v>
      </c>
      <c r="B294" s="3">
        <f>'III. WaTT Main'!A296</f>
        <v>0</v>
      </c>
      <c r="C294" s="3">
        <f>'III. WaTT Main'!B296</f>
        <v>0</v>
      </c>
      <c r="D294" s="16">
        <v>1</v>
      </c>
      <c r="E294">
        <f>'III. WaTT Main'!G295</f>
        <v>0</v>
      </c>
    </row>
    <row r="295" spans="1:5">
      <c r="A295" s="3">
        <f>'III. WaTT Main'!A297</f>
        <v>0</v>
      </c>
      <c r="B295" s="3">
        <f>'III. WaTT Main'!A297</f>
        <v>0</v>
      </c>
      <c r="C295" s="3">
        <f>'III. WaTT Main'!B297</f>
        <v>0</v>
      </c>
      <c r="D295" s="16">
        <v>1</v>
      </c>
      <c r="E295">
        <f>'III. WaTT Main'!G296</f>
        <v>0</v>
      </c>
    </row>
    <row r="296" spans="1:5">
      <c r="A296" s="3">
        <f>'III. WaTT Main'!A298</f>
        <v>0</v>
      </c>
      <c r="B296" s="3">
        <f>'III. WaTT Main'!A298</f>
        <v>0</v>
      </c>
      <c r="C296" s="3">
        <f>'III. WaTT Main'!B298</f>
        <v>0</v>
      </c>
      <c r="D296" s="16">
        <v>1</v>
      </c>
      <c r="E296">
        <f>'III. WaTT Main'!G297</f>
        <v>0</v>
      </c>
    </row>
    <row r="297" spans="1:5">
      <c r="A297" s="3">
        <f>'III. WaTT Main'!A299</f>
        <v>0</v>
      </c>
      <c r="B297" s="3">
        <f>'III. WaTT Main'!A299</f>
        <v>0</v>
      </c>
      <c r="C297" s="3">
        <f>'III. WaTT Main'!B299</f>
        <v>0</v>
      </c>
      <c r="D297" s="16">
        <v>1</v>
      </c>
      <c r="E297">
        <f>'III. WaTT Main'!G298</f>
        <v>0</v>
      </c>
    </row>
    <row r="298" spans="1:5">
      <c r="A298" s="3">
        <f>'III. WaTT Main'!A300</f>
        <v>0</v>
      </c>
      <c r="B298" s="3">
        <f>'III. WaTT Main'!A300</f>
        <v>0</v>
      </c>
      <c r="C298" s="3">
        <f>'III. WaTT Main'!B300</f>
        <v>0</v>
      </c>
      <c r="D298" s="16">
        <v>1</v>
      </c>
      <c r="E298">
        <f>'III. WaTT Main'!G299</f>
        <v>0</v>
      </c>
    </row>
    <row r="299" spans="1:5">
      <c r="A299" s="3">
        <f>'III. WaTT Main'!A301</f>
        <v>0</v>
      </c>
      <c r="B299" s="3">
        <f>'III. WaTT Main'!A301</f>
        <v>0</v>
      </c>
      <c r="C299" s="3">
        <f>'III. WaTT Main'!B301</f>
        <v>0</v>
      </c>
      <c r="D299" s="16">
        <v>1</v>
      </c>
      <c r="E299">
        <f>'III. WaTT Main'!G300</f>
        <v>0</v>
      </c>
    </row>
    <row r="300" spans="1:5">
      <c r="A300" s="3">
        <f>'III. WaTT Main'!A302</f>
        <v>0</v>
      </c>
      <c r="B300" s="3">
        <f>'III. WaTT Main'!A302</f>
        <v>0</v>
      </c>
      <c r="C300" s="3">
        <f>'III. WaTT Main'!B302</f>
        <v>0</v>
      </c>
      <c r="D300" s="16">
        <v>1</v>
      </c>
      <c r="E300">
        <f>'III. WaTT Main'!G301</f>
        <v>0</v>
      </c>
    </row>
    <row r="301" spans="1:5">
      <c r="A301" s="3">
        <f>'III. WaTT Main'!A303</f>
        <v>0</v>
      </c>
      <c r="B301" s="3">
        <f>'III. WaTT Main'!A303</f>
        <v>0</v>
      </c>
      <c r="C301" s="3">
        <f>'III. WaTT Main'!B303</f>
        <v>0</v>
      </c>
      <c r="D301" s="16">
        <v>1</v>
      </c>
      <c r="E301">
        <f>'III. WaTT Main'!G302</f>
        <v>0</v>
      </c>
    </row>
    <row r="302" spans="1:5">
      <c r="A302" s="3">
        <f>'III. WaTT Main'!A304</f>
        <v>0</v>
      </c>
      <c r="B302" s="3">
        <f>'III. WaTT Main'!A304</f>
        <v>0</v>
      </c>
      <c r="C302" s="3">
        <f>'III. WaTT Main'!B304</f>
        <v>0</v>
      </c>
      <c r="D302" s="16">
        <v>1</v>
      </c>
      <c r="E302">
        <f>'III. WaTT Main'!G303</f>
        <v>0</v>
      </c>
    </row>
    <row r="303" spans="1:5">
      <c r="A303" s="3" t="e">
        <f>'III. WaTT Main'!#REF!</f>
        <v>#REF!</v>
      </c>
      <c r="B303" s="3" t="e">
        <f>'III. WaTT Main'!#REF!</f>
        <v>#REF!</v>
      </c>
      <c r="C303" s="3" t="e">
        <f>'III. WaTT Main'!#REF!</f>
        <v>#REF!</v>
      </c>
      <c r="D303" s="16">
        <v>1</v>
      </c>
      <c r="E303">
        <f>'III. WaTT Main'!G304</f>
        <v>0</v>
      </c>
    </row>
    <row r="304" spans="1:5">
      <c r="A304" s="3" t="e">
        <f>'III. WaTT Main'!#REF!</f>
        <v>#REF!</v>
      </c>
      <c r="B304" s="3" t="e">
        <f>'III. WaTT Main'!#REF!</f>
        <v>#REF!</v>
      </c>
      <c r="C304" s="3" t="e">
        <f>'III. WaTT Main'!#REF!</f>
        <v>#REF!</v>
      </c>
      <c r="D304" s="16">
        <v>1</v>
      </c>
      <c r="E304" t="e">
        <f>'III. WaTT Main'!#REF!</f>
        <v>#REF!</v>
      </c>
    </row>
    <row r="305" spans="1:6">
      <c r="A305" s="3" t="e">
        <f>'III. WaTT Main'!#REF!</f>
        <v>#REF!</v>
      </c>
      <c r="B305" s="3" t="e">
        <f>'III. WaTT Main'!#REF!</f>
        <v>#REF!</v>
      </c>
      <c r="C305" s="3" t="e">
        <f>'III. WaTT Main'!#REF!</f>
        <v>#REF!</v>
      </c>
      <c r="D305" s="16">
        <v>1</v>
      </c>
      <c r="E305" t="e">
        <f>'III. WaTT Main'!#REF!</f>
        <v>#REF!</v>
      </c>
    </row>
    <row r="306" spans="1:6">
      <c r="A306" s="3" t="e">
        <f>'III. WaTT Main'!#REF!</f>
        <v>#REF!</v>
      </c>
      <c r="B306" s="3" t="e">
        <f>'III. WaTT Main'!#REF!</f>
        <v>#REF!</v>
      </c>
      <c r="C306" s="3" t="e">
        <f>'III. WaTT Main'!#REF!</f>
        <v>#REF!</v>
      </c>
      <c r="D306" s="16">
        <v>1</v>
      </c>
      <c r="E306" t="e">
        <f>'III. WaTT Main'!#REF!</f>
        <v>#REF!</v>
      </c>
    </row>
    <row r="307" spans="1:6">
      <c r="A307" s="3" t="e">
        <f>'III. WaTT Main'!#REF!</f>
        <v>#REF!</v>
      </c>
      <c r="B307" s="3" t="e">
        <f>'III. WaTT Main'!#REF!</f>
        <v>#REF!</v>
      </c>
      <c r="C307" s="3" t="e">
        <f>'III. WaTT Main'!#REF!</f>
        <v>#REF!</v>
      </c>
      <c r="D307" s="16">
        <v>1</v>
      </c>
      <c r="E307" t="e">
        <f>'III. WaTT Main'!#REF!</f>
        <v>#REF!</v>
      </c>
    </row>
    <row r="308" spans="1:6">
      <c r="A308" s="3" t="e">
        <f>'III. WaTT Main'!#REF!</f>
        <v>#REF!</v>
      </c>
      <c r="B308" s="3" t="e">
        <f>'III. WaTT Main'!#REF!</f>
        <v>#REF!</v>
      </c>
      <c r="C308" s="3" t="e">
        <f>'III. WaTT Main'!#REF!</f>
        <v>#REF!</v>
      </c>
      <c r="D308" s="16">
        <v>1</v>
      </c>
      <c r="E308" t="e">
        <f>'III. WaTT Main'!#REF!</f>
        <v>#REF!</v>
      </c>
    </row>
    <row r="309" spans="1:6">
      <c r="A309" s="3" t="e">
        <f>'III. WaTT Main'!#REF!</f>
        <v>#REF!</v>
      </c>
      <c r="B309" s="3" t="e">
        <f>'III. WaTT Main'!#REF!</f>
        <v>#REF!</v>
      </c>
      <c r="C309" s="3" t="e">
        <f>'III. WaTT Main'!#REF!</f>
        <v>#REF!</v>
      </c>
      <c r="D309" s="16">
        <v>1</v>
      </c>
      <c r="E309" t="e">
        <f>'III. WaTT Main'!#REF!</f>
        <v>#REF!</v>
      </c>
    </row>
    <row r="310" spans="1:6">
      <c r="A310" s="3" t="e">
        <f>'III. WaTT Main'!#REF!</f>
        <v>#REF!</v>
      </c>
      <c r="B310" s="3" t="e">
        <f>'III. WaTT Main'!#REF!</f>
        <v>#REF!</v>
      </c>
      <c r="C310" s="3" t="e">
        <f>'III. WaTT Main'!#REF!</f>
        <v>#REF!</v>
      </c>
      <c r="D310" s="16">
        <v>1</v>
      </c>
      <c r="E310" t="e">
        <f>'III. WaTT Main'!#REF!</f>
        <v>#REF!</v>
      </c>
    </row>
    <row r="311" spans="1:6">
      <c r="A311" s="3" t="e">
        <f>'III. WaTT Main'!#REF!</f>
        <v>#REF!</v>
      </c>
      <c r="B311" s="3" t="e">
        <f>'III. WaTT Main'!#REF!</f>
        <v>#REF!</v>
      </c>
      <c r="C311" s="3" t="e">
        <f>'III. WaTT Main'!#REF!</f>
        <v>#REF!</v>
      </c>
      <c r="D311" s="16">
        <v>1</v>
      </c>
      <c r="E311" t="e">
        <f>'III. WaTT Main'!#REF!</f>
        <v>#REF!</v>
      </c>
    </row>
    <row r="312" spans="1:6">
      <c r="A312" s="3" t="e">
        <f>'III. WaTT Main'!#REF!</f>
        <v>#REF!</v>
      </c>
      <c r="B312" s="3" t="e">
        <f>'III. WaTT Main'!#REF!</f>
        <v>#REF!</v>
      </c>
      <c r="C312" s="3" t="e">
        <f>'III. WaTT Main'!#REF!</f>
        <v>#REF!</v>
      </c>
      <c r="D312" s="16">
        <v>1</v>
      </c>
      <c r="E312" t="e">
        <f>'III. WaTT Main'!#REF!</f>
        <v>#REF!</v>
      </c>
    </row>
    <row r="313" spans="1:6">
      <c r="A313" s="3" t="e">
        <f>'III. WaTT Main'!#REF!</f>
        <v>#REF!</v>
      </c>
      <c r="B313" s="3" t="e">
        <f>'III. WaTT Main'!#REF!</f>
        <v>#REF!</v>
      </c>
      <c r="C313" s="3" t="e">
        <f>'III. WaTT Main'!#REF!</f>
        <v>#REF!</v>
      </c>
      <c r="D313" s="16">
        <v>1</v>
      </c>
      <c r="E313" t="e">
        <f>'III. WaTT Main'!#REF!</f>
        <v>#REF!</v>
      </c>
    </row>
    <row r="314" spans="1:6">
      <c r="A314" s="3" t="e">
        <f>'III. WaTT Main'!#REF!</f>
        <v>#REF!</v>
      </c>
      <c r="B314" s="3" t="e">
        <f>'III. WaTT Main'!#REF!</f>
        <v>#REF!</v>
      </c>
      <c r="C314" s="3" t="e">
        <f>'III. WaTT Main'!#REF!</f>
        <v>#REF!</v>
      </c>
      <c r="D314" s="16">
        <v>1</v>
      </c>
      <c r="E314" t="e">
        <f>'III. WaTT Main'!#REF!</f>
        <v>#REF!</v>
      </c>
    </row>
    <row r="315" spans="1:6">
      <c r="A315" s="3" t="e">
        <f>'III. WaTT Main'!#REF!</f>
        <v>#REF!</v>
      </c>
      <c r="B315" s="3" t="e">
        <f>'III. WaTT Main'!#REF!</f>
        <v>#REF!</v>
      </c>
      <c r="C315" s="3" t="e">
        <f>'III. WaTT Main'!#REF!</f>
        <v>#REF!</v>
      </c>
      <c r="D315" s="16">
        <v>1</v>
      </c>
      <c r="E315" t="e">
        <f>'III. WaTT Main'!#REF!</f>
        <v>#REF!</v>
      </c>
    </row>
    <row r="316" spans="1:6">
      <c r="A316" s="3" t="e">
        <f>'III. WaTT Main'!#REF!</f>
        <v>#REF!</v>
      </c>
      <c r="B316" s="3" t="e">
        <f>'III. WaTT Main'!#REF!</f>
        <v>#REF!</v>
      </c>
      <c r="C316" s="3" t="e">
        <f>'III. WaTT Main'!#REF!</f>
        <v>#REF!</v>
      </c>
      <c r="D316" s="16">
        <v>1</v>
      </c>
      <c r="E316" t="e">
        <f>'III. WaTT Main'!#REF!</f>
        <v>#REF!</v>
      </c>
    </row>
    <row r="317" spans="1:6">
      <c r="A317" s="3" t="e">
        <f>'III. WaTT Main'!#REF!</f>
        <v>#REF!</v>
      </c>
      <c r="B317" s="3" t="e">
        <f>'III. WaTT Main'!#REF!</f>
        <v>#REF!</v>
      </c>
      <c r="C317" s="3" t="e">
        <f>'III. WaTT Main'!#REF!</f>
        <v>#REF!</v>
      </c>
      <c r="D317" s="16">
        <v>1</v>
      </c>
      <c r="E317" t="e">
        <f>'III. WaTT Main'!#REF!</f>
        <v>#REF!</v>
      </c>
      <c r="F317" s="13" t="s">
        <v>16</v>
      </c>
    </row>
    <row r="318" spans="1:6">
      <c r="A318" s="3" t="e">
        <f>'III. WaTT Main'!#REF!</f>
        <v>#REF!</v>
      </c>
      <c r="B318" s="3" t="e">
        <f>'III. WaTT Main'!#REF!</f>
        <v>#REF!</v>
      </c>
      <c r="C318" s="3" t="e">
        <f>'III. WaTT Main'!#REF!</f>
        <v>#REF!</v>
      </c>
      <c r="D318" s="16">
        <v>1</v>
      </c>
      <c r="E318" t="e">
        <f>'III. WaTT Main'!#REF!</f>
        <v>#REF!</v>
      </c>
    </row>
    <row r="319" spans="1:6">
      <c r="A319" s="3" t="e">
        <f>'III. WaTT Main'!#REF!</f>
        <v>#REF!</v>
      </c>
      <c r="B319" s="3" t="e">
        <f>'III. WaTT Main'!#REF!</f>
        <v>#REF!</v>
      </c>
      <c r="C319" s="3" t="e">
        <f>'III. WaTT Main'!#REF!</f>
        <v>#REF!</v>
      </c>
      <c r="D319" s="16">
        <v>1</v>
      </c>
      <c r="E319" t="e">
        <f>'III. WaTT Main'!#REF!</f>
        <v>#REF!</v>
      </c>
    </row>
    <row r="320" spans="1:6">
      <c r="A320" s="3" t="e">
        <f>'III. WaTT Main'!#REF!</f>
        <v>#REF!</v>
      </c>
      <c r="B320" s="3" t="e">
        <f>'III. WaTT Main'!#REF!</f>
        <v>#REF!</v>
      </c>
      <c r="C320" s="3" t="e">
        <f>'III. WaTT Main'!#REF!</f>
        <v>#REF!</v>
      </c>
      <c r="D320" s="16">
        <v>1</v>
      </c>
      <c r="E320" t="e">
        <f>'III. WaTT Main'!#REF!</f>
        <v>#REF!</v>
      </c>
    </row>
    <row r="321" spans="1:5">
      <c r="A321" s="3" t="e">
        <f>'III. WaTT Main'!#REF!</f>
        <v>#REF!</v>
      </c>
      <c r="B321" s="3" t="e">
        <f>'III. WaTT Main'!#REF!</f>
        <v>#REF!</v>
      </c>
      <c r="C321" s="3" t="e">
        <f>'III. WaTT Main'!#REF!</f>
        <v>#REF!</v>
      </c>
      <c r="D321" s="16">
        <v>1</v>
      </c>
      <c r="E321" t="e">
        <f>'III. WaTT Main'!#REF!</f>
        <v>#REF!</v>
      </c>
    </row>
    <row r="322" spans="1:5">
      <c r="A322" s="3" t="e">
        <f>'III. WaTT Main'!#REF!</f>
        <v>#REF!</v>
      </c>
      <c r="B322" s="3" t="e">
        <f>'III. WaTT Main'!#REF!</f>
        <v>#REF!</v>
      </c>
      <c r="C322" s="3" t="e">
        <f>'III. WaTT Main'!#REF!</f>
        <v>#REF!</v>
      </c>
      <c r="D322" s="16">
        <v>1</v>
      </c>
      <c r="E322" t="e">
        <f>'III. WaTT Main'!#REF!</f>
        <v>#REF!</v>
      </c>
    </row>
    <row r="323" spans="1:5">
      <c r="A323" s="3" t="e">
        <f>'III. WaTT Main'!#REF!</f>
        <v>#REF!</v>
      </c>
      <c r="B323" s="3" t="e">
        <f>'III. WaTT Main'!#REF!</f>
        <v>#REF!</v>
      </c>
      <c r="C323" s="3" t="e">
        <f>'III. WaTT Main'!#REF!</f>
        <v>#REF!</v>
      </c>
      <c r="D323" s="16">
        <v>1</v>
      </c>
      <c r="E323" t="e">
        <f>'III. WaTT Main'!#REF!</f>
        <v>#REF!</v>
      </c>
    </row>
    <row r="324" spans="1:5">
      <c r="A324" s="3" t="e">
        <f>'III. WaTT Main'!#REF!</f>
        <v>#REF!</v>
      </c>
      <c r="B324" s="3" t="e">
        <f>'III. WaTT Main'!#REF!</f>
        <v>#REF!</v>
      </c>
      <c r="C324" s="3" t="e">
        <f>'III. WaTT Main'!#REF!</f>
        <v>#REF!</v>
      </c>
      <c r="D324" s="16">
        <v>1</v>
      </c>
      <c r="E324" t="e">
        <f>'III. WaTT Main'!#REF!</f>
        <v>#REF!</v>
      </c>
    </row>
    <row r="325" spans="1:5">
      <c r="A325" s="3" t="e">
        <f>'III. WaTT Main'!#REF!</f>
        <v>#REF!</v>
      </c>
      <c r="B325" s="3" t="e">
        <f>'III. WaTT Main'!#REF!</f>
        <v>#REF!</v>
      </c>
      <c r="C325" s="3" t="e">
        <f>'III. WaTT Main'!#REF!</f>
        <v>#REF!</v>
      </c>
      <c r="D325" s="16">
        <v>1</v>
      </c>
      <c r="E325" t="e">
        <f>'III. WaTT Main'!#REF!</f>
        <v>#REF!</v>
      </c>
    </row>
    <row r="326" spans="1:5">
      <c r="A326" s="3" t="e">
        <f>'III. WaTT Main'!#REF!</f>
        <v>#REF!</v>
      </c>
      <c r="B326" s="3" t="e">
        <f>'III. WaTT Main'!#REF!</f>
        <v>#REF!</v>
      </c>
      <c r="C326" s="3" t="e">
        <f>'III. WaTT Main'!#REF!</f>
        <v>#REF!</v>
      </c>
      <c r="D326" s="16">
        <v>1</v>
      </c>
      <c r="E326" t="e">
        <f>'III. WaTT Main'!#REF!</f>
        <v>#REF!</v>
      </c>
    </row>
    <row r="327" spans="1:5">
      <c r="A327" s="3" t="e">
        <f>'III. WaTT Main'!#REF!</f>
        <v>#REF!</v>
      </c>
      <c r="B327" s="3" t="e">
        <f>'III. WaTT Main'!#REF!</f>
        <v>#REF!</v>
      </c>
      <c r="C327" s="3" t="e">
        <f>'III. WaTT Main'!#REF!</f>
        <v>#REF!</v>
      </c>
      <c r="D327" s="16">
        <v>1</v>
      </c>
      <c r="E327" t="e">
        <f>'III. WaTT Main'!#REF!</f>
        <v>#REF!</v>
      </c>
    </row>
    <row r="328" spans="1:5">
      <c r="A328" s="3" t="e">
        <f>'III. WaTT Main'!#REF!</f>
        <v>#REF!</v>
      </c>
      <c r="B328" s="3" t="e">
        <f>'III. WaTT Main'!#REF!</f>
        <v>#REF!</v>
      </c>
      <c r="C328" s="3" t="e">
        <f>'III. WaTT Main'!#REF!</f>
        <v>#REF!</v>
      </c>
      <c r="D328" s="16">
        <v>1</v>
      </c>
      <c r="E328" t="e">
        <f>'III. WaTT Main'!#REF!</f>
        <v>#REF!</v>
      </c>
    </row>
    <row r="329" spans="1:5">
      <c r="A329" s="3" t="e">
        <f>'III. WaTT Main'!#REF!</f>
        <v>#REF!</v>
      </c>
      <c r="B329" s="3" t="e">
        <f>'III. WaTT Main'!#REF!</f>
        <v>#REF!</v>
      </c>
      <c r="C329" s="3" t="e">
        <f>'III. WaTT Main'!#REF!</f>
        <v>#REF!</v>
      </c>
      <c r="D329" s="16">
        <v>1</v>
      </c>
      <c r="E329" t="e">
        <f>'III. WaTT Main'!#REF!</f>
        <v>#REF!</v>
      </c>
    </row>
    <row r="330" spans="1:5">
      <c r="A330" s="3" t="e">
        <f>'III. WaTT Main'!#REF!</f>
        <v>#REF!</v>
      </c>
      <c r="B330" s="3" t="e">
        <f>'III. WaTT Main'!#REF!</f>
        <v>#REF!</v>
      </c>
      <c r="C330" s="3" t="e">
        <f>'III. WaTT Main'!#REF!</f>
        <v>#REF!</v>
      </c>
      <c r="D330" s="16">
        <v>1</v>
      </c>
      <c r="E330" t="e">
        <f>'III. WaTT Main'!#REF!</f>
        <v>#REF!</v>
      </c>
    </row>
    <row r="331" spans="1:5">
      <c r="A331" s="3" t="e">
        <f>'III. WaTT Main'!#REF!</f>
        <v>#REF!</v>
      </c>
      <c r="B331" s="3" t="e">
        <f>'III. WaTT Main'!#REF!</f>
        <v>#REF!</v>
      </c>
      <c r="C331" s="3" t="e">
        <f>'III. WaTT Main'!#REF!</f>
        <v>#REF!</v>
      </c>
      <c r="D331" s="16">
        <v>1</v>
      </c>
      <c r="E331" t="e">
        <f>'III. WaTT Main'!#REF!</f>
        <v>#REF!</v>
      </c>
    </row>
    <row r="332" spans="1:5">
      <c r="A332" s="3" t="e">
        <f>'III. WaTT Main'!#REF!</f>
        <v>#REF!</v>
      </c>
      <c r="B332" s="3" t="e">
        <f>'III. WaTT Main'!#REF!</f>
        <v>#REF!</v>
      </c>
      <c r="C332" s="3" t="e">
        <f>'III. WaTT Main'!#REF!</f>
        <v>#REF!</v>
      </c>
      <c r="D332" s="16">
        <v>1</v>
      </c>
      <c r="E332" t="e">
        <f>'III. WaTT Main'!#REF!</f>
        <v>#REF!</v>
      </c>
    </row>
    <row r="333" spans="1:5">
      <c r="A333" s="3" t="e">
        <f>'III. WaTT Main'!#REF!</f>
        <v>#REF!</v>
      </c>
      <c r="B333" s="3" t="e">
        <f>'III. WaTT Main'!#REF!</f>
        <v>#REF!</v>
      </c>
      <c r="C333" s="3" t="e">
        <f>'III. WaTT Main'!#REF!</f>
        <v>#REF!</v>
      </c>
      <c r="D333" s="16">
        <v>1</v>
      </c>
      <c r="E333" t="e">
        <f>'III. WaTT Main'!#REF!</f>
        <v>#REF!</v>
      </c>
    </row>
    <row r="334" spans="1:5">
      <c r="A334" s="3" t="e">
        <f>'III. WaTT Main'!#REF!</f>
        <v>#REF!</v>
      </c>
      <c r="B334" s="3" t="e">
        <f>'III. WaTT Main'!#REF!</f>
        <v>#REF!</v>
      </c>
      <c r="C334" s="3" t="e">
        <f>'III. WaTT Main'!#REF!</f>
        <v>#REF!</v>
      </c>
      <c r="D334" s="16">
        <v>1</v>
      </c>
      <c r="E334" t="e">
        <f>'III. WaTT Main'!#REF!</f>
        <v>#REF!</v>
      </c>
    </row>
    <row r="335" spans="1:5">
      <c r="A335" s="3" t="e">
        <f>'III. WaTT Main'!#REF!</f>
        <v>#REF!</v>
      </c>
      <c r="B335" s="3" t="e">
        <f>'III. WaTT Main'!#REF!</f>
        <v>#REF!</v>
      </c>
      <c r="C335" s="3" t="e">
        <f>'III. WaTT Main'!#REF!</f>
        <v>#REF!</v>
      </c>
      <c r="D335" s="16">
        <v>1</v>
      </c>
      <c r="E335" t="e">
        <f>'III. WaTT Main'!#REF!</f>
        <v>#REF!</v>
      </c>
    </row>
    <row r="336" spans="1:5">
      <c r="A336" s="3" t="e">
        <f>'III. WaTT Main'!#REF!</f>
        <v>#REF!</v>
      </c>
      <c r="B336" s="3" t="e">
        <f>'III. WaTT Main'!#REF!</f>
        <v>#REF!</v>
      </c>
      <c r="C336" s="3" t="e">
        <f>'III. WaTT Main'!#REF!</f>
        <v>#REF!</v>
      </c>
      <c r="D336" s="16">
        <v>1</v>
      </c>
      <c r="E336" t="e">
        <f>'III. WaTT Main'!#REF!</f>
        <v>#REF!</v>
      </c>
    </row>
    <row r="337" spans="1:5">
      <c r="A337" s="3" t="e">
        <f>'III. WaTT Main'!#REF!</f>
        <v>#REF!</v>
      </c>
      <c r="B337" s="3" t="e">
        <f>'III. WaTT Main'!#REF!</f>
        <v>#REF!</v>
      </c>
      <c r="C337" s="3" t="e">
        <f>'III. WaTT Main'!#REF!</f>
        <v>#REF!</v>
      </c>
      <c r="D337" s="16">
        <v>1</v>
      </c>
      <c r="E337" t="e">
        <f>'III. WaTT Main'!#REF!</f>
        <v>#REF!</v>
      </c>
    </row>
    <row r="338" spans="1:5">
      <c r="A338" s="3" t="e">
        <f>'III. WaTT Main'!#REF!</f>
        <v>#REF!</v>
      </c>
      <c r="B338" s="3" t="e">
        <f>'III. WaTT Main'!#REF!</f>
        <v>#REF!</v>
      </c>
      <c r="C338" s="3" t="e">
        <f>'III. WaTT Main'!#REF!</f>
        <v>#REF!</v>
      </c>
      <c r="D338" s="16">
        <v>1</v>
      </c>
      <c r="E338" t="e">
        <f>'III. WaTT Main'!#REF!</f>
        <v>#REF!</v>
      </c>
    </row>
    <row r="339" spans="1:5">
      <c r="A339" s="3" t="e">
        <f>'III. WaTT Main'!#REF!</f>
        <v>#REF!</v>
      </c>
      <c r="B339" s="3" t="e">
        <f>'III. WaTT Main'!#REF!</f>
        <v>#REF!</v>
      </c>
      <c r="C339" s="3" t="e">
        <f>'III. WaTT Main'!#REF!</f>
        <v>#REF!</v>
      </c>
      <c r="D339" s="16">
        <v>1</v>
      </c>
      <c r="E339" t="e">
        <f>'III. WaTT Main'!#REF!</f>
        <v>#REF!</v>
      </c>
    </row>
    <row r="340" spans="1:5">
      <c r="A340" s="3" t="e">
        <f>'III. WaTT Main'!#REF!</f>
        <v>#REF!</v>
      </c>
      <c r="B340" s="3" t="e">
        <f>'III. WaTT Main'!#REF!</f>
        <v>#REF!</v>
      </c>
      <c r="C340" s="3" t="e">
        <f>'III. WaTT Main'!#REF!</f>
        <v>#REF!</v>
      </c>
      <c r="D340" s="16">
        <v>1</v>
      </c>
      <c r="E340" t="e">
        <f>'III. WaTT Main'!#REF!</f>
        <v>#REF!</v>
      </c>
    </row>
    <row r="341" spans="1:5">
      <c r="A341" s="3" t="e">
        <f>'III. WaTT Main'!#REF!</f>
        <v>#REF!</v>
      </c>
      <c r="B341" s="3" t="e">
        <f>'III. WaTT Main'!#REF!</f>
        <v>#REF!</v>
      </c>
      <c r="C341" s="3" t="e">
        <f>'III. WaTT Main'!#REF!</f>
        <v>#REF!</v>
      </c>
      <c r="D341" s="16">
        <v>1</v>
      </c>
      <c r="E341" t="e">
        <f>'III. WaTT Main'!#REF!</f>
        <v>#REF!</v>
      </c>
    </row>
    <row r="342" spans="1:5">
      <c r="A342" s="3" t="e">
        <f>'III. WaTT Main'!#REF!</f>
        <v>#REF!</v>
      </c>
      <c r="B342" s="3" t="e">
        <f>'III. WaTT Main'!#REF!</f>
        <v>#REF!</v>
      </c>
      <c r="C342" s="3" t="e">
        <f>'III. WaTT Main'!#REF!</f>
        <v>#REF!</v>
      </c>
      <c r="D342" s="16">
        <v>1</v>
      </c>
      <c r="E342" t="e">
        <f>'III. WaTT Main'!#REF!</f>
        <v>#REF!</v>
      </c>
    </row>
    <row r="343" spans="1:5">
      <c r="A343" s="3" t="e">
        <f>'III. WaTT Main'!#REF!</f>
        <v>#REF!</v>
      </c>
      <c r="B343" s="3" t="e">
        <f>'III. WaTT Main'!#REF!</f>
        <v>#REF!</v>
      </c>
      <c r="C343" s="3" t="e">
        <f>'III. WaTT Main'!#REF!</f>
        <v>#REF!</v>
      </c>
      <c r="D343" s="16">
        <v>1</v>
      </c>
      <c r="E343" t="e">
        <f>'III. WaTT Main'!#REF!</f>
        <v>#REF!</v>
      </c>
    </row>
    <row r="344" spans="1:5">
      <c r="A344" s="3" t="e">
        <f>'III. WaTT Main'!#REF!</f>
        <v>#REF!</v>
      </c>
      <c r="B344" s="3" t="e">
        <f>'III. WaTT Main'!#REF!</f>
        <v>#REF!</v>
      </c>
      <c r="C344" s="3" t="e">
        <f>'III. WaTT Main'!#REF!</f>
        <v>#REF!</v>
      </c>
      <c r="D344" s="16">
        <v>1</v>
      </c>
      <c r="E344" t="e">
        <f>'III. WaTT Main'!#REF!</f>
        <v>#REF!</v>
      </c>
    </row>
    <row r="345" spans="1:5">
      <c r="A345" s="3" t="e">
        <f>'III. WaTT Main'!#REF!</f>
        <v>#REF!</v>
      </c>
      <c r="B345" s="3" t="e">
        <f>'III. WaTT Main'!#REF!</f>
        <v>#REF!</v>
      </c>
      <c r="C345" s="3" t="e">
        <f>'III. WaTT Main'!#REF!</f>
        <v>#REF!</v>
      </c>
      <c r="D345" s="16">
        <v>1</v>
      </c>
      <c r="E345" t="e">
        <f>'III. WaTT Main'!#REF!</f>
        <v>#REF!</v>
      </c>
    </row>
    <row r="346" spans="1:5">
      <c r="A346" s="3" t="e">
        <f>'III. WaTT Main'!#REF!</f>
        <v>#REF!</v>
      </c>
      <c r="B346" s="3" t="e">
        <f>'III. WaTT Main'!#REF!</f>
        <v>#REF!</v>
      </c>
      <c r="C346" s="3" t="e">
        <f>'III. WaTT Main'!#REF!</f>
        <v>#REF!</v>
      </c>
      <c r="D346" s="16">
        <v>1</v>
      </c>
      <c r="E346" t="e">
        <f>'III. WaTT Main'!#REF!</f>
        <v>#REF!</v>
      </c>
    </row>
    <row r="347" spans="1:5">
      <c r="A347" s="3" t="e">
        <f>'III. WaTT Main'!#REF!</f>
        <v>#REF!</v>
      </c>
      <c r="B347" s="3" t="e">
        <f>'III. WaTT Main'!#REF!</f>
        <v>#REF!</v>
      </c>
      <c r="C347" s="3" t="e">
        <f>'III. WaTT Main'!#REF!</f>
        <v>#REF!</v>
      </c>
      <c r="D347" s="16">
        <v>1</v>
      </c>
      <c r="E347" t="e">
        <f>'III. WaTT Main'!#REF!</f>
        <v>#REF!</v>
      </c>
    </row>
    <row r="348" spans="1:5">
      <c r="A348" s="3" t="e">
        <f>'III. WaTT Main'!#REF!</f>
        <v>#REF!</v>
      </c>
      <c r="B348" s="3" t="e">
        <f>'III. WaTT Main'!#REF!</f>
        <v>#REF!</v>
      </c>
      <c r="C348" s="3" t="e">
        <f>'III. WaTT Main'!#REF!</f>
        <v>#REF!</v>
      </c>
      <c r="D348" s="16">
        <v>1</v>
      </c>
      <c r="E348" t="e">
        <f>'III. WaTT Main'!#REF!</f>
        <v>#REF!</v>
      </c>
    </row>
    <row r="349" spans="1:5">
      <c r="A349" s="3" t="e">
        <f>'III. WaTT Main'!#REF!</f>
        <v>#REF!</v>
      </c>
      <c r="B349" s="3" t="e">
        <f>'III. WaTT Main'!#REF!</f>
        <v>#REF!</v>
      </c>
      <c r="C349" s="3" t="e">
        <f>'III. WaTT Main'!#REF!</f>
        <v>#REF!</v>
      </c>
      <c r="D349" s="16">
        <v>1</v>
      </c>
      <c r="E349" t="e">
        <f>'III. WaTT Main'!#REF!</f>
        <v>#REF!</v>
      </c>
    </row>
    <row r="350" spans="1:5">
      <c r="A350" s="3" t="e">
        <f>'III. WaTT Main'!#REF!</f>
        <v>#REF!</v>
      </c>
      <c r="B350" s="3" t="e">
        <f>'III. WaTT Main'!#REF!</f>
        <v>#REF!</v>
      </c>
      <c r="C350" s="3" t="e">
        <f>'III. WaTT Main'!#REF!</f>
        <v>#REF!</v>
      </c>
      <c r="D350" s="16">
        <v>1</v>
      </c>
      <c r="E350" t="e">
        <f>'III. WaTT Main'!#REF!</f>
        <v>#REF!</v>
      </c>
    </row>
    <row r="351" spans="1:5">
      <c r="A351" s="3" t="e">
        <f>'III. WaTT Main'!#REF!</f>
        <v>#REF!</v>
      </c>
      <c r="B351" s="3" t="e">
        <f>'III. WaTT Main'!#REF!</f>
        <v>#REF!</v>
      </c>
      <c r="C351" s="3" t="e">
        <f>'III. WaTT Main'!#REF!</f>
        <v>#REF!</v>
      </c>
      <c r="D351" s="16">
        <v>1</v>
      </c>
      <c r="E351" t="e">
        <f>'III. WaTT Main'!#REF!</f>
        <v>#REF!</v>
      </c>
    </row>
    <row r="352" spans="1:5">
      <c r="A352" s="3" t="e">
        <f>'III. WaTT Main'!#REF!</f>
        <v>#REF!</v>
      </c>
      <c r="B352" s="3" t="e">
        <f>'III. WaTT Main'!#REF!</f>
        <v>#REF!</v>
      </c>
      <c r="C352" s="3" t="e">
        <f>'III. WaTT Main'!#REF!</f>
        <v>#REF!</v>
      </c>
      <c r="D352" s="16">
        <v>1</v>
      </c>
      <c r="E352" t="e">
        <f>'III. WaTT Main'!#REF!</f>
        <v>#REF!</v>
      </c>
    </row>
    <row r="353" spans="1:5">
      <c r="A353" s="3" t="e">
        <f>'III. WaTT Main'!#REF!</f>
        <v>#REF!</v>
      </c>
      <c r="B353" s="3" t="e">
        <f>'III. WaTT Main'!#REF!</f>
        <v>#REF!</v>
      </c>
      <c r="C353" s="3" t="e">
        <f>'III. WaTT Main'!#REF!</f>
        <v>#REF!</v>
      </c>
      <c r="D353" s="16">
        <v>1</v>
      </c>
      <c r="E353" t="e">
        <f>'III. WaTT Main'!#REF!</f>
        <v>#REF!</v>
      </c>
    </row>
    <row r="354" spans="1:5">
      <c r="A354" s="3" t="e">
        <f>'III. WaTT Main'!#REF!</f>
        <v>#REF!</v>
      </c>
      <c r="B354" s="3" t="e">
        <f>'III. WaTT Main'!#REF!</f>
        <v>#REF!</v>
      </c>
      <c r="C354" s="3" t="e">
        <f>'III. WaTT Main'!#REF!</f>
        <v>#REF!</v>
      </c>
      <c r="D354" s="16">
        <v>1</v>
      </c>
      <c r="E354" t="e">
        <f>'III. WaTT Main'!#REF!</f>
        <v>#REF!</v>
      </c>
    </row>
    <row r="355" spans="1:5">
      <c r="A355" s="3" t="e">
        <f>'III. WaTT Main'!#REF!</f>
        <v>#REF!</v>
      </c>
      <c r="B355" s="3" t="e">
        <f>'III. WaTT Main'!#REF!</f>
        <v>#REF!</v>
      </c>
      <c r="C355" s="3" t="e">
        <f>'III. WaTT Main'!#REF!</f>
        <v>#REF!</v>
      </c>
      <c r="D355" s="16">
        <v>1</v>
      </c>
      <c r="E355" t="e">
        <f>'III. WaTT Main'!#REF!</f>
        <v>#REF!</v>
      </c>
    </row>
    <row r="356" spans="1:5">
      <c r="A356" s="3" t="e">
        <f>'III. WaTT Main'!#REF!</f>
        <v>#REF!</v>
      </c>
      <c r="B356" s="3" t="e">
        <f>'III. WaTT Main'!#REF!</f>
        <v>#REF!</v>
      </c>
      <c r="C356" s="3" t="e">
        <f>'III. WaTT Main'!#REF!</f>
        <v>#REF!</v>
      </c>
      <c r="D356" s="16">
        <v>1</v>
      </c>
      <c r="E356" t="e">
        <f>'III. WaTT Main'!#REF!</f>
        <v>#REF!</v>
      </c>
    </row>
    <row r="357" spans="1:5">
      <c r="A357" s="3" t="e">
        <f>'III. WaTT Main'!#REF!</f>
        <v>#REF!</v>
      </c>
      <c r="B357" s="3" t="e">
        <f>'III. WaTT Main'!#REF!</f>
        <v>#REF!</v>
      </c>
      <c r="C357" s="3" t="e">
        <f>'III. WaTT Main'!#REF!</f>
        <v>#REF!</v>
      </c>
      <c r="D357" s="16">
        <v>1</v>
      </c>
      <c r="E357" t="e">
        <f>'III. WaTT Main'!#REF!</f>
        <v>#REF!</v>
      </c>
    </row>
    <row r="358" spans="1:5">
      <c r="A358" s="3" t="e">
        <f>'III. WaTT Main'!#REF!</f>
        <v>#REF!</v>
      </c>
      <c r="B358" s="3" t="e">
        <f>'III. WaTT Main'!#REF!</f>
        <v>#REF!</v>
      </c>
      <c r="C358" s="3" t="e">
        <f>'III. WaTT Main'!#REF!</f>
        <v>#REF!</v>
      </c>
      <c r="D358" s="16">
        <v>1</v>
      </c>
      <c r="E358" t="e">
        <f>'III. WaTT Main'!#REF!</f>
        <v>#REF!</v>
      </c>
    </row>
    <row r="359" spans="1:5">
      <c r="A359" s="3" t="e">
        <f>'III. WaTT Main'!#REF!</f>
        <v>#REF!</v>
      </c>
      <c r="B359" s="3" t="e">
        <f>'III. WaTT Main'!#REF!</f>
        <v>#REF!</v>
      </c>
      <c r="C359" s="3" t="e">
        <f>'III. WaTT Main'!#REF!</f>
        <v>#REF!</v>
      </c>
      <c r="D359" s="16">
        <v>1</v>
      </c>
      <c r="E359" t="e">
        <f>'III. WaTT Main'!#REF!</f>
        <v>#REF!</v>
      </c>
    </row>
    <row r="360" spans="1:5">
      <c r="A360" s="3" t="e">
        <f>'III. WaTT Main'!#REF!</f>
        <v>#REF!</v>
      </c>
      <c r="B360" s="3" t="e">
        <f>'III. WaTT Main'!#REF!</f>
        <v>#REF!</v>
      </c>
      <c r="C360" s="3" t="e">
        <f>'III. WaTT Main'!#REF!</f>
        <v>#REF!</v>
      </c>
      <c r="D360" s="16">
        <v>1</v>
      </c>
      <c r="E360" t="e">
        <f>'III. WaTT Main'!#REF!</f>
        <v>#REF!</v>
      </c>
    </row>
    <row r="361" spans="1:5">
      <c r="A361" s="3" t="e">
        <f>'III. WaTT Main'!#REF!</f>
        <v>#REF!</v>
      </c>
      <c r="B361" s="3" t="e">
        <f>'III. WaTT Main'!#REF!</f>
        <v>#REF!</v>
      </c>
      <c r="C361" s="3" t="e">
        <f>'III. WaTT Main'!#REF!</f>
        <v>#REF!</v>
      </c>
      <c r="D361" s="16">
        <v>1</v>
      </c>
      <c r="E361" t="e">
        <f>'III. WaTT Main'!#REF!</f>
        <v>#REF!</v>
      </c>
    </row>
    <row r="362" spans="1:5">
      <c r="A362" s="3" t="e">
        <f>'III. WaTT Main'!#REF!</f>
        <v>#REF!</v>
      </c>
      <c r="B362" s="3" t="e">
        <f>'III. WaTT Main'!#REF!</f>
        <v>#REF!</v>
      </c>
      <c r="C362" s="3" t="e">
        <f>'III. WaTT Main'!#REF!</f>
        <v>#REF!</v>
      </c>
      <c r="D362" s="16">
        <v>1</v>
      </c>
      <c r="E362" t="e">
        <f>'III. WaTT Main'!#REF!</f>
        <v>#REF!</v>
      </c>
    </row>
    <row r="363" spans="1:5">
      <c r="A363" s="3" t="e">
        <f>'III. WaTT Main'!#REF!</f>
        <v>#REF!</v>
      </c>
      <c r="B363" s="3" t="e">
        <f>'III. WaTT Main'!#REF!</f>
        <v>#REF!</v>
      </c>
      <c r="C363" s="3" t="e">
        <f>'III. WaTT Main'!#REF!</f>
        <v>#REF!</v>
      </c>
      <c r="D363" s="16">
        <v>1</v>
      </c>
      <c r="E363" t="e">
        <f>'III. WaTT Main'!#REF!</f>
        <v>#REF!</v>
      </c>
    </row>
    <row r="364" spans="1:5">
      <c r="A364" s="3" t="e">
        <f>'III. WaTT Main'!#REF!</f>
        <v>#REF!</v>
      </c>
      <c r="B364" s="3" t="e">
        <f>'III. WaTT Main'!#REF!</f>
        <v>#REF!</v>
      </c>
      <c r="C364" s="3" t="e">
        <f>'III. WaTT Main'!#REF!</f>
        <v>#REF!</v>
      </c>
      <c r="D364" s="16">
        <v>1</v>
      </c>
      <c r="E364" t="e">
        <f>'III. WaTT Main'!#REF!</f>
        <v>#REF!</v>
      </c>
    </row>
    <row r="365" spans="1:5">
      <c r="A365" s="3" t="e">
        <f>'III. WaTT Main'!#REF!</f>
        <v>#REF!</v>
      </c>
      <c r="B365" s="3" t="e">
        <f>'III. WaTT Main'!#REF!</f>
        <v>#REF!</v>
      </c>
      <c r="C365" s="3" t="e">
        <f>'III. WaTT Main'!#REF!</f>
        <v>#REF!</v>
      </c>
      <c r="D365" s="16">
        <v>1</v>
      </c>
      <c r="E365" t="e">
        <f>'III. WaTT Main'!#REF!</f>
        <v>#REF!</v>
      </c>
    </row>
    <row r="366" spans="1:5">
      <c r="A366" s="3" t="e">
        <f>'III. WaTT Main'!#REF!</f>
        <v>#REF!</v>
      </c>
      <c r="B366" s="3" t="e">
        <f>'III. WaTT Main'!#REF!</f>
        <v>#REF!</v>
      </c>
      <c r="C366" s="3" t="e">
        <f>'III. WaTT Main'!#REF!</f>
        <v>#REF!</v>
      </c>
      <c r="D366" s="16">
        <v>1</v>
      </c>
      <c r="E366" t="e">
        <f>'III. WaTT Main'!#REF!</f>
        <v>#REF!</v>
      </c>
    </row>
    <row r="367" spans="1:5">
      <c r="A367" s="3" t="e">
        <f>'III. WaTT Main'!#REF!</f>
        <v>#REF!</v>
      </c>
      <c r="B367" s="3" t="e">
        <f>'III. WaTT Main'!#REF!</f>
        <v>#REF!</v>
      </c>
      <c r="C367" s="3" t="e">
        <f>'III. WaTT Main'!#REF!</f>
        <v>#REF!</v>
      </c>
      <c r="D367" s="16">
        <v>1</v>
      </c>
      <c r="E367" t="e">
        <f>'III. WaTT Main'!#REF!</f>
        <v>#REF!</v>
      </c>
    </row>
    <row r="368" spans="1:5">
      <c r="A368" s="3" t="e">
        <f>'III. WaTT Main'!#REF!</f>
        <v>#REF!</v>
      </c>
      <c r="B368" s="3" t="e">
        <f>'III. WaTT Main'!#REF!</f>
        <v>#REF!</v>
      </c>
      <c r="C368" s="3" t="e">
        <f>'III. WaTT Main'!#REF!</f>
        <v>#REF!</v>
      </c>
      <c r="D368" s="16">
        <v>1</v>
      </c>
      <c r="E368" t="e">
        <f>'III. WaTT Main'!#REF!</f>
        <v>#REF!</v>
      </c>
    </row>
    <row r="369" spans="1:5">
      <c r="A369" s="3" t="e">
        <f>'III. WaTT Main'!#REF!</f>
        <v>#REF!</v>
      </c>
      <c r="B369" s="3" t="e">
        <f>'III. WaTT Main'!#REF!</f>
        <v>#REF!</v>
      </c>
      <c r="C369" s="3" t="e">
        <f>'III. WaTT Main'!#REF!</f>
        <v>#REF!</v>
      </c>
      <c r="D369" s="16">
        <v>1</v>
      </c>
      <c r="E369" t="e">
        <f>'III. WaTT Main'!#REF!</f>
        <v>#REF!</v>
      </c>
    </row>
    <row r="370" spans="1:5">
      <c r="A370" s="3" t="e">
        <f>'III. WaTT Main'!#REF!</f>
        <v>#REF!</v>
      </c>
      <c r="B370" s="3" t="e">
        <f>'III. WaTT Main'!#REF!</f>
        <v>#REF!</v>
      </c>
      <c r="C370" s="3" t="e">
        <f>'III. WaTT Main'!#REF!</f>
        <v>#REF!</v>
      </c>
      <c r="D370" s="16">
        <v>1</v>
      </c>
      <c r="E370" t="e">
        <f>'III. WaTT Main'!#REF!</f>
        <v>#REF!</v>
      </c>
    </row>
    <row r="371" spans="1:5">
      <c r="A371" s="3" t="e">
        <f>'III. WaTT Main'!#REF!</f>
        <v>#REF!</v>
      </c>
      <c r="B371" s="3" t="e">
        <f>'III. WaTT Main'!#REF!</f>
        <v>#REF!</v>
      </c>
      <c r="C371" s="3" t="e">
        <f>'III. WaTT Main'!#REF!</f>
        <v>#REF!</v>
      </c>
      <c r="D371" s="16">
        <v>1</v>
      </c>
      <c r="E371" t="e">
        <f>'III. WaTT Main'!#REF!</f>
        <v>#REF!</v>
      </c>
    </row>
    <row r="372" spans="1:5">
      <c r="A372" s="3" t="e">
        <f>'III. WaTT Main'!#REF!</f>
        <v>#REF!</v>
      </c>
      <c r="B372" s="3" t="e">
        <f>'III. WaTT Main'!#REF!</f>
        <v>#REF!</v>
      </c>
      <c r="C372" s="3" t="e">
        <f>'III. WaTT Main'!#REF!</f>
        <v>#REF!</v>
      </c>
      <c r="D372" s="16">
        <v>1</v>
      </c>
      <c r="E372" t="e">
        <f>'III. WaTT Main'!#REF!</f>
        <v>#REF!</v>
      </c>
    </row>
    <row r="373" spans="1:5">
      <c r="A373" s="3" t="e">
        <f>'III. WaTT Main'!#REF!</f>
        <v>#REF!</v>
      </c>
      <c r="B373" s="3" t="e">
        <f>'III. WaTT Main'!#REF!</f>
        <v>#REF!</v>
      </c>
      <c r="C373" s="3" t="e">
        <f>'III. WaTT Main'!#REF!</f>
        <v>#REF!</v>
      </c>
      <c r="D373" s="16">
        <v>1</v>
      </c>
      <c r="E373" t="e">
        <f>'III. WaTT Main'!#REF!</f>
        <v>#REF!</v>
      </c>
    </row>
    <row r="374" spans="1:5">
      <c r="A374" s="3" t="e">
        <f>'III. WaTT Main'!#REF!</f>
        <v>#REF!</v>
      </c>
      <c r="B374" s="3" t="e">
        <f>'III. WaTT Main'!#REF!</f>
        <v>#REF!</v>
      </c>
      <c r="C374" s="3" t="e">
        <f>'III. WaTT Main'!#REF!</f>
        <v>#REF!</v>
      </c>
      <c r="D374" s="16">
        <v>1</v>
      </c>
      <c r="E374" t="e">
        <f>'III. WaTT Main'!#REF!</f>
        <v>#REF!</v>
      </c>
    </row>
    <row r="375" spans="1:5">
      <c r="A375" s="3" t="e">
        <f>'III. WaTT Main'!#REF!</f>
        <v>#REF!</v>
      </c>
      <c r="B375" s="3" t="e">
        <f>'III. WaTT Main'!#REF!</f>
        <v>#REF!</v>
      </c>
      <c r="C375" s="3" t="e">
        <f>'III. WaTT Main'!#REF!</f>
        <v>#REF!</v>
      </c>
      <c r="D375" s="16">
        <v>1</v>
      </c>
      <c r="E375" t="e">
        <f>'III. WaTT Main'!#REF!</f>
        <v>#REF!</v>
      </c>
    </row>
    <row r="376" spans="1:5">
      <c r="A376" s="3" t="e">
        <f>'III. WaTT Main'!#REF!</f>
        <v>#REF!</v>
      </c>
      <c r="B376" s="3" t="e">
        <f>'III. WaTT Main'!#REF!</f>
        <v>#REF!</v>
      </c>
      <c r="C376" s="3" t="e">
        <f>'III. WaTT Main'!#REF!</f>
        <v>#REF!</v>
      </c>
      <c r="D376" s="16">
        <v>1</v>
      </c>
      <c r="E376" t="e">
        <f>'III. WaTT Main'!#REF!</f>
        <v>#REF!</v>
      </c>
    </row>
    <row r="377" spans="1:5">
      <c r="A377" s="3" t="e">
        <f>'III. WaTT Main'!#REF!</f>
        <v>#REF!</v>
      </c>
      <c r="B377" s="3" t="e">
        <f>'III. WaTT Main'!#REF!</f>
        <v>#REF!</v>
      </c>
      <c r="C377" s="3" t="e">
        <f>'III. WaTT Main'!#REF!</f>
        <v>#REF!</v>
      </c>
      <c r="D377" s="16">
        <v>1</v>
      </c>
      <c r="E377" t="e">
        <f>'III. WaTT Main'!#REF!</f>
        <v>#REF!</v>
      </c>
    </row>
    <row r="378" spans="1:5">
      <c r="A378" s="3" t="e">
        <f>'III. WaTT Main'!#REF!</f>
        <v>#REF!</v>
      </c>
      <c r="B378" s="3" t="e">
        <f>'III. WaTT Main'!#REF!</f>
        <v>#REF!</v>
      </c>
      <c r="C378" s="3" t="e">
        <f>'III. WaTT Main'!#REF!</f>
        <v>#REF!</v>
      </c>
      <c r="D378" s="16">
        <v>1</v>
      </c>
      <c r="E378" t="e">
        <f>'III. WaTT Main'!#REF!</f>
        <v>#REF!</v>
      </c>
    </row>
    <row r="379" spans="1:5">
      <c r="A379" s="3" t="e">
        <f>'III. WaTT Main'!#REF!</f>
        <v>#REF!</v>
      </c>
      <c r="B379" s="3" t="e">
        <f>'III. WaTT Main'!#REF!</f>
        <v>#REF!</v>
      </c>
      <c r="C379" s="3" t="e">
        <f>'III. WaTT Main'!#REF!</f>
        <v>#REF!</v>
      </c>
      <c r="D379" s="16">
        <v>1</v>
      </c>
      <c r="E379" t="e">
        <f>'III. WaTT Main'!#REF!</f>
        <v>#REF!</v>
      </c>
    </row>
    <row r="380" spans="1:5">
      <c r="A380" s="3" t="e">
        <f>'III. WaTT Main'!#REF!</f>
        <v>#REF!</v>
      </c>
      <c r="B380" s="3" t="e">
        <f>'III. WaTT Main'!#REF!</f>
        <v>#REF!</v>
      </c>
      <c r="C380" s="3" t="e">
        <f>'III. WaTT Main'!#REF!</f>
        <v>#REF!</v>
      </c>
      <c r="D380" s="16">
        <v>1</v>
      </c>
      <c r="E380" t="e">
        <f>'III. WaTT Main'!#REF!</f>
        <v>#REF!</v>
      </c>
    </row>
    <row r="381" spans="1:5">
      <c r="A381" s="3" t="e">
        <f>'III. WaTT Main'!#REF!</f>
        <v>#REF!</v>
      </c>
      <c r="B381" s="3" t="e">
        <f>'III. WaTT Main'!#REF!</f>
        <v>#REF!</v>
      </c>
      <c r="C381" s="3" t="e">
        <f>'III. WaTT Main'!#REF!</f>
        <v>#REF!</v>
      </c>
      <c r="D381" s="16">
        <v>1</v>
      </c>
      <c r="E381" t="e">
        <f>'III. WaTT Main'!#REF!</f>
        <v>#REF!</v>
      </c>
    </row>
    <row r="382" spans="1:5">
      <c r="A382" s="3" t="e">
        <f>'III. WaTT Main'!#REF!</f>
        <v>#REF!</v>
      </c>
      <c r="B382" s="3" t="e">
        <f>'III. WaTT Main'!#REF!</f>
        <v>#REF!</v>
      </c>
      <c r="C382" s="3" t="e">
        <f>'III. WaTT Main'!#REF!</f>
        <v>#REF!</v>
      </c>
      <c r="D382" s="16">
        <v>1</v>
      </c>
      <c r="E382" t="e">
        <f>'III. WaTT Main'!#REF!</f>
        <v>#REF!</v>
      </c>
    </row>
    <row r="383" spans="1:5">
      <c r="A383" s="3" t="e">
        <f>'III. WaTT Main'!#REF!</f>
        <v>#REF!</v>
      </c>
      <c r="B383" s="3" t="e">
        <f>'III. WaTT Main'!#REF!</f>
        <v>#REF!</v>
      </c>
      <c r="C383" s="3" t="e">
        <f>'III. WaTT Main'!#REF!</f>
        <v>#REF!</v>
      </c>
      <c r="D383" s="16">
        <v>1</v>
      </c>
      <c r="E383" t="e">
        <f>'III. WaTT Main'!#REF!</f>
        <v>#REF!</v>
      </c>
    </row>
    <row r="384" spans="1:5">
      <c r="A384" s="3" t="e">
        <f>'III. WaTT Main'!#REF!</f>
        <v>#REF!</v>
      </c>
      <c r="B384" s="3" t="e">
        <f>'III. WaTT Main'!#REF!</f>
        <v>#REF!</v>
      </c>
      <c r="C384" s="3" t="e">
        <f>'III. WaTT Main'!#REF!</f>
        <v>#REF!</v>
      </c>
      <c r="D384" s="16">
        <v>1</v>
      </c>
      <c r="E384" t="e">
        <f>'III. WaTT Main'!#REF!</f>
        <v>#REF!</v>
      </c>
    </row>
    <row r="385" spans="1:5">
      <c r="A385" s="3" t="e">
        <f>'III. WaTT Main'!#REF!</f>
        <v>#REF!</v>
      </c>
      <c r="B385" s="3" t="e">
        <f>'III. WaTT Main'!#REF!</f>
        <v>#REF!</v>
      </c>
      <c r="C385" s="3" t="e">
        <f>'III. WaTT Main'!#REF!</f>
        <v>#REF!</v>
      </c>
      <c r="D385" s="16">
        <v>1</v>
      </c>
      <c r="E385" t="e">
        <f>'III. WaTT Main'!#REF!</f>
        <v>#REF!</v>
      </c>
    </row>
    <row r="386" spans="1:5">
      <c r="A386" s="3" t="e">
        <f>'III. WaTT Main'!#REF!</f>
        <v>#REF!</v>
      </c>
      <c r="B386" s="3" t="e">
        <f>'III. WaTT Main'!#REF!</f>
        <v>#REF!</v>
      </c>
      <c r="C386" s="3" t="e">
        <f>'III. WaTT Main'!#REF!</f>
        <v>#REF!</v>
      </c>
      <c r="D386" s="16">
        <v>1</v>
      </c>
      <c r="E386" t="e">
        <f>'III. WaTT Main'!#REF!</f>
        <v>#REF!</v>
      </c>
    </row>
    <row r="387" spans="1:5">
      <c r="A387" s="3" t="e">
        <f>'III. WaTT Main'!#REF!</f>
        <v>#REF!</v>
      </c>
      <c r="B387" s="3" t="e">
        <f>'III. WaTT Main'!#REF!</f>
        <v>#REF!</v>
      </c>
      <c r="C387" s="3" t="e">
        <f>'III. WaTT Main'!#REF!</f>
        <v>#REF!</v>
      </c>
      <c r="D387" s="16">
        <v>1</v>
      </c>
      <c r="E387" t="e">
        <f>'III. WaTT Main'!#REF!</f>
        <v>#REF!</v>
      </c>
    </row>
    <row r="388" spans="1:5">
      <c r="A388" s="3" t="e">
        <f>'III. WaTT Main'!#REF!</f>
        <v>#REF!</v>
      </c>
      <c r="B388" s="3" t="e">
        <f>'III. WaTT Main'!#REF!</f>
        <v>#REF!</v>
      </c>
      <c r="C388" s="3" t="e">
        <f>'III. WaTT Main'!#REF!</f>
        <v>#REF!</v>
      </c>
      <c r="D388" s="16">
        <v>1</v>
      </c>
      <c r="E388" t="e">
        <f>'III. WaTT Main'!#REF!</f>
        <v>#REF!</v>
      </c>
    </row>
    <row r="389" spans="1:5">
      <c r="A389" s="3" t="e">
        <f>'III. WaTT Main'!#REF!</f>
        <v>#REF!</v>
      </c>
      <c r="B389" s="3" t="e">
        <f>'III. WaTT Main'!#REF!</f>
        <v>#REF!</v>
      </c>
      <c r="C389" s="3" t="e">
        <f>'III. WaTT Main'!#REF!</f>
        <v>#REF!</v>
      </c>
      <c r="D389" s="16">
        <v>1</v>
      </c>
      <c r="E389" t="e">
        <f>'III. WaTT Main'!#REF!</f>
        <v>#REF!</v>
      </c>
    </row>
    <row r="390" spans="1:5">
      <c r="A390" s="3" t="e">
        <f>'III. WaTT Main'!#REF!</f>
        <v>#REF!</v>
      </c>
      <c r="B390" s="3" t="e">
        <f>'III. WaTT Main'!#REF!</f>
        <v>#REF!</v>
      </c>
      <c r="C390" s="3" t="e">
        <f>'III. WaTT Main'!#REF!</f>
        <v>#REF!</v>
      </c>
      <c r="D390" s="16">
        <v>1</v>
      </c>
      <c r="E390" t="e">
        <f>'III. WaTT Main'!#REF!</f>
        <v>#REF!</v>
      </c>
    </row>
    <row r="391" spans="1:5">
      <c r="A391" s="3" t="e">
        <f>'III. WaTT Main'!#REF!</f>
        <v>#REF!</v>
      </c>
      <c r="B391" s="3" t="e">
        <f>'III. WaTT Main'!#REF!</f>
        <v>#REF!</v>
      </c>
      <c r="C391" s="3" t="e">
        <f>'III. WaTT Main'!#REF!</f>
        <v>#REF!</v>
      </c>
      <c r="D391" s="16">
        <v>1</v>
      </c>
      <c r="E391" t="e">
        <f>'III. WaTT Main'!#REF!</f>
        <v>#REF!</v>
      </c>
    </row>
    <row r="392" spans="1:5">
      <c r="A392" s="3" t="e">
        <f>'III. WaTT Main'!#REF!</f>
        <v>#REF!</v>
      </c>
      <c r="B392" s="3" t="e">
        <f>'III. WaTT Main'!#REF!</f>
        <v>#REF!</v>
      </c>
      <c r="C392" s="3" t="e">
        <f>'III. WaTT Main'!#REF!</f>
        <v>#REF!</v>
      </c>
      <c r="D392" s="16">
        <v>1</v>
      </c>
      <c r="E392" t="e">
        <f>'III. WaTT Main'!#REF!</f>
        <v>#REF!</v>
      </c>
    </row>
    <row r="393" spans="1:5">
      <c r="A393" s="3" t="e">
        <f>'III. WaTT Main'!#REF!</f>
        <v>#REF!</v>
      </c>
      <c r="B393" s="3" t="e">
        <f>'III. WaTT Main'!#REF!</f>
        <v>#REF!</v>
      </c>
      <c r="C393" s="3" t="e">
        <f>'III. WaTT Main'!#REF!</f>
        <v>#REF!</v>
      </c>
      <c r="D393" s="16">
        <v>1</v>
      </c>
      <c r="E393" t="e">
        <f>'III. WaTT Main'!#REF!</f>
        <v>#REF!</v>
      </c>
    </row>
    <row r="394" spans="1:5">
      <c r="A394" s="3" t="e">
        <f>'III. WaTT Main'!#REF!</f>
        <v>#REF!</v>
      </c>
      <c r="B394" s="3" t="e">
        <f>'III. WaTT Main'!#REF!</f>
        <v>#REF!</v>
      </c>
      <c r="C394" s="3" t="e">
        <f>'III. WaTT Main'!#REF!</f>
        <v>#REF!</v>
      </c>
      <c r="D394" s="16">
        <v>1</v>
      </c>
      <c r="E394" t="e">
        <f>'III. WaTT Main'!#REF!</f>
        <v>#REF!</v>
      </c>
    </row>
    <row r="395" spans="1:5">
      <c r="A395" s="3" t="e">
        <f>'III. WaTT Main'!#REF!</f>
        <v>#REF!</v>
      </c>
      <c r="B395" s="3" t="e">
        <f>'III. WaTT Main'!#REF!</f>
        <v>#REF!</v>
      </c>
      <c r="C395" s="3" t="e">
        <f>'III. WaTT Main'!#REF!</f>
        <v>#REF!</v>
      </c>
      <c r="D395" s="16">
        <v>1</v>
      </c>
      <c r="E395" t="e">
        <f>'III. WaTT Main'!#REF!</f>
        <v>#REF!</v>
      </c>
    </row>
    <row r="396" spans="1:5">
      <c r="A396" s="3" t="e">
        <f>'III. WaTT Main'!#REF!</f>
        <v>#REF!</v>
      </c>
      <c r="B396" s="3" t="e">
        <f>'III. WaTT Main'!#REF!</f>
        <v>#REF!</v>
      </c>
      <c r="C396" s="3" t="e">
        <f>'III. WaTT Main'!#REF!</f>
        <v>#REF!</v>
      </c>
      <c r="D396" s="16">
        <v>1</v>
      </c>
      <c r="E396" t="e">
        <f>'III. WaTT Main'!#REF!</f>
        <v>#REF!</v>
      </c>
    </row>
    <row r="397" spans="1:5">
      <c r="A397" s="3" t="e">
        <f>'III. WaTT Main'!#REF!</f>
        <v>#REF!</v>
      </c>
      <c r="B397" s="3" t="e">
        <f>'III. WaTT Main'!#REF!</f>
        <v>#REF!</v>
      </c>
      <c r="C397" s="3" t="e">
        <f>'III. WaTT Main'!#REF!</f>
        <v>#REF!</v>
      </c>
      <c r="D397" s="16">
        <v>1</v>
      </c>
      <c r="E397" t="e">
        <f>'III. WaTT Main'!#REF!</f>
        <v>#REF!</v>
      </c>
    </row>
    <row r="398" spans="1:5">
      <c r="A398" s="3" t="e">
        <f>'III. WaTT Main'!#REF!</f>
        <v>#REF!</v>
      </c>
      <c r="B398" s="3" t="e">
        <f>'III. WaTT Main'!#REF!</f>
        <v>#REF!</v>
      </c>
      <c r="C398" s="3" t="e">
        <f>'III. WaTT Main'!#REF!</f>
        <v>#REF!</v>
      </c>
      <c r="D398" s="16">
        <v>1</v>
      </c>
      <c r="E398" t="e">
        <f>'III. WaTT Main'!#REF!</f>
        <v>#REF!</v>
      </c>
    </row>
    <row r="399" spans="1:5">
      <c r="A399" s="3" t="e">
        <f>'III. WaTT Main'!#REF!</f>
        <v>#REF!</v>
      </c>
      <c r="B399" s="3" t="e">
        <f>'III. WaTT Main'!#REF!</f>
        <v>#REF!</v>
      </c>
      <c r="C399" s="3" t="e">
        <f>'III. WaTT Main'!#REF!</f>
        <v>#REF!</v>
      </c>
      <c r="D399" s="16">
        <v>1</v>
      </c>
      <c r="E399" t="e">
        <f>'III. WaTT Main'!#REF!</f>
        <v>#REF!</v>
      </c>
    </row>
    <row r="400" spans="1:5">
      <c r="A400" s="3" t="e">
        <f>'III. WaTT Main'!#REF!</f>
        <v>#REF!</v>
      </c>
      <c r="B400" s="3" t="e">
        <f>'III. WaTT Main'!#REF!</f>
        <v>#REF!</v>
      </c>
      <c r="C400" s="3" t="e">
        <f>'III. WaTT Main'!#REF!</f>
        <v>#REF!</v>
      </c>
      <c r="D400" s="16">
        <v>1</v>
      </c>
      <c r="E400" t="e">
        <f>'III. WaTT Main'!#REF!</f>
        <v>#REF!</v>
      </c>
    </row>
    <row r="401" spans="1:5">
      <c r="A401" s="3" t="e">
        <f>'III. WaTT Main'!#REF!</f>
        <v>#REF!</v>
      </c>
      <c r="B401" s="3" t="e">
        <f>'III. WaTT Main'!#REF!</f>
        <v>#REF!</v>
      </c>
      <c r="C401" s="3" t="e">
        <f>'III. WaTT Main'!#REF!</f>
        <v>#REF!</v>
      </c>
      <c r="D401" s="16">
        <v>1</v>
      </c>
      <c r="E401" t="e">
        <f>'III. WaTT Main'!#REF!</f>
        <v>#REF!</v>
      </c>
    </row>
    <row r="402" spans="1:5">
      <c r="A402" s="3" t="e">
        <f>'III. WaTT Main'!#REF!</f>
        <v>#REF!</v>
      </c>
      <c r="B402" s="3" t="e">
        <f>'III. WaTT Main'!#REF!</f>
        <v>#REF!</v>
      </c>
      <c r="C402" s="3" t="e">
        <f>'III. WaTT Main'!#REF!</f>
        <v>#REF!</v>
      </c>
      <c r="D402" s="16">
        <v>1</v>
      </c>
      <c r="E402" t="e">
        <f>'III. WaTT Main'!#REF!</f>
        <v>#REF!</v>
      </c>
    </row>
    <row r="403" spans="1:5">
      <c r="A403" s="3" t="e">
        <f>'III. WaTT Main'!#REF!</f>
        <v>#REF!</v>
      </c>
      <c r="B403" s="3" t="e">
        <f>'III. WaTT Main'!#REF!</f>
        <v>#REF!</v>
      </c>
      <c r="C403" s="3" t="e">
        <f>'III. WaTT Main'!#REF!</f>
        <v>#REF!</v>
      </c>
      <c r="D403" s="16">
        <v>1</v>
      </c>
      <c r="E403" t="e">
        <f>'III. WaTT Main'!#REF!</f>
        <v>#REF!</v>
      </c>
    </row>
    <row r="404" spans="1:5">
      <c r="A404" s="3" t="e">
        <f>'III. WaTT Main'!#REF!</f>
        <v>#REF!</v>
      </c>
      <c r="B404" s="3" t="e">
        <f>'III. WaTT Main'!#REF!</f>
        <v>#REF!</v>
      </c>
      <c r="C404" s="3" t="e">
        <f>'III. WaTT Main'!#REF!</f>
        <v>#REF!</v>
      </c>
      <c r="D404" s="16">
        <v>1</v>
      </c>
      <c r="E404" t="e">
        <f>'III. WaTT Main'!#REF!</f>
        <v>#REF!</v>
      </c>
    </row>
    <row r="405" spans="1:5">
      <c r="A405" s="3" t="e">
        <f>'III. WaTT Main'!#REF!</f>
        <v>#REF!</v>
      </c>
      <c r="B405" s="3" t="e">
        <f>'III. WaTT Main'!#REF!</f>
        <v>#REF!</v>
      </c>
      <c r="C405" s="3" t="e">
        <f>'III. WaTT Main'!#REF!</f>
        <v>#REF!</v>
      </c>
      <c r="D405" s="16">
        <v>1</v>
      </c>
      <c r="E405" t="e">
        <f>'III. WaTT Main'!#REF!</f>
        <v>#REF!</v>
      </c>
    </row>
    <row r="406" spans="1:5">
      <c r="A406" s="3" t="e">
        <f>'III. WaTT Main'!#REF!</f>
        <v>#REF!</v>
      </c>
      <c r="B406" s="3" t="e">
        <f>'III. WaTT Main'!#REF!</f>
        <v>#REF!</v>
      </c>
      <c r="C406" s="3" t="e">
        <f>'III. WaTT Main'!#REF!</f>
        <v>#REF!</v>
      </c>
      <c r="D406" s="16">
        <v>1</v>
      </c>
      <c r="E406" t="e">
        <f>'III. WaTT Main'!#REF!</f>
        <v>#REF!</v>
      </c>
    </row>
    <row r="407" spans="1:5">
      <c r="A407" s="3" t="e">
        <f>'III. WaTT Main'!#REF!</f>
        <v>#REF!</v>
      </c>
      <c r="B407" s="3" t="e">
        <f>'III. WaTT Main'!#REF!</f>
        <v>#REF!</v>
      </c>
      <c r="C407" s="3" t="e">
        <f>'III. WaTT Main'!#REF!</f>
        <v>#REF!</v>
      </c>
      <c r="D407" s="16">
        <v>1</v>
      </c>
      <c r="E407" t="e">
        <f>'III. WaTT Main'!#REF!</f>
        <v>#REF!</v>
      </c>
    </row>
    <row r="408" spans="1:5">
      <c r="A408" s="3" t="e">
        <f>'III. WaTT Main'!#REF!</f>
        <v>#REF!</v>
      </c>
      <c r="B408" s="3" t="e">
        <f>'III. WaTT Main'!#REF!</f>
        <v>#REF!</v>
      </c>
      <c r="C408" s="3" t="e">
        <f>'III. WaTT Main'!#REF!</f>
        <v>#REF!</v>
      </c>
      <c r="D408" s="16">
        <v>1</v>
      </c>
      <c r="E408" t="e">
        <f>'III. WaTT Main'!#REF!</f>
        <v>#REF!</v>
      </c>
    </row>
    <row r="409" spans="1:5">
      <c r="A409" s="3" t="e">
        <f>'III. WaTT Main'!#REF!</f>
        <v>#REF!</v>
      </c>
      <c r="B409" s="3" t="e">
        <f>'III. WaTT Main'!#REF!</f>
        <v>#REF!</v>
      </c>
      <c r="C409" s="3" t="e">
        <f>'III. WaTT Main'!#REF!</f>
        <v>#REF!</v>
      </c>
      <c r="D409" s="16">
        <v>1</v>
      </c>
      <c r="E409" t="e">
        <f>'III. WaTT Main'!#REF!</f>
        <v>#REF!</v>
      </c>
    </row>
    <row r="410" spans="1:5">
      <c r="A410" s="3" t="e">
        <f>'III. WaTT Main'!#REF!</f>
        <v>#REF!</v>
      </c>
      <c r="B410" s="3" t="e">
        <f>'III. WaTT Main'!#REF!</f>
        <v>#REF!</v>
      </c>
      <c r="C410" s="3" t="e">
        <f>'III. WaTT Main'!#REF!</f>
        <v>#REF!</v>
      </c>
      <c r="D410" s="16">
        <v>1</v>
      </c>
      <c r="E410" t="e">
        <f>'III. WaTT Main'!#REF!</f>
        <v>#REF!</v>
      </c>
    </row>
    <row r="411" spans="1:5">
      <c r="A411" s="3" t="e">
        <f>'III. WaTT Main'!#REF!</f>
        <v>#REF!</v>
      </c>
      <c r="B411" s="3" t="e">
        <f>'III. WaTT Main'!#REF!</f>
        <v>#REF!</v>
      </c>
      <c r="C411" s="3" t="e">
        <f>'III. WaTT Main'!#REF!</f>
        <v>#REF!</v>
      </c>
      <c r="D411" s="16">
        <v>1</v>
      </c>
      <c r="E411" t="e">
        <f>'III. WaTT Main'!#REF!</f>
        <v>#REF!</v>
      </c>
    </row>
    <row r="412" spans="1:5">
      <c r="A412" s="3" t="e">
        <f>'III. WaTT Main'!#REF!</f>
        <v>#REF!</v>
      </c>
      <c r="B412" s="3" t="e">
        <f>'III. WaTT Main'!#REF!</f>
        <v>#REF!</v>
      </c>
      <c r="C412" s="3" t="e">
        <f>'III. WaTT Main'!#REF!</f>
        <v>#REF!</v>
      </c>
      <c r="D412" s="16">
        <v>1</v>
      </c>
      <c r="E412" t="e">
        <f>'III. WaTT Main'!#REF!</f>
        <v>#REF!</v>
      </c>
    </row>
    <row r="413" spans="1:5">
      <c r="A413" s="3" t="e">
        <f>'III. WaTT Main'!#REF!</f>
        <v>#REF!</v>
      </c>
      <c r="B413" s="3" t="e">
        <f>'III. WaTT Main'!#REF!</f>
        <v>#REF!</v>
      </c>
      <c r="C413" s="3" t="e">
        <f>'III. WaTT Main'!#REF!</f>
        <v>#REF!</v>
      </c>
      <c r="D413" s="16">
        <v>1</v>
      </c>
      <c r="E413" t="e">
        <f>'III. WaTT Main'!#REF!</f>
        <v>#REF!</v>
      </c>
    </row>
    <row r="414" spans="1:5">
      <c r="A414" s="3" t="e">
        <f>'III. WaTT Main'!#REF!</f>
        <v>#REF!</v>
      </c>
      <c r="B414" s="3" t="e">
        <f>'III. WaTT Main'!#REF!</f>
        <v>#REF!</v>
      </c>
      <c r="C414" s="3" t="e">
        <f>'III. WaTT Main'!#REF!</f>
        <v>#REF!</v>
      </c>
      <c r="D414" s="16">
        <v>1</v>
      </c>
      <c r="E414" t="e">
        <f>'III. WaTT Main'!#REF!</f>
        <v>#REF!</v>
      </c>
    </row>
    <row r="415" spans="1:5">
      <c r="A415" s="3" t="e">
        <f>'III. WaTT Main'!#REF!</f>
        <v>#REF!</v>
      </c>
      <c r="B415" s="3" t="e">
        <f>'III. WaTT Main'!#REF!</f>
        <v>#REF!</v>
      </c>
      <c r="C415" s="3" t="e">
        <f>'III. WaTT Main'!#REF!</f>
        <v>#REF!</v>
      </c>
      <c r="D415" s="16">
        <v>1</v>
      </c>
      <c r="E415" t="e">
        <f>'III. WaTT Main'!#REF!</f>
        <v>#REF!</v>
      </c>
    </row>
    <row r="416" spans="1:5">
      <c r="A416" s="3" t="e">
        <f>'III. WaTT Main'!#REF!</f>
        <v>#REF!</v>
      </c>
      <c r="B416" s="3" t="e">
        <f>'III. WaTT Main'!#REF!</f>
        <v>#REF!</v>
      </c>
      <c r="C416" s="3" t="e">
        <f>'III. WaTT Main'!#REF!</f>
        <v>#REF!</v>
      </c>
      <c r="D416" s="16">
        <v>1</v>
      </c>
      <c r="E416" t="e">
        <f>'III. WaTT Main'!#REF!</f>
        <v>#REF!</v>
      </c>
    </row>
    <row r="417" spans="1:5">
      <c r="A417" s="3" t="e">
        <f>'III. WaTT Main'!#REF!</f>
        <v>#REF!</v>
      </c>
      <c r="B417" s="3" t="e">
        <f>'III. WaTT Main'!#REF!</f>
        <v>#REF!</v>
      </c>
      <c r="C417" s="3" t="e">
        <f>'III. WaTT Main'!#REF!</f>
        <v>#REF!</v>
      </c>
      <c r="D417" s="16">
        <v>1</v>
      </c>
      <c r="E417" t="e">
        <f>'III. WaTT Main'!#REF!</f>
        <v>#REF!</v>
      </c>
    </row>
    <row r="418" spans="1:5">
      <c r="A418" s="3" t="e">
        <f>'III. WaTT Main'!#REF!</f>
        <v>#REF!</v>
      </c>
      <c r="B418" s="3" t="e">
        <f>'III. WaTT Main'!#REF!</f>
        <v>#REF!</v>
      </c>
      <c r="C418" s="3" t="e">
        <f>'III. WaTT Main'!#REF!</f>
        <v>#REF!</v>
      </c>
      <c r="D418" s="16">
        <v>1</v>
      </c>
      <c r="E418" t="e">
        <f>'III. WaTT Main'!#REF!</f>
        <v>#REF!</v>
      </c>
    </row>
    <row r="419" spans="1:5">
      <c r="A419" s="3" t="e">
        <f>'III. WaTT Main'!#REF!</f>
        <v>#REF!</v>
      </c>
      <c r="B419" s="3" t="e">
        <f>'III. WaTT Main'!#REF!</f>
        <v>#REF!</v>
      </c>
      <c r="C419" s="3" t="e">
        <f>'III. WaTT Main'!#REF!</f>
        <v>#REF!</v>
      </c>
      <c r="D419" s="16">
        <v>1</v>
      </c>
      <c r="E419" t="e">
        <f>'III. WaTT Main'!#REF!</f>
        <v>#REF!</v>
      </c>
    </row>
    <row r="420" spans="1:5">
      <c r="A420" s="3" t="e">
        <f>'III. WaTT Main'!#REF!</f>
        <v>#REF!</v>
      </c>
      <c r="B420" s="3" t="e">
        <f>'III. WaTT Main'!#REF!</f>
        <v>#REF!</v>
      </c>
      <c r="C420" s="3" t="e">
        <f>'III. WaTT Main'!#REF!</f>
        <v>#REF!</v>
      </c>
      <c r="D420" s="16">
        <v>1</v>
      </c>
      <c r="E420" t="e">
        <f>'III. WaTT Main'!#REF!</f>
        <v>#REF!</v>
      </c>
    </row>
    <row r="421" spans="1:5">
      <c r="A421" s="3" t="e">
        <f>'III. WaTT Main'!#REF!</f>
        <v>#REF!</v>
      </c>
      <c r="B421" s="3" t="e">
        <f>'III. WaTT Main'!#REF!</f>
        <v>#REF!</v>
      </c>
      <c r="C421" s="3" t="e">
        <f>'III. WaTT Main'!#REF!</f>
        <v>#REF!</v>
      </c>
      <c r="D421" s="16">
        <v>1</v>
      </c>
      <c r="E421" t="e">
        <f>'III. WaTT Main'!#REF!</f>
        <v>#REF!</v>
      </c>
    </row>
    <row r="422" spans="1:5">
      <c r="A422" s="3" t="e">
        <f>'III. WaTT Main'!#REF!</f>
        <v>#REF!</v>
      </c>
      <c r="B422" s="3" t="e">
        <f>'III. WaTT Main'!#REF!</f>
        <v>#REF!</v>
      </c>
      <c r="C422" s="3" t="e">
        <f>'III. WaTT Main'!#REF!</f>
        <v>#REF!</v>
      </c>
      <c r="D422" s="16">
        <v>1</v>
      </c>
      <c r="E422" t="e">
        <f>'III. WaTT Main'!#REF!</f>
        <v>#REF!</v>
      </c>
    </row>
    <row r="423" spans="1:5">
      <c r="A423" s="3" t="e">
        <f>'III. WaTT Main'!#REF!</f>
        <v>#REF!</v>
      </c>
      <c r="B423" s="3" t="e">
        <f>'III. WaTT Main'!#REF!</f>
        <v>#REF!</v>
      </c>
      <c r="C423" s="3" t="e">
        <f>'III. WaTT Main'!#REF!</f>
        <v>#REF!</v>
      </c>
      <c r="D423" s="16">
        <v>1</v>
      </c>
      <c r="E423" t="e">
        <f>'III. WaTT Main'!#REF!</f>
        <v>#REF!</v>
      </c>
    </row>
    <row r="424" spans="1:5">
      <c r="A424" s="3" t="e">
        <f>'III. WaTT Main'!#REF!</f>
        <v>#REF!</v>
      </c>
      <c r="B424" s="3" t="e">
        <f>'III. WaTT Main'!#REF!</f>
        <v>#REF!</v>
      </c>
      <c r="C424" s="3" t="e">
        <f>'III. WaTT Main'!#REF!</f>
        <v>#REF!</v>
      </c>
      <c r="D424" s="16">
        <v>1</v>
      </c>
      <c r="E424" t="e">
        <f>'III. WaTT Main'!#REF!</f>
        <v>#REF!</v>
      </c>
    </row>
    <row r="425" spans="1:5">
      <c r="A425" s="3" t="e">
        <f>'III. WaTT Main'!#REF!</f>
        <v>#REF!</v>
      </c>
      <c r="B425" s="3" t="e">
        <f>'III. WaTT Main'!#REF!</f>
        <v>#REF!</v>
      </c>
      <c r="C425" s="3" t="e">
        <f>'III. WaTT Main'!#REF!</f>
        <v>#REF!</v>
      </c>
      <c r="D425" s="16">
        <v>1</v>
      </c>
      <c r="E425" t="e">
        <f>'III. WaTT Main'!#REF!</f>
        <v>#REF!</v>
      </c>
    </row>
    <row r="426" spans="1:5">
      <c r="A426" s="3" t="e">
        <f>'III. WaTT Main'!#REF!</f>
        <v>#REF!</v>
      </c>
      <c r="B426" s="3" t="e">
        <f>'III. WaTT Main'!#REF!</f>
        <v>#REF!</v>
      </c>
      <c r="C426" s="3" t="e">
        <f>'III. WaTT Main'!#REF!</f>
        <v>#REF!</v>
      </c>
      <c r="D426" s="16">
        <v>1</v>
      </c>
      <c r="E426" t="e">
        <f>'III. WaTT Main'!#REF!</f>
        <v>#REF!</v>
      </c>
    </row>
    <row r="427" spans="1:5">
      <c r="A427" s="3" t="e">
        <f>'III. WaTT Main'!#REF!</f>
        <v>#REF!</v>
      </c>
      <c r="B427" s="3" t="e">
        <f>'III. WaTT Main'!#REF!</f>
        <v>#REF!</v>
      </c>
      <c r="C427" s="3" t="e">
        <f>'III. WaTT Main'!#REF!</f>
        <v>#REF!</v>
      </c>
      <c r="D427" s="16">
        <v>1</v>
      </c>
      <c r="E427" t="e">
        <f>'III. WaTT Main'!#REF!</f>
        <v>#REF!</v>
      </c>
    </row>
    <row r="428" spans="1:5">
      <c r="A428" s="3" t="e">
        <f>'III. WaTT Main'!#REF!</f>
        <v>#REF!</v>
      </c>
      <c r="B428" s="3" t="e">
        <f>'III. WaTT Main'!#REF!</f>
        <v>#REF!</v>
      </c>
      <c r="C428" s="3" t="e">
        <f>'III. WaTT Main'!#REF!</f>
        <v>#REF!</v>
      </c>
      <c r="D428" s="16">
        <v>1</v>
      </c>
      <c r="E428" t="e">
        <f>'III. WaTT Main'!#REF!</f>
        <v>#REF!</v>
      </c>
    </row>
    <row r="429" spans="1:5">
      <c r="A429" s="3" t="e">
        <f>'III. WaTT Main'!#REF!</f>
        <v>#REF!</v>
      </c>
      <c r="B429" s="3" t="e">
        <f>'III. WaTT Main'!#REF!</f>
        <v>#REF!</v>
      </c>
      <c r="C429" s="3" t="e">
        <f>'III. WaTT Main'!#REF!</f>
        <v>#REF!</v>
      </c>
      <c r="D429" s="16">
        <v>1</v>
      </c>
      <c r="E429" t="e">
        <f>'III. WaTT Main'!#REF!</f>
        <v>#REF!</v>
      </c>
    </row>
    <row r="430" spans="1:5">
      <c r="A430" s="3" t="e">
        <f>'III. WaTT Main'!#REF!</f>
        <v>#REF!</v>
      </c>
      <c r="B430" s="3" t="e">
        <f>'III. WaTT Main'!#REF!</f>
        <v>#REF!</v>
      </c>
      <c r="C430" s="3" t="e">
        <f>'III. WaTT Main'!#REF!</f>
        <v>#REF!</v>
      </c>
      <c r="D430" s="16">
        <v>1</v>
      </c>
      <c r="E430" t="e">
        <f>'III. WaTT Main'!#REF!</f>
        <v>#REF!</v>
      </c>
    </row>
    <row r="431" spans="1:5">
      <c r="A431" s="3" t="e">
        <f>'III. WaTT Main'!#REF!</f>
        <v>#REF!</v>
      </c>
      <c r="B431" s="3" t="e">
        <f>'III. WaTT Main'!#REF!</f>
        <v>#REF!</v>
      </c>
      <c r="C431" s="3" t="e">
        <f>'III. WaTT Main'!#REF!</f>
        <v>#REF!</v>
      </c>
      <c r="D431" s="16">
        <v>1</v>
      </c>
      <c r="E431" t="e">
        <f>'III. WaTT Main'!#REF!</f>
        <v>#REF!</v>
      </c>
    </row>
    <row r="432" spans="1:5">
      <c r="A432" s="3" t="e">
        <f>'III. WaTT Main'!#REF!</f>
        <v>#REF!</v>
      </c>
      <c r="B432" s="3" t="e">
        <f>'III. WaTT Main'!#REF!</f>
        <v>#REF!</v>
      </c>
      <c r="C432" s="3" t="e">
        <f>'III. WaTT Main'!#REF!</f>
        <v>#REF!</v>
      </c>
      <c r="D432" s="16">
        <v>1</v>
      </c>
      <c r="E432" t="e">
        <f>'III. WaTT Main'!#REF!</f>
        <v>#REF!</v>
      </c>
    </row>
    <row r="433" spans="1:5">
      <c r="A433" s="3" t="e">
        <f>'III. WaTT Main'!#REF!</f>
        <v>#REF!</v>
      </c>
      <c r="B433" s="3" t="e">
        <f>'III. WaTT Main'!#REF!</f>
        <v>#REF!</v>
      </c>
      <c r="C433" s="3" t="e">
        <f>'III. WaTT Main'!#REF!</f>
        <v>#REF!</v>
      </c>
      <c r="D433" s="16">
        <v>1</v>
      </c>
      <c r="E433" t="e">
        <f>'III. WaTT Main'!#REF!</f>
        <v>#REF!</v>
      </c>
    </row>
    <row r="434" spans="1:5">
      <c r="A434" s="3" t="e">
        <f>'III. WaTT Main'!#REF!</f>
        <v>#REF!</v>
      </c>
      <c r="B434" s="3" t="e">
        <f>'III. WaTT Main'!#REF!</f>
        <v>#REF!</v>
      </c>
      <c r="C434" s="3" t="e">
        <f>'III. WaTT Main'!#REF!</f>
        <v>#REF!</v>
      </c>
      <c r="D434" s="16">
        <v>1</v>
      </c>
      <c r="E434" t="e">
        <f>'III. WaTT Main'!#REF!</f>
        <v>#REF!</v>
      </c>
    </row>
    <row r="435" spans="1:5">
      <c r="A435" s="3" t="e">
        <f>'III. WaTT Main'!#REF!</f>
        <v>#REF!</v>
      </c>
      <c r="B435" s="3" t="e">
        <f>'III. WaTT Main'!#REF!</f>
        <v>#REF!</v>
      </c>
      <c r="C435" s="3" t="e">
        <f>'III. WaTT Main'!#REF!</f>
        <v>#REF!</v>
      </c>
      <c r="D435" s="16">
        <v>1</v>
      </c>
      <c r="E435" t="e">
        <f>'III. WaTT Main'!#REF!</f>
        <v>#REF!</v>
      </c>
    </row>
    <row r="436" spans="1:5">
      <c r="A436" s="3" t="e">
        <f>'III. WaTT Main'!#REF!</f>
        <v>#REF!</v>
      </c>
      <c r="B436" s="3" t="e">
        <f>'III. WaTT Main'!#REF!</f>
        <v>#REF!</v>
      </c>
      <c r="C436" s="3" t="e">
        <f>'III. WaTT Main'!#REF!</f>
        <v>#REF!</v>
      </c>
      <c r="D436" s="16">
        <v>1</v>
      </c>
      <c r="E436" t="e">
        <f>'III. WaTT Main'!#REF!</f>
        <v>#REF!</v>
      </c>
    </row>
    <row r="437" spans="1:5">
      <c r="A437" s="3" t="e">
        <f>'III. WaTT Main'!#REF!</f>
        <v>#REF!</v>
      </c>
      <c r="B437" s="3" t="e">
        <f>'III. WaTT Main'!#REF!</f>
        <v>#REF!</v>
      </c>
      <c r="C437" s="3" t="e">
        <f>'III. WaTT Main'!#REF!</f>
        <v>#REF!</v>
      </c>
      <c r="D437" s="16">
        <v>1</v>
      </c>
      <c r="E437" t="e">
        <f>'III. WaTT Main'!#REF!</f>
        <v>#REF!</v>
      </c>
    </row>
    <row r="438" spans="1:5">
      <c r="A438" s="3" t="e">
        <f>'III. WaTT Main'!#REF!</f>
        <v>#REF!</v>
      </c>
      <c r="B438" s="3" t="e">
        <f>'III. WaTT Main'!#REF!</f>
        <v>#REF!</v>
      </c>
      <c r="C438" s="3" t="e">
        <f>'III. WaTT Main'!#REF!</f>
        <v>#REF!</v>
      </c>
      <c r="D438" s="16">
        <v>1</v>
      </c>
      <c r="E438" t="e">
        <f>'III. WaTT Main'!#REF!</f>
        <v>#REF!</v>
      </c>
    </row>
    <row r="439" spans="1:5">
      <c r="A439" s="3" t="e">
        <f>'III. WaTT Main'!#REF!</f>
        <v>#REF!</v>
      </c>
      <c r="B439" s="3" t="e">
        <f>'III. WaTT Main'!#REF!</f>
        <v>#REF!</v>
      </c>
      <c r="C439" s="3" t="e">
        <f>'III. WaTT Main'!#REF!</f>
        <v>#REF!</v>
      </c>
      <c r="D439" s="16">
        <v>1</v>
      </c>
      <c r="E439" t="e">
        <f>'III. WaTT Main'!#REF!</f>
        <v>#REF!</v>
      </c>
    </row>
    <row r="440" spans="1:5">
      <c r="A440" s="3" t="e">
        <f>'III. WaTT Main'!#REF!</f>
        <v>#REF!</v>
      </c>
      <c r="B440" s="3" t="e">
        <f>'III. WaTT Main'!#REF!</f>
        <v>#REF!</v>
      </c>
      <c r="C440" s="3" t="e">
        <f>'III. WaTT Main'!#REF!</f>
        <v>#REF!</v>
      </c>
      <c r="D440" s="16">
        <v>1</v>
      </c>
      <c r="E440" t="e">
        <f>'III. WaTT Main'!#REF!</f>
        <v>#REF!</v>
      </c>
    </row>
    <row r="441" spans="1:5">
      <c r="A441" s="3" t="e">
        <f>'III. WaTT Main'!#REF!</f>
        <v>#REF!</v>
      </c>
      <c r="B441" s="3" t="e">
        <f>'III. WaTT Main'!#REF!</f>
        <v>#REF!</v>
      </c>
      <c r="C441" s="3" t="e">
        <f>'III. WaTT Main'!#REF!</f>
        <v>#REF!</v>
      </c>
      <c r="D441" s="16">
        <v>1</v>
      </c>
      <c r="E441" t="e">
        <f>'III. WaTT Main'!#REF!</f>
        <v>#REF!</v>
      </c>
    </row>
    <row r="442" spans="1:5">
      <c r="A442" s="3" t="e">
        <f>'III. WaTT Main'!#REF!</f>
        <v>#REF!</v>
      </c>
      <c r="B442" s="3" t="e">
        <f>'III. WaTT Main'!#REF!</f>
        <v>#REF!</v>
      </c>
      <c r="C442" s="3" t="e">
        <f>'III. WaTT Main'!#REF!</f>
        <v>#REF!</v>
      </c>
      <c r="D442" s="16">
        <v>1</v>
      </c>
      <c r="E442" t="e">
        <f>'III. WaTT Main'!#REF!</f>
        <v>#REF!</v>
      </c>
    </row>
    <row r="443" spans="1:5">
      <c r="A443" s="3" t="e">
        <f>'III. WaTT Main'!#REF!</f>
        <v>#REF!</v>
      </c>
      <c r="B443" s="3" t="e">
        <f>'III. WaTT Main'!#REF!</f>
        <v>#REF!</v>
      </c>
      <c r="C443" s="3" t="e">
        <f>'III. WaTT Main'!#REF!</f>
        <v>#REF!</v>
      </c>
      <c r="D443" s="16">
        <v>1</v>
      </c>
      <c r="E443" t="e">
        <f>'III. WaTT Main'!#REF!</f>
        <v>#REF!</v>
      </c>
    </row>
    <row r="444" spans="1:5">
      <c r="A444" s="3" t="e">
        <f>'III. WaTT Main'!#REF!</f>
        <v>#REF!</v>
      </c>
      <c r="B444" s="3" t="e">
        <f>'III. WaTT Main'!#REF!</f>
        <v>#REF!</v>
      </c>
      <c r="C444" s="3" t="e">
        <f>'III. WaTT Main'!#REF!</f>
        <v>#REF!</v>
      </c>
      <c r="D444" s="16">
        <v>1</v>
      </c>
      <c r="E444" t="e">
        <f>'III. WaTT Main'!#REF!</f>
        <v>#REF!</v>
      </c>
    </row>
    <row r="445" spans="1:5">
      <c r="A445" s="3" t="e">
        <f>'III. WaTT Main'!#REF!</f>
        <v>#REF!</v>
      </c>
      <c r="B445" s="3" t="e">
        <f>'III. WaTT Main'!#REF!</f>
        <v>#REF!</v>
      </c>
      <c r="C445" s="3" t="e">
        <f>'III. WaTT Main'!#REF!</f>
        <v>#REF!</v>
      </c>
      <c r="D445" s="16">
        <v>1</v>
      </c>
      <c r="E445" t="e">
        <f>'III. WaTT Main'!#REF!</f>
        <v>#REF!</v>
      </c>
    </row>
    <row r="446" spans="1:5">
      <c r="A446" s="3" t="e">
        <f>'III. WaTT Main'!#REF!</f>
        <v>#REF!</v>
      </c>
      <c r="B446" s="3" t="e">
        <f>'III. WaTT Main'!#REF!</f>
        <v>#REF!</v>
      </c>
      <c r="C446" s="3" t="e">
        <f>'III. WaTT Main'!#REF!</f>
        <v>#REF!</v>
      </c>
      <c r="D446" s="16">
        <v>1</v>
      </c>
      <c r="E446" t="e">
        <f>'III. WaTT Main'!#REF!</f>
        <v>#REF!</v>
      </c>
    </row>
    <row r="447" spans="1:5">
      <c r="A447" s="3" t="e">
        <f>'III. WaTT Main'!#REF!</f>
        <v>#REF!</v>
      </c>
      <c r="B447" s="3" t="e">
        <f>'III. WaTT Main'!#REF!</f>
        <v>#REF!</v>
      </c>
      <c r="C447" s="3" t="e">
        <f>'III. WaTT Main'!#REF!</f>
        <v>#REF!</v>
      </c>
      <c r="D447" s="16">
        <v>1</v>
      </c>
      <c r="E447" t="e">
        <f>'III. WaTT Main'!#REF!</f>
        <v>#REF!</v>
      </c>
    </row>
    <row r="448" spans="1:5">
      <c r="A448" s="3" t="e">
        <f>'III. WaTT Main'!#REF!</f>
        <v>#REF!</v>
      </c>
      <c r="B448" s="3" t="e">
        <f>'III. WaTT Main'!#REF!</f>
        <v>#REF!</v>
      </c>
      <c r="C448" s="3" t="e">
        <f>'III. WaTT Main'!#REF!</f>
        <v>#REF!</v>
      </c>
      <c r="D448" s="16">
        <v>1</v>
      </c>
      <c r="E448" t="e">
        <f>'III. WaTT Main'!#REF!</f>
        <v>#REF!</v>
      </c>
    </row>
    <row r="449" spans="1:5">
      <c r="A449" s="3" t="e">
        <f>'III. WaTT Main'!#REF!</f>
        <v>#REF!</v>
      </c>
      <c r="B449" s="3" t="e">
        <f>'III. WaTT Main'!#REF!</f>
        <v>#REF!</v>
      </c>
      <c r="C449" s="3" t="e">
        <f>'III. WaTT Main'!#REF!</f>
        <v>#REF!</v>
      </c>
      <c r="D449" s="16">
        <v>1</v>
      </c>
      <c r="E449" t="e">
        <f>'III. WaTT Main'!#REF!</f>
        <v>#REF!</v>
      </c>
    </row>
    <row r="450" spans="1:5">
      <c r="A450" s="3" t="e">
        <f>'III. WaTT Main'!#REF!</f>
        <v>#REF!</v>
      </c>
      <c r="B450" s="3" t="e">
        <f>'III. WaTT Main'!#REF!</f>
        <v>#REF!</v>
      </c>
      <c r="C450" s="3" t="e">
        <f>'III. WaTT Main'!#REF!</f>
        <v>#REF!</v>
      </c>
      <c r="D450" s="16">
        <v>1</v>
      </c>
      <c r="E450" t="e">
        <f>'III. WaTT Main'!#REF!</f>
        <v>#REF!</v>
      </c>
    </row>
    <row r="451" spans="1:5">
      <c r="A451" s="3" t="e">
        <f>'III. WaTT Main'!#REF!</f>
        <v>#REF!</v>
      </c>
      <c r="B451" s="3" t="e">
        <f>'III. WaTT Main'!#REF!</f>
        <v>#REF!</v>
      </c>
      <c r="C451" s="3" t="e">
        <f>'III. WaTT Main'!#REF!</f>
        <v>#REF!</v>
      </c>
      <c r="D451" s="16">
        <v>1</v>
      </c>
      <c r="E451" t="e">
        <f>'III. WaTT Main'!#REF!</f>
        <v>#REF!</v>
      </c>
    </row>
    <row r="452" spans="1:5">
      <c r="A452" s="3" t="e">
        <f>'III. WaTT Main'!#REF!</f>
        <v>#REF!</v>
      </c>
      <c r="B452" s="3" t="e">
        <f>'III. WaTT Main'!#REF!</f>
        <v>#REF!</v>
      </c>
      <c r="C452" s="3" t="e">
        <f>'III. WaTT Main'!#REF!</f>
        <v>#REF!</v>
      </c>
      <c r="D452" s="16">
        <v>1</v>
      </c>
      <c r="E452" t="e">
        <f>'III. WaTT Main'!#REF!</f>
        <v>#REF!</v>
      </c>
    </row>
    <row r="453" spans="1:5">
      <c r="A453" s="3" t="e">
        <f>'III. WaTT Main'!#REF!</f>
        <v>#REF!</v>
      </c>
      <c r="B453" s="3" t="e">
        <f>'III. WaTT Main'!#REF!</f>
        <v>#REF!</v>
      </c>
      <c r="C453" s="3" t="e">
        <f>'III. WaTT Main'!#REF!</f>
        <v>#REF!</v>
      </c>
      <c r="D453" s="16">
        <v>1</v>
      </c>
      <c r="E453" t="e">
        <f>'III. WaTT Main'!#REF!</f>
        <v>#REF!</v>
      </c>
    </row>
    <row r="454" spans="1:5">
      <c r="A454" s="3" t="e">
        <f>'III. WaTT Main'!#REF!</f>
        <v>#REF!</v>
      </c>
      <c r="B454" s="3" t="e">
        <f>'III. WaTT Main'!#REF!</f>
        <v>#REF!</v>
      </c>
      <c r="C454" s="3" t="e">
        <f>'III. WaTT Main'!#REF!</f>
        <v>#REF!</v>
      </c>
      <c r="D454" s="16">
        <v>1</v>
      </c>
      <c r="E454" t="e">
        <f>'III. WaTT Main'!#REF!</f>
        <v>#REF!</v>
      </c>
    </row>
    <row r="455" spans="1:5">
      <c r="A455" s="3" t="e">
        <f>'III. WaTT Main'!#REF!</f>
        <v>#REF!</v>
      </c>
      <c r="B455" s="3" t="e">
        <f>'III. WaTT Main'!#REF!</f>
        <v>#REF!</v>
      </c>
      <c r="C455" s="3" t="e">
        <f>'III. WaTT Main'!#REF!</f>
        <v>#REF!</v>
      </c>
      <c r="D455" s="16">
        <v>1</v>
      </c>
      <c r="E455" t="e">
        <f>'III. WaTT Main'!#REF!</f>
        <v>#REF!</v>
      </c>
    </row>
    <row r="456" spans="1:5">
      <c r="A456" s="3" t="e">
        <f>'III. WaTT Main'!#REF!</f>
        <v>#REF!</v>
      </c>
      <c r="B456" s="3" t="e">
        <f>'III. WaTT Main'!#REF!</f>
        <v>#REF!</v>
      </c>
      <c r="C456" s="3" t="e">
        <f>'III. WaTT Main'!#REF!</f>
        <v>#REF!</v>
      </c>
      <c r="D456" s="16">
        <v>1</v>
      </c>
      <c r="E456" t="e">
        <f>'III. WaTT Main'!#REF!</f>
        <v>#REF!</v>
      </c>
    </row>
    <row r="457" spans="1:5">
      <c r="A457" s="3" t="e">
        <f>'III. WaTT Main'!#REF!</f>
        <v>#REF!</v>
      </c>
      <c r="B457" s="3" t="e">
        <f>'III. WaTT Main'!#REF!</f>
        <v>#REF!</v>
      </c>
      <c r="C457" s="3" t="e">
        <f>'III. WaTT Main'!#REF!</f>
        <v>#REF!</v>
      </c>
      <c r="D457" s="16">
        <v>1</v>
      </c>
      <c r="E457" t="e">
        <f>'III. WaTT Main'!#REF!</f>
        <v>#REF!</v>
      </c>
    </row>
    <row r="458" spans="1:5">
      <c r="A458" s="3" t="e">
        <f>'III. WaTT Main'!#REF!</f>
        <v>#REF!</v>
      </c>
      <c r="B458" s="3" t="e">
        <f>'III. WaTT Main'!#REF!</f>
        <v>#REF!</v>
      </c>
      <c r="C458" s="3" t="e">
        <f>'III. WaTT Main'!#REF!</f>
        <v>#REF!</v>
      </c>
      <c r="D458" s="16">
        <v>1</v>
      </c>
      <c r="E458" t="e">
        <f>'III. WaTT Main'!#REF!</f>
        <v>#REF!</v>
      </c>
    </row>
    <row r="459" spans="1:5">
      <c r="A459" s="3" t="e">
        <f>'III. WaTT Main'!#REF!</f>
        <v>#REF!</v>
      </c>
      <c r="B459" s="3" t="e">
        <f>'III. WaTT Main'!#REF!</f>
        <v>#REF!</v>
      </c>
      <c r="C459" s="3" t="e">
        <f>'III. WaTT Main'!#REF!</f>
        <v>#REF!</v>
      </c>
      <c r="D459" s="16">
        <v>1</v>
      </c>
      <c r="E459" t="e">
        <f>'III. WaTT Main'!#REF!</f>
        <v>#REF!</v>
      </c>
    </row>
    <row r="460" spans="1:5">
      <c r="A460" s="3" t="e">
        <f>'III. WaTT Main'!#REF!</f>
        <v>#REF!</v>
      </c>
      <c r="B460" s="3" t="e">
        <f>'III. WaTT Main'!#REF!</f>
        <v>#REF!</v>
      </c>
      <c r="C460" s="3" t="e">
        <f>'III. WaTT Main'!#REF!</f>
        <v>#REF!</v>
      </c>
      <c r="D460" s="16">
        <v>1</v>
      </c>
      <c r="E460" t="e">
        <f>'III. WaTT Main'!#REF!</f>
        <v>#REF!</v>
      </c>
    </row>
    <row r="461" spans="1:5">
      <c r="A461" s="3" t="e">
        <f>'III. WaTT Main'!#REF!</f>
        <v>#REF!</v>
      </c>
      <c r="B461" s="3" t="e">
        <f>'III. WaTT Main'!#REF!</f>
        <v>#REF!</v>
      </c>
      <c r="C461" s="3" t="e">
        <f>'III. WaTT Main'!#REF!</f>
        <v>#REF!</v>
      </c>
      <c r="D461" s="16">
        <v>1</v>
      </c>
      <c r="E461" t="e">
        <f>'III. WaTT Main'!#REF!</f>
        <v>#REF!</v>
      </c>
    </row>
    <row r="462" spans="1:5">
      <c r="A462" s="3" t="e">
        <f>'III. WaTT Main'!#REF!</f>
        <v>#REF!</v>
      </c>
      <c r="B462" s="3" t="e">
        <f>'III. WaTT Main'!#REF!</f>
        <v>#REF!</v>
      </c>
      <c r="C462" s="3" t="e">
        <f>'III. WaTT Main'!#REF!</f>
        <v>#REF!</v>
      </c>
      <c r="D462" s="16">
        <v>1</v>
      </c>
      <c r="E462" t="e">
        <f>'III. WaTT Main'!#REF!</f>
        <v>#REF!</v>
      </c>
    </row>
    <row r="463" spans="1:5">
      <c r="A463" s="3" t="e">
        <f>'III. WaTT Main'!#REF!</f>
        <v>#REF!</v>
      </c>
      <c r="B463" s="3" t="e">
        <f>'III. WaTT Main'!#REF!</f>
        <v>#REF!</v>
      </c>
      <c r="C463" s="3" t="e">
        <f>'III. WaTT Main'!#REF!</f>
        <v>#REF!</v>
      </c>
      <c r="D463" s="16">
        <v>1</v>
      </c>
      <c r="E463" t="e">
        <f>'III. WaTT Main'!#REF!</f>
        <v>#REF!</v>
      </c>
    </row>
    <row r="464" spans="1:5">
      <c r="A464" s="3" t="e">
        <f>'III. WaTT Main'!#REF!</f>
        <v>#REF!</v>
      </c>
      <c r="B464" s="3" t="e">
        <f>'III. WaTT Main'!#REF!</f>
        <v>#REF!</v>
      </c>
      <c r="C464" s="3" t="e">
        <f>'III. WaTT Main'!#REF!</f>
        <v>#REF!</v>
      </c>
      <c r="D464" s="16">
        <v>1</v>
      </c>
      <c r="E464" t="e">
        <f>'III. WaTT Main'!#REF!</f>
        <v>#REF!</v>
      </c>
    </row>
    <row r="465" spans="1:5">
      <c r="A465" s="3" t="e">
        <f>'III. WaTT Main'!#REF!</f>
        <v>#REF!</v>
      </c>
      <c r="B465" s="3" t="e">
        <f>'III. WaTT Main'!#REF!</f>
        <v>#REF!</v>
      </c>
      <c r="C465" s="3" t="e">
        <f>'III. WaTT Main'!#REF!</f>
        <v>#REF!</v>
      </c>
      <c r="D465" s="16">
        <v>1</v>
      </c>
      <c r="E465" t="e">
        <f>'III. WaTT Main'!#REF!</f>
        <v>#REF!</v>
      </c>
    </row>
    <row r="466" spans="1:5">
      <c r="A466" s="3" t="e">
        <f>'III. WaTT Main'!#REF!</f>
        <v>#REF!</v>
      </c>
      <c r="B466" s="3" t="e">
        <f>'III. WaTT Main'!#REF!</f>
        <v>#REF!</v>
      </c>
      <c r="C466" s="3" t="e">
        <f>'III. WaTT Main'!#REF!</f>
        <v>#REF!</v>
      </c>
      <c r="D466" s="16">
        <v>1</v>
      </c>
      <c r="E466" t="e">
        <f>'III. WaTT Main'!#REF!</f>
        <v>#REF!</v>
      </c>
    </row>
    <row r="467" spans="1:5">
      <c r="A467" s="3" t="e">
        <f>'III. WaTT Main'!#REF!</f>
        <v>#REF!</v>
      </c>
      <c r="B467" s="3" t="e">
        <f>'III. WaTT Main'!#REF!</f>
        <v>#REF!</v>
      </c>
      <c r="C467" s="3" t="e">
        <f>'III. WaTT Main'!#REF!</f>
        <v>#REF!</v>
      </c>
      <c r="D467" s="16">
        <v>1</v>
      </c>
      <c r="E467" t="e">
        <f>'III. WaTT Main'!#REF!</f>
        <v>#REF!</v>
      </c>
    </row>
    <row r="468" spans="1:5">
      <c r="A468" s="3" t="e">
        <f>'III. WaTT Main'!#REF!</f>
        <v>#REF!</v>
      </c>
      <c r="B468" s="3" t="e">
        <f>'III. WaTT Main'!#REF!</f>
        <v>#REF!</v>
      </c>
      <c r="C468" s="3" t="e">
        <f>'III. WaTT Main'!#REF!</f>
        <v>#REF!</v>
      </c>
      <c r="D468" s="16">
        <v>1</v>
      </c>
      <c r="E468" t="e">
        <f>'III. WaTT Main'!#REF!</f>
        <v>#REF!</v>
      </c>
    </row>
    <row r="469" spans="1:5">
      <c r="A469" s="3" t="e">
        <f>'III. WaTT Main'!#REF!</f>
        <v>#REF!</v>
      </c>
      <c r="B469" s="3" t="e">
        <f>'III. WaTT Main'!#REF!</f>
        <v>#REF!</v>
      </c>
      <c r="C469" s="3" t="e">
        <f>'III. WaTT Main'!#REF!</f>
        <v>#REF!</v>
      </c>
      <c r="D469" s="16">
        <v>1</v>
      </c>
      <c r="E469" t="e">
        <f>'III. WaTT Main'!#REF!</f>
        <v>#REF!</v>
      </c>
    </row>
    <row r="470" spans="1:5">
      <c r="A470" s="3" t="e">
        <f>'III. WaTT Main'!#REF!</f>
        <v>#REF!</v>
      </c>
      <c r="B470" s="3" t="e">
        <f>'III. WaTT Main'!#REF!</f>
        <v>#REF!</v>
      </c>
      <c r="C470" s="3" t="e">
        <f>'III. WaTT Main'!#REF!</f>
        <v>#REF!</v>
      </c>
      <c r="D470" s="16">
        <v>1</v>
      </c>
      <c r="E470" t="e">
        <f>'III. WaTT Main'!#REF!</f>
        <v>#REF!</v>
      </c>
    </row>
    <row r="471" spans="1:5">
      <c r="A471" s="3" t="e">
        <f>'III. WaTT Main'!#REF!</f>
        <v>#REF!</v>
      </c>
      <c r="B471" s="3" t="e">
        <f>'III. WaTT Main'!#REF!</f>
        <v>#REF!</v>
      </c>
      <c r="C471" s="3" t="e">
        <f>'III. WaTT Main'!#REF!</f>
        <v>#REF!</v>
      </c>
      <c r="D471" s="16">
        <v>1</v>
      </c>
      <c r="E471" t="e">
        <f>'III. WaTT Main'!#REF!</f>
        <v>#REF!</v>
      </c>
    </row>
    <row r="472" spans="1:5">
      <c r="A472" s="3" t="e">
        <f>'III. WaTT Main'!#REF!</f>
        <v>#REF!</v>
      </c>
      <c r="B472" s="3" t="e">
        <f>'III. WaTT Main'!#REF!</f>
        <v>#REF!</v>
      </c>
      <c r="C472" s="3" t="e">
        <f>'III. WaTT Main'!#REF!</f>
        <v>#REF!</v>
      </c>
      <c r="D472" s="16">
        <v>1</v>
      </c>
      <c r="E472" t="e">
        <f>'III. WaTT Main'!#REF!</f>
        <v>#REF!</v>
      </c>
    </row>
    <row r="473" spans="1:5">
      <c r="A473" s="3" t="e">
        <f>'III. WaTT Main'!#REF!</f>
        <v>#REF!</v>
      </c>
      <c r="B473" s="3" t="e">
        <f>'III. WaTT Main'!#REF!</f>
        <v>#REF!</v>
      </c>
      <c r="C473" s="3" t="e">
        <f>'III. WaTT Main'!#REF!</f>
        <v>#REF!</v>
      </c>
      <c r="D473" s="16">
        <v>1</v>
      </c>
      <c r="E473" t="e">
        <f>'III. WaTT Main'!#REF!</f>
        <v>#REF!</v>
      </c>
    </row>
    <row r="474" spans="1:5">
      <c r="A474" s="3" t="e">
        <f>'III. WaTT Main'!#REF!</f>
        <v>#REF!</v>
      </c>
      <c r="B474" s="3" t="e">
        <f>'III. WaTT Main'!#REF!</f>
        <v>#REF!</v>
      </c>
      <c r="C474" s="3" t="e">
        <f>'III. WaTT Main'!#REF!</f>
        <v>#REF!</v>
      </c>
      <c r="D474" s="16">
        <v>1</v>
      </c>
      <c r="E474" t="e">
        <f>'III. WaTT Main'!#REF!</f>
        <v>#REF!</v>
      </c>
    </row>
    <row r="475" spans="1:5">
      <c r="A475" s="3" t="e">
        <f>'III. WaTT Main'!#REF!</f>
        <v>#REF!</v>
      </c>
      <c r="B475" s="3" t="e">
        <f>'III. WaTT Main'!#REF!</f>
        <v>#REF!</v>
      </c>
      <c r="C475" s="3" t="e">
        <f>'III. WaTT Main'!#REF!</f>
        <v>#REF!</v>
      </c>
      <c r="D475" s="16">
        <v>1</v>
      </c>
      <c r="E475" t="e">
        <f>'III. WaTT Main'!#REF!</f>
        <v>#REF!</v>
      </c>
    </row>
    <row r="476" spans="1:5">
      <c r="A476" s="3" t="e">
        <f>'III. WaTT Main'!#REF!</f>
        <v>#REF!</v>
      </c>
      <c r="B476" s="3" t="e">
        <f>'III. WaTT Main'!#REF!</f>
        <v>#REF!</v>
      </c>
      <c r="C476" s="3" t="e">
        <f>'III. WaTT Main'!#REF!</f>
        <v>#REF!</v>
      </c>
      <c r="D476" s="16">
        <v>1</v>
      </c>
      <c r="E476" t="e">
        <f>'III. WaTT Main'!#REF!</f>
        <v>#REF!</v>
      </c>
    </row>
    <row r="477" spans="1:5">
      <c r="A477" s="3" t="e">
        <f>'III. WaTT Main'!#REF!</f>
        <v>#REF!</v>
      </c>
      <c r="B477" s="3" t="e">
        <f>'III. WaTT Main'!#REF!</f>
        <v>#REF!</v>
      </c>
      <c r="C477" s="3" t="e">
        <f>'III. WaTT Main'!#REF!</f>
        <v>#REF!</v>
      </c>
      <c r="D477" s="16">
        <v>1</v>
      </c>
      <c r="E477" t="e">
        <f>'III. WaTT Main'!#REF!</f>
        <v>#REF!</v>
      </c>
    </row>
    <row r="478" spans="1:5">
      <c r="A478" s="3" t="e">
        <f>'III. WaTT Main'!#REF!</f>
        <v>#REF!</v>
      </c>
      <c r="B478" s="3" t="e">
        <f>'III. WaTT Main'!#REF!</f>
        <v>#REF!</v>
      </c>
      <c r="C478" s="3" t="e">
        <f>'III. WaTT Main'!#REF!</f>
        <v>#REF!</v>
      </c>
      <c r="D478" s="16">
        <v>1</v>
      </c>
      <c r="E478" t="e">
        <f>'III. WaTT Main'!#REF!</f>
        <v>#REF!</v>
      </c>
    </row>
    <row r="479" spans="1:5">
      <c r="A479" s="3" t="e">
        <f>'III. WaTT Main'!#REF!</f>
        <v>#REF!</v>
      </c>
      <c r="B479" s="3" t="e">
        <f>'III. WaTT Main'!#REF!</f>
        <v>#REF!</v>
      </c>
      <c r="C479" s="3" t="e">
        <f>'III. WaTT Main'!#REF!</f>
        <v>#REF!</v>
      </c>
      <c r="D479" s="16">
        <v>1</v>
      </c>
      <c r="E479" t="e">
        <f>'III. WaTT Main'!#REF!</f>
        <v>#REF!</v>
      </c>
    </row>
    <row r="480" spans="1:5">
      <c r="A480" s="3" t="e">
        <f>'III. WaTT Main'!#REF!</f>
        <v>#REF!</v>
      </c>
      <c r="B480" s="3" t="e">
        <f>'III. WaTT Main'!#REF!</f>
        <v>#REF!</v>
      </c>
      <c r="C480" s="3" t="e">
        <f>'III. WaTT Main'!#REF!</f>
        <v>#REF!</v>
      </c>
      <c r="D480" s="16">
        <v>1</v>
      </c>
      <c r="E480" t="e">
        <f>'III. WaTT Main'!#REF!</f>
        <v>#REF!</v>
      </c>
    </row>
    <row r="481" spans="1:5">
      <c r="A481" s="3" t="e">
        <f>'III. WaTT Main'!#REF!</f>
        <v>#REF!</v>
      </c>
      <c r="B481" s="3" t="e">
        <f>'III. WaTT Main'!#REF!</f>
        <v>#REF!</v>
      </c>
      <c r="C481" s="3" t="e">
        <f>'III. WaTT Main'!#REF!</f>
        <v>#REF!</v>
      </c>
      <c r="D481" s="16">
        <v>1</v>
      </c>
      <c r="E481" t="e">
        <f>'III. WaTT Main'!#REF!</f>
        <v>#REF!</v>
      </c>
    </row>
    <row r="482" spans="1:5">
      <c r="A482" s="3" t="e">
        <f>'III. WaTT Main'!#REF!</f>
        <v>#REF!</v>
      </c>
      <c r="B482" s="3" t="e">
        <f>'III. WaTT Main'!#REF!</f>
        <v>#REF!</v>
      </c>
      <c r="C482" s="3" t="e">
        <f>'III. WaTT Main'!#REF!</f>
        <v>#REF!</v>
      </c>
      <c r="D482" s="16">
        <v>1</v>
      </c>
      <c r="E482" t="e">
        <f>'III. WaTT Main'!#REF!</f>
        <v>#REF!</v>
      </c>
    </row>
    <row r="483" spans="1:5">
      <c r="A483" s="3" t="e">
        <f>'III. WaTT Main'!#REF!</f>
        <v>#REF!</v>
      </c>
      <c r="B483" s="3" t="e">
        <f>'III. WaTT Main'!#REF!</f>
        <v>#REF!</v>
      </c>
      <c r="C483" s="3" t="e">
        <f>'III. WaTT Main'!#REF!</f>
        <v>#REF!</v>
      </c>
      <c r="D483" s="16">
        <v>1</v>
      </c>
      <c r="E483" t="e">
        <f>'III. WaTT Main'!#REF!</f>
        <v>#REF!</v>
      </c>
    </row>
    <row r="484" spans="1:5">
      <c r="A484" s="3" t="e">
        <f>'III. WaTT Main'!#REF!</f>
        <v>#REF!</v>
      </c>
      <c r="B484" s="3" t="e">
        <f>'III. WaTT Main'!#REF!</f>
        <v>#REF!</v>
      </c>
      <c r="C484" s="3" t="e">
        <f>'III. WaTT Main'!#REF!</f>
        <v>#REF!</v>
      </c>
      <c r="D484" s="16">
        <v>1</v>
      </c>
      <c r="E484" t="e">
        <f>'III. WaTT Main'!#REF!</f>
        <v>#REF!</v>
      </c>
    </row>
    <row r="485" spans="1:5">
      <c r="A485" s="3" t="e">
        <f>'III. WaTT Main'!#REF!</f>
        <v>#REF!</v>
      </c>
      <c r="B485" s="3" t="e">
        <f>'III. WaTT Main'!#REF!</f>
        <v>#REF!</v>
      </c>
      <c r="C485" s="3" t="e">
        <f>'III. WaTT Main'!#REF!</f>
        <v>#REF!</v>
      </c>
      <c r="D485" s="16">
        <v>1</v>
      </c>
      <c r="E485" t="e">
        <f>'III. WaTT Main'!#REF!</f>
        <v>#REF!</v>
      </c>
    </row>
    <row r="486" spans="1:5">
      <c r="A486" s="3" t="e">
        <f>'III. WaTT Main'!#REF!</f>
        <v>#REF!</v>
      </c>
      <c r="B486" s="3" t="e">
        <f>'III. WaTT Main'!#REF!</f>
        <v>#REF!</v>
      </c>
      <c r="C486" s="3" t="e">
        <f>'III. WaTT Main'!#REF!</f>
        <v>#REF!</v>
      </c>
      <c r="D486" s="16">
        <v>1</v>
      </c>
      <c r="E486" t="e">
        <f>'III. WaTT Main'!#REF!</f>
        <v>#REF!</v>
      </c>
    </row>
    <row r="487" spans="1:5">
      <c r="A487" s="3" t="e">
        <f>'III. WaTT Main'!#REF!</f>
        <v>#REF!</v>
      </c>
      <c r="B487" s="3" t="e">
        <f>'III. WaTT Main'!#REF!</f>
        <v>#REF!</v>
      </c>
      <c r="C487" s="3" t="e">
        <f>'III. WaTT Main'!#REF!</f>
        <v>#REF!</v>
      </c>
      <c r="D487" s="16">
        <v>1</v>
      </c>
      <c r="E487" t="e">
        <f>'III. WaTT Main'!#REF!</f>
        <v>#REF!</v>
      </c>
    </row>
    <row r="488" spans="1:5">
      <c r="A488" s="3" t="e">
        <f>'III. WaTT Main'!#REF!</f>
        <v>#REF!</v>
      </c>
      <c r="B488" s="3" t="e">
        <f>'III. WaTT Main'!#REF!</f>
        <v>#REF!</v>
      </c>
      <c r="C488" s="3" t="e">
        <f>'III. WaTT Main'!#REF!</f>
        <v>#REF!</v>
      </c>
      <c r="D488" s="16">
        <v>1</v>
      </c>
      <c r="E488" t="e">
        <f>'III. WaTT Main'!#REF!</f>
        <v>#REF!</v>
      </c>
    </row>
    <row r="489" spans="1:5">
      <c r="A489" s="3" t="e">
        <f>'III. WaTT Main'!#REF!</f>
        <v>#REF!</v>
      </c>
      <c r="B489" s="3" t="e">
        <f>'III. WaTT Main'!#REF!</f>
        <v>#REF!</v>
      </c>
      <c r="C489" s="3" t="e">
        <f>'III. WaTT Main'!#REF!</f>
        <v>#REF!</v>
      </c>
      <c r="D489" s="16">
        <v>1</v>
      </c>
      <c r="E489" t="e">
        <f>'III. WaTT Main'!#REF!</f>
        <v>#REF!</v>
      </c>
    </row>
    <row r="490" spans="1:5">
      <c r="A490" s="3" t="e">
        <f>'III. WaTT Main'!#REF!</f>
        <v>#REF!</v>
      </c>
      <c r="B490" s="3" t="e">
        <f>'III. WaTT Main'!#REF!</f>
        <v>#REF!</v>
      </c>
      <c r="C490" s="3" t="e">
        <f>'III. WaTT Main'!#REF!</f>
        <v>#REF!</v>
      </c>
      <c r="D490" s="16">
        <v>1</v>
      </c>
      <c r="E490" t="e">
        <f>'III. WaTT Main'!#REF!</f>
        <v>#REF!</v>
      </c>
    </row>
    <row r="491" spans="1:5">
      <c r="A491" s="3" t="e">
        <f>'III. WaTT Main'!#REF!</f>
        <v>#REF!</v>
      </c>
      <c r="B491" s="3" t="e">
        <f>'III. WaTT Main'!#REF!</f>
        <v>#REF!</v>
      </c>
      <c r="C491" s="3" t="e">
        <f>'III. WaTT Main'!#REF!</f>
        <v>#REF!</v>
      </c>
      <c r="D491" s="16">
        <v>1</v>
      </c>
      <c r="E491" t="e">
        <f>'III. WaTT Main'!#REF!</f>
        <v>#REF!</v>
      </c>
    </row>
    <row r="492" spans="1:5">
      <c r="A492" s="3" t="e">
        <f>'III. WaTT Main'!#REF!</f>
        <v>#REF!</v>
      </c>
      <c r="B492" s="3" t="e">
        <f>'III. WaTT Main'!#REF!</f>
        <v>#REF!</v>
      </c>
      <c r="C492" s="3" t="e">
        <f>'III. WaTT Main'!#REF!</f>
        <v>#REF!</v>
      </c>
      <c r="D492" s="16">
        <v>1</v>
      </c>
      <c r="E492" t="e">
        <f>'III. WaTT Main'!#REF!</f>
        <v>#REF!</v>
      </c>
    </row>
    <row r="493" spans="1:5">
      <c r="A493" s="3" t="e">
        <f>'III. WaTT Main'!#REF!</f>
        <v>#REF!</v>
      </c>
      <c r="B493" s="3" t="e">
        <f>'III. WaTT Main'!#REF!</f>
        <v>#REF!</v>
      </c>
      <c r="C493" s="3" t="e">
        <f>'III. WaTT Main'!#REF!</f>
        <v>#REF!</v>
      </c>
      <c r="D493" s="16">
        <v>1</v>
      </c>
      <c r="E493" t="e">
        <f>'III. WaTT Main'!#REF!</f>
        <v>#REF!</v>
      </c>
    </row>
    <row r="494" spans="1:5">
      <c r="A494" s="3" t="e">
        <f>'III. WaTT Main'!#REF!</f>
        <v>#REF!</v>
      </c>
      <c r="B494" s="3" t="e">
        <f>'III. WaTT Main'!#REF!</f>
        <v>#REF!</v>
      </c>
      <c r="C494" s="3" t="e">
        <f>'III. WaTT Main'!#REF!</f>
        <v>#REF!</v>
      </c>
      <c r="D494" s="16">
        <v>1</v>
      </c>
      <c r="E494" t="e">
        <f>'III. WaTT Main'!#REF!</f>
        <v>#REF!</v>
      </c>
    </row>
    <row r="495" spans="1:5">
      <c r="A495" s="3" t="e">
        <f>'III. WaTT Main'!#REF!</f>
        <v>#REF!</v>
      </c>
      <c r="B495" s="3" t="e">
        <f>'III. WaTT Main'!#REF!</f>
        <v>#REF!</v>
      </c>
      <c r="C495" s="3" t="e">
        <f>'III. WaTT Main'!#REF!</f>
        <v>#REF!</v>
      </c>
      <c r="D495" s="16">
        <v>1</v>
      </c>
      <c r="E495" t="e">
        <f>'III. WaTT Main'!#REF!</f>
        <v>#REF!</v>
      </c>
    </row>
    <row r="496" spans="1:5">
      <c r="A496" s="3" t="e">
        <f>'III. WaTT Main'!#REF!</f>
        <v>#REF!</v>
      </c>
      <c r="B496" s="3" t="e">
        <f>'III. WaTT Main'!#REF!</f>
        <v>#REF!</v>
      </c>
      <c r="C496" s="3" t="e">
        <f>'III. WaTT Main'!#REF!</f>
        <v>#REF!</v>
      </c>
      <c r="D496" s="16">
        <v>1</v>
      </c>
      <c r="E496" t="e">
        <f>'III. WaTT Main'!#REF!</f>
        <v>#REF!</v>
      </c>
    </row>
    <row r="497" spans="1:5">
      <c r="A497" s="3" t="e">
        <f>'III. WaTT Main'!#REF!</f>
        <v>#REF!</v>
      </c>
      <c r="B497" s="3" t="e">
        <f>'III. WaTT Main'!#REF!</f>
        <v>#REF!</v>
      </c>
      <c r="C497" s="3" t="e">
        <f>'III. WaTT Main'!#REF!</f>
        <v>#REF!</v>
      </c>
      <c r="D497" s="16">
        <v>1</v>
      </c>
      <c r="E497" t="e">
        <f>'III. WaTT Main'!#REF!</f>
        <v>#REF!</v>
      </c>
    </row>
    <row r="498" spans="1:5">
      <c r="A498" s="3" t="e">
        <f>'III. WaTT Main'!#REF!</f>
        <v>#REF!</v>
      </c>
      <c r="B498" s="3" t="e">
        <f>'III. WaTT Main'!#REF!</f>
        <v>#REF!</v>
      </c>
      <c r="C498" s="3" t="e">
        <f>'III. WaTT Main'!#REF!</f>
        <v>#REF!</v>
      </c>
      <c r="D498" s="16">
        <v>1</v>
      </c>
      <c r="E498" t="e">
        <f>'III. WaTT Main'!#REF!</f>
        <v>#REF!</v>
      </c>
    </row>
    <row r="499" spans="1:5">
      <c r="A499" s="3" t="e">
        <f>'III. WaTT Main'!#REF!</f>
        <v>#REF!</v>
      </c>
      <c r="B499" s="3" t="e">
        <f>'III. WaTT Main'!#REF!</f>
        <v>#REF!</v>
      </c>
      <c r="C499" s="3" t="e">
        <f>'III. WaTT Main'!#REF!</f>
        <v>#REF!</v>
      </c>
      <c r="D499" s="16">
        <v>1</v>
      </c>
      <c r="E499" t="e">
        <f>'III. WaTT Main'!#REF!</f>
        <v>#REF!</v>
      </c>
    </row>
    <row r="500" spans="1:5">
      <c r="A500" s="3" t="e">
        <f>'III. WaTT Main'!#REF!</f>
        <v>#REF!</v>
      </c>
      <c r="B500" s="3" t="e">
        <f>'III. WaTT Main'!#REF!</f>
        <v>#REF!</v>
      </c>
      <c r="C500" s="3" t="e">
        <f>'III. WaTT Main'!#REF!</f>
        <v>#REF!</v>
      </c>
      <c r="D500" s="16">
        <v>1</v>
      </c>
      <c r="E500" t="e">
        <f>'III. WaTT Main'!#REF!</f>
        <v>#REF!</v>
      </c>
    </row>
    <row r="501" spans="1:5">
      <c r="A501" s="3" t="e">
        <f>'III. WaTT Main'!#REF!</f>
        <v>#REF!</v>
      </c>
      <c r="B501" s="3" t="e">
        <f>'III. WaTT Main'!#REF!</f>
        <v>#REF!</v>
      </c>
      <c r="C501" s="3" t="e">
        <f>'III. WaTT Main'!#REF!</f>
        <v>#REF!</v>
      </c>
      <c r="D501" s="16">
        <v>1</v>
      </c>
      <c r="E501" t="e">
        <f>'III. WaTT Main'!#REF!</f>
        <v>#REF!</v>
      </c>
    </row>
    <row r="502" spans="1:5">
      <c r="A502" s="3" t="e">
        <f>'III. WaTT Main'!#REF!</f>
        <v>#REF!</v>
      </c>
      <c r="B502" s="3" t="e">
        <f>'III. WaTT Main'!#REF!</f>
        <v>#REF!</v>
      </c>
      <c r="C502" s="3" t="e">
        <f>'III. WaTT Main'!#REF!</f>
        <v>#REF!</v>
      </c>
      <c r="D502" s="16">
        <v>1</v>
      </c>
      <c r="E502" t="e">
        <f>'III. WaTT Main'!#REF!</f>
        <v>#REF!</v>
      </c>
    </row>
    <row r="503" spans="1:5">
      <c r="A503" s="3" t="e">
        <f>'III. WaTT Main'!#REF!</f>
        <v>#REF!</v>
      </c>
      <c r="B503" s="3" t="e">
        <f>'III. WaTT Main'!#REF!</f>
        <v>#REF!</v>
      </c>
      <c r="C503" s="3" t="e">
        <f>'III. WaTT Main'!#REF!</f>
        <v>#REF!</v>
      </c>
      <c r="D503" s="16">
        <v>1</v>
      </c>
      <c r="E503" t="e">
        <f>'III. WaTT Main'!#REF!</f>
        <v>#REF!</v>
      </c>
    </row>
    <row r="504" spans="1:5">
      <c r="A504" s="3" t="e">
        <f>'III. WaTT Main'!#REF!</f>
        <v>#REF!</v>
      </c>
      <c r="B504" s="3" t="e">
        <f>'III. WaTT Main'!#REF!</f>
        <v>#REF!</v>
      </c>
      <c r="C504" s="3" t="e">
        <f>'III. WaTT Main'!#REF!</f>
        <v>#REF!</v>
      </c>
      <c r="D504" s="16">
        <v>1</v>
      </c>
      <c r="E504" t="e">
        <f>'III. WaTT Main'!#REF!</f>
        <v>#REF!</v>
      </c>
    </row>
    <row r="505" spans="1:5">
      <c r="A505" s="3" t="e">
        <f>'III. WaTT Main'!#REF!</f>
        <v>#REF!</v>
      </c>
      <c r="B505" s="3" t="e">
        <f>'III. WaTT Main'!#REF!</f>
        <v>#REF!</v>
      </c>
      <c r="C505" s="3" t="e">
        <f>'III. WaTT Main'!#REF!</f>
        <v>#REF!</v>
      </c>
      <c r="D505" s="16">
        <v>1</v>
      </c>
      <c r="E505" t="e">
        <f>'III. WaTT Main'!#REF!</f>
        <v>#REF!</v>
      </c>
    </row>
    <row r="506" spans="1:5">
      <c r="A506" s="3" t="e">
        <f>'III. WaTT Main'!#REF!</f>
        <v>#REF!</v>
      </c>
      <c r="B506" s="3" t="e">
        <f>'III. WaTT Main'!#REF!</f>
        <v>#REF!</v>
      </c>
      <c r="C506" s="3" t="e">
        <f>'III. WaTT Main'!#REF!</f>
        <v>#REF!</v>
      </c>
      <c r="D506" s="16">
        <v>1</v>
      </c>
      <c r="E506" t="e">
        <f>'III. WaTT Main'!#REF!</f>
        <v>#REF!</v>
      </c>
    </row>
    <row r="507" spans="1:5">
      <c r="A507" s="3" t="e">
        <f>'III. WaTT Main'!#REF!</f>
        <v>#REF!</v>
      </c>
      <c r="B507" s="3" t="e">
        <f>'III. WaTT Main'!#REF!</f>
        <v>#REF!</v>
      </c>
      <c r="C507" s="3" t="e">
        <f>'III. WaTT Main'!#REF!</f>
        <v>#REF!</v>
      </c>
      <c r="D507" s="16">
        <v>1</v>
      </c>
      <c r="E507" t="e">
        <f>'III. WaTT Main'!#REF!</f>
        <v>#REF!</v>
      </c>
    </row>
    <row r="508" spans="1:5">
      <c r="A508" s="3" t="e">
        <f>'III. WaTT Main'!#REF!</f>
        <v>#REF!</v>
      </c>
      <c r="B508" s="3" t="e">
        <f>'III. WaTT Main'!#REF!</f>
        <v>#REF!</v>
      </c>
      <c r="C508" s="3" t="e">
        <f>'III. WaTT Main'!#REF!</f>
        <v>#REF!</v>
      </c>
      <c r="D508" s="16">
        <v>1</v>
      </c>
      <c r="E508" t="e">
        <f>'III. WaTT Main'!#REF!</f>
        <v>#REF!</v>
      </c>
    </row>
    <row r="509" spans="1:5">
      <c r="A509" s="3" t="e">
        <f>'III. WaTT Main'!#REF!</f>
        <v>#REF!</v>
      </c>
      <c r="B509" s="3" t="e">
        <f>'III. WaTT Main'!#REF!</f>
        <v>#REF!</v>
      </c>
      <c r="C509" s="3" t="e">
        <f>'III. WaTT Main'!#REF!</f>
        <v>#REF!</v>
      </c>
      <c r="D509" s="16">
        <v>1</v>
      </c>
      <c r="E509" t="e">
        <f>'III. WaTT Main'!#REF!</f>
        <v>#REF!</v>
      </c>
    </row>
    <row r="510" spans="1:5">
      <c r="A510" s="3" t="e">
        <f>'III. WaTT Main'!#REF!</f>
        <v>#REF!</v>
      </c>
      <c r="B510" s="3" t="e">
        <f>'III. WaTT Main'!#REF!</f>
        <v>#REF!</v>
      </c>
      <c r="C510" s="3" t="e">
        <f>'III. WaTT Main'!#REF!</f>
        <v>#REF!</v>
      </c>
      <c r="D510" s="16">
        <v>1</v>
      </c>
      <c r="E510" t="e">
        <f>'III. WaTT Main'!#REF!</f>
        <v>#REF!</v>
      </c>
    </row>
    <row r="511" spans="1:5">
      <c r="A511" s="3" t="e">
        <f>'III. WaTT Main'!#REF!</f>
        <v>#REF!</v>
      </c>
      <c r="B511" s="3" t="e">
        <f>'III. WaTT Main'!#REF!</f>
        <v>#REF!</v>
      </c>
      <c r="C511" s="3" t="e">
        <f>'III. WaTT Main'!#REF!</f>
        <v>#REF!</v>
      </c>
      <c r="D511" s="16">
        <v>1</v>
      </c>
      <c r="E511" t="e">
        <f>'III. WaTT Main'!#REF!</f>
        <v>#REF!</v>
      </c>
    </row>
    <row r="512" spans="1:5">
      <c r="A512" s="3" t="e">
        <f>'III. WaTT Main'!#REF!</f>
        <v>#REF!</v>
      </c>
      <c r="B512" s="3" t="e">
        <f>'III. WaTT Main'!#REF!</f>
        <v>#REF!</v>
      </c>
      <c r="C512" s="3" t="e">
        <f>'III. WaTT Main'!#REF!</f>
        <v>#REF!</v>
      </c>
      <c r="D512" s="16">
        <v>1</v>
      </c>
      <c r="E512" t="e">
        <f>'III. WaTT Main'!#REF!</f>
        <v>#REF!</v>
      </c>
    </row>
    <row r="513" spans="1:5">
      <c r="A513" s="3" t="e">
        <f>'III. WaTT Main'!#REF!</f>
        <v>#REF!</v>
      </c>
      <c r="B513" s="3" t="e">
        <f>'III. WaTT Main'!#REF!</f>
        <v>#REF!</v>
      </c>
      <c r="C513" s="3" t="e">
        <f>'III. WaTT Main'!#REF!</f>
        <v>#REF!</v>
      </c>
      <c r="D513" s="16">
        <v>1</v>
      </c>
      <c r="E513" t="e">
        <f>'III. WaTT Main'!#REF!</f>
        <v>#REF!</v>
      </c>
    </row>
    <row r="514" spans="1:5">
      <c r="A514" s="3" t="e">
        <f>'III. WaTT Main'!#REF!</f>
        <v>#REF!</v>
      </c>
      <c r="B514" s="3" t="e">
        <f>'III. WaTT Main'!#REF!</f>
        <v>#REF!</v>
      </c>
      <c r="C514" s="3" t="e">
        <f>'III. WaTT Main'!#REF!</f>
        <v>#REF!</v>
      </c>
      <c r="D514" s="16">
        <v>1</v>
      </c>
      <c r="E514" t="e">
        <f>'III. WaTT Main'!#REF!</f>
        <v>#REF!</v>
      </c>
    </row>
    <row r="515" spans="1:5">
      <c r="A515" s="3" t="e">
        <f>'III. WaTT Main'!#REF!</f>
        <v>#REF!</v>
      </c>
      <c r="B515" s="3" t="e">
        <f>'III. WaTT Main'!#REF!</f>
        <v>#REF!</v>
      </c>
      <c r="C515" s="3" t="e">
        <f>'III. WaTT Main'!#REF!</f>
        <v>#REF!</v>
      </c>
      <c r="D515" s="16">
        <v>1</v>
      </c>
      <c r="E515" t="e">
        <f>'III. WaTT Main'!#REF!</f>
        <v>#REF!</v>
      </c>
    </row>
    <row r="516" spans="1:5">
      <c r="A516" s="3" t="e">
        <f>'III. WaTT Main'!#REF!</f>
        <v>#REF!</v>
      </c>
      <c r="B516" s="3" t="e">
        <f>'III. WaTT Main'!#REF!</f>
        <v>#REF!</v>
      </c>
      <c r="C516" s="3" t="e">
        <f>'III. WaTT Main'!#REF!</f>
        <v>#REF!</v>
      </c>
      <c r="D516" s="16">
        <v>1</v>
      </c>
      <c r="E516" t="e">
        <f>'III. WaTT Main'!#REF!</f>
        <v>#REF!</v>
      </c>
    </row>
    <row r="517" spans="1:5">
      <c r="A517" s="3" t="e">
        <f>'III. WaTT Main'!#REF!</f>
        <v>#REF!</v>
      </c>
      <c r="B517" s="3" t="e">
        <f>'III. WaTT Main'!#REF!</f>
        <v>#REF!</v>
      </c>
      <c r="C517" s="3" t="e">
        <f>'III. WaTT Main'!#REF!</f>
        <v>#REF!</v>
      </c>
      <c r="D517" s="16">
        <v>1</v>
      </c>
      <c r="E517" t="e">
        <f>'III. WaTT Main'!#REF!</f>
        <v>#REF!</v>
      </c>
    </row>
    <row r="518" spans="1:5">
      <c r="A518" s="3" t="e">
        <f>'III. WaTT Main'!#REF!</f>
        <v>#REF!</v>
      </c>
      <c r="B518" s="3" t="e">
        <f>'III. WaTT Main'!#REF!</f>
        <v>#REF!</v>
      </c>
      <c r="C518" s="3" t="e">
        <f>'III. WaTT Main'!#REF!</f>
        <v>#REF!</v>
      </c>
      <c r="D518" s="16">
        <v>1</v>
      </c>
      <c r="E518" t="e">
        <f>'III. WaTT Main'!#REF!</f>
        <v>#REF!</v>
      </c>
    </row>
    <row r="519" spans="1:5">
      <c r="A519" s="3" t="e">
        <f>'III. WaTT Main'!#REF!</f>
        <v>#REF!</v>
      </c>
      <c r="B519" s="3" t="e">
        <f>'III. WaTT Main'!#REF!</f>
        <v>#REF!</v>
      </c>
      <c r="C519" s="3" t="e">
        <f>'III. WaTT Main'!#REF!</f>
        <v>#REF!</v>
      </c>
      <c r="D519" s="16">
        <v>1</v>
      </c>
      <c r="E519" t="e">
        <f>'III. WaTT Main'!#REF!</f>
        <v>#REF!</v>
      </c>
    </row>
    <row r="520" spans="1:5">
      <c r="A520" s="3" t="e">
        <f>'III. WaTT Main'!#REF!</f>
        <v>#REF!</v>
      </c>
      <c r="B520" s="3" t="e">
        <f>'III. WaTT Main'!#REF!</f>
        <v>#REF!</v>
      </c>
      <c r="C520" s="3" t="e">
        <f>'III. WaTT Main'!#REF!</f>
        <v>#REF!</v>
      </c>
      <c r="D520" s="16">
        <v>1</v>
      </c>
      <c r="E520" t="e">
        <f>'III. WaTT Main'!#REF!</f>
        <v>#REF!</v>
      </c>
    </row>
    <row r="521" spans="1:5">
      <c r="A521" s="3" t="e">
        <f>'III. WaTT Main'!#REF!</f>
        <v>#REF!</v>
      </c>
      <c r="B521" s="3" t="e">
        <f>'III. WaTT Main'!#REF!</f>
        <v>#REF!</v>
      </c>
      <c r="C521" s="3" t="e">
        <f>'III. WaTT Main'!#REF!</f>
        <v>#REF!</v>
      </c>
      <c r="D521" s="16">
        <v>1</v>
      </c>
      <c r="E521" t="e">
        <f>'III. WaTT Main'!#REF!</f>
        <v>#REF!</v>
      </c>
    </row>
    <row r="522" spans="1:5">
      <c r="A522" s="3" t="e">
        <f>'III. WaTT Main'!#REF!</f>
        <v>#REF!</v>
      </c>
      <c r="B522" s="3" t="e">
        <f>'III. WaTT Main'!#REF!</f>
        <v>#REF!</v>
      </c>
      <c r="C522" s="3" t="e">
        <f>'III. WaTT Main'!#REF!</f>
        <v>#REF!</v>
      </c>
      <c r="D522" s="16">
        <v>1</v>
      </c>
      <c r="E522" t="e">
        <f>'III. WaTT Main'!#REF!</f>
        <v>#REF!</v>
      </c>
    </row>
    <row r="523" spans="1:5">
      <c r="A523" s="3" t="e">
        <f>'III. WaTT Main'!#REF!</f>
        <v>#REF!</v>
      </c>
      <c r="B523" s="3" t="e">
        <f>'III. WaTT Main'!#REF!</f>
        <v>#REF!</v>
      </c>
      <c r="C523" s="3" t="e">
        <f>'III. WaTT Main'!#REF!</f>
        <v>#REF!</v>
      </c>
      <c r="D523" s="16">
        <v>1</v>
      </c>
      <c r="E523" t="e">
        <f>'III. WaTT Main'!#REF!</f>
        <v>#REF!</v>
      </c>
    </row>
    <row r="524" spans="1:5">
      <c r="A524" s="3" t="e">
        <f>'III. WaTT Main'!#REF!</f>
        <v>#REF!</v>
      </c>
      <c r="B524" s="3" t="e">
        <f>'III. WaTT Main'!#REF!</f>
        <v>#REF!</v>
      </c>
      <c r="C524" s="3" t="e">
        <f>'III. WaTT Main'!#REF!</f>
        <v>#REF!</v>
      </c>
      <c r="D524" s="16">
        <v>1</v>
      </c>
      <c r="E524" t="e">
        <f>'III. WaTT Main'!#REF!</f>
        <v>#REF!</v>
      </c>
    </row>
    <row r="525" spans="1:5">
      <c r="A525" s="3" t="e">
        <f>'III. WaTT Main'!#REF!</f>
        <v>#REF!</v>
      </c>
      <c r="B525" s="3" t="e">
        <f>'III. WaTT Main'!#REF!</f>
        <v>#REF!</v>
      </c>
      <c r="C525" s="3" t="e">
        <f>'III. WaTT Main'!#REF!</f>
        <v>#REF!</v>
      </c>
      <c r="D525" s="16">
        <v>1</v>
      </c>
      <c r="E525" t="e">
        <f>'III. WaTT Main'!#REF!</f>
        <v>#REF!</v>
      </c>
    </row>
    <row r="526" spans="1:5">
      <c r="A526" s="3" t="e">
        <f>'III. WaTT Main'!#REF!</f>
        <v>#REF!</v>
      </c>
      <c r="B526" s="3" t="e">
        <f>'III. WaTT Main'!#REF!</f>
        <v>#REF!</v>
      </c>
      <c r="C526" s="3" t="e">
        <f>'III. WaTT Main'!#REF!</f>
        <v>#REF!</v>
      </c>
      <c r="D526" s="16">
        <v>1</v>
      </c>
      <c r="E526" t="e">
        <f>'III. WaTT Main'!#REF!</f>
        <v>#REF!</v>
      </c>
    </row>
    <row r="527" spans="1:5">
      <c r="A527" s="3" t="e">
        <f>'III. WaTT Main'!#REF!</f>
        <v>#REF!</v>
      </c>
      <c r="B527" s="3" t="e">
        <f>'III. WaTT Main'!#REF!</f>
        <v>#REF!</v>
      </c>
      <c r="C527" s="3" t="e">
        <f>'III. WaTT Main'!#REF!</f>
        <v>#REF!</v>
      </c>
      <c r="D527" s="16">
        <v>1</v>
      </c>
      <c r="E527" t="e">
        <f>'III. WaTT Main'!#REF!</f>
        <v>#REF!</v>
      </c>
    </row>
    <row r="528" spans="1:5">
      <c r="A528" s="3" t="e">
        <f>'III. WaTT Main'!#REF!</f>
        <v>#REF!</v>
      </c>
      <c r="B528" s="3" t="e">
        <f>'III. WaTT Main'!#REF!</f>
        <v>#REF!</v>
      </c>
      <c r="C528" s="3" t="e">
        <f>'III. WaTT Main'!#REF!</f>
        <v>#REF!</v>
      </c>
      <c r="D528" s="16">
        <v>1</v>
      </c>
      <c r="E528" t="e">
        <f>'III. WaTT Main'!#REF!</f>
        <v>#REF!</v>
      </c>
    </row>
    <row r="529" spans="1:5">
      <c r="A529" s="3" t="e">
        <f>'III. WaTT Main'!#REF!</f>
        <v>#REF!</v>
      </c>
      <c r="B529" s="3" t="e">
        <f>'III. WaTT Main'!#REF!</f>
        <v>#REF!</v>
      </c>
      <c r="C529" s="3" t="e">
        <f>'III. WaTT Main'!#REF!</f>
        <v>#REF!</v>
      </c>
      <c r="D529" s="16">
        <v>1</v>
      </c>
      <c r="E529" t="e">
        <f>'III. WaTT Main'!#REF!</f>
        <v>#REF!</v>
      </c>
    </row>
    <row r="530" spans="1:5">
      <c r="A530" s="3" t="e">
        <f>'III. WaTT Main'!#REF!</f>
        <v>#REF!</v>
      </c>
      <c r="B530" s="3" t="e">
        <f>'III. WaTT Main'!#REF!</f>
        <v>#REF!</v>
      </c>
      <c r="C530" s="3" t="e">
        <f>'III. WaTT Main'!#REF!</f>
        <v>#REF!</v>
      </c>
      <c r="D530" s="16">
        <v>1</v>
      </c>
      <c r="E530" t="e">
        <f>'III. WaTT Main'!#REF!</f>
        <v>#REF!</v>
      </c>
    </row>
    <row r="531" spans="1:5">
      <c r="A531" s="3" t="e">
        <f>'III. WaTT Main'!#REF!</f>
        <v>#REF!</v>
      </c>
      <c r="B531" s="3" t="e">
        <f>'III. WaTT Main'!#REF!</f>
        <v>#REF!</v>
      </c>
      <c r="C531" s="3" t="e">
        <f>'III. WaTT Main'!#REF!</f>
        <v>#REF!</v>
      </c>
      <c r="D531" s="16">
        <v>1</v>
      </c>
      <c r="E531" t="e">
        <f>'III. WaTT Main'!#REF!</f>
        <v>#REF!</v>
      </c>
    </row>
    <row r="532" spans="1:5">
      <c r="A532" s="3" t="e">
        <f>'III. WaTT Main'!#REF!</f>
        <v>#REF!</v>
      </c>
      <c r="B532" s="3" t="e">
        <f>'III. WaTT Main'!#REF!</f>
        <v>#REF!</v>
      </c>
      <c r="C532" s="3" t="e">
        <f>'III. WaTT Main'!#REF!</f>
        <v>#REF!</v>
      </c>
      <c r="D532" s="16">
        <v>1</v>
      </c>
      <c r="E532" t="e">
        <f>'III. WaTT Main'!#REF!</f>
        <v>#REF!</v>
      </c>
    </row>
    <row r="533" spans="1:5">
      <c r="A533" s="3" t="e">
        <f>'III. WaTT Main'!#REF!</f>
        <v>#REF!</v>
      </c>
      <c r="B533" s="3" t="e">
        <f>'III. WaTT Main'!#REF!</f>
        <v>#REF!</v>
      </c>
      <c r="C533" s="3" t="e">
        <f>'III. WaTT Main'!#REF!</f>
        <v>#REF!</v>
      </c>
      <c r="D533" s="16">
        <v>1</v>
      </c>
      <c r="E533" t="e">
        <f>'III. WaTT Main'!#REF!</f>
        <v>#REF!</v>
      </c>
    </row>
    <row r="534" spans="1:5">
      <c r="A534" s="3" t="e">
        <f>'III. WaTT Main'!#REF!</f>
        <v>#REF!</v>
      </c>
      <c r="B534" s="3" t="e">
        <f>'III. WaTT Main'!#REF!</f>
        <v>#REF!</v>
      </c>
      <c r="C534" s="3" t="e">
        <f>'III. WaTT Main'!#REF!</f>
        <v>#REF!</v>
      </c>
      <c r="D534" s="16">
        <v>1</v>
      </c>
      <c r="E534" t="e">
        <f>'III. WaTT Main'!#REF!</f>
        <v>#REF!</v>
      </c>
    </row>
    <row r="535" spans="1:5">
      <c r="A535" s="3" t="e">
        <f>'III. WaTT Main'!#REF!</f>
        <v>#REF!</v>
      </c>
      <c r="B535" s="3" t="e">
        <f>'III. WaTT Main'!#REF!</f>
        <v>#REF!</v>
      </c>
      <c r="C535" s="3" t="e">
        <f>'III. WaTT Main'!#REF!</f>
        <v>#REF!</v>
      </c>
      <c r="D535" s="16">
        <v>1</v>
      </c>
      <c r="E535" t="e">
        <f>'III. WaTT Main'!#REF!</f>
        <v>#REF!</v>
      </c>
    </row>
    <row r="536" spans="1:5">
      <c r="A536" s="3" t="e">
        <f>'III. WaTT Main'!#REF!</f>
        <v>#REF!</v>
      </c>
      <c r="B536" s="3" t="e">
        <f>'III. WaTT Main'!#REF!</f>
        <v>#REF!</v>
      </c>
      <c r="C536" s="3" t="e">
        <f>'III. WaTT Main'!#REF!</f>
        <v>#REF!</v>
      </c>
      <c r="D536" s="16">
        <v>1</v>
      </c>
      <c r="E536" t="e">
        <f>'III. WaTT Main'!#REF!</f>
        <v>#REF!</v>
      </c>
    </row>
    <row r="537" spans="1:5">
      <c r="A537" s="3" t="e">
        <f>'III. WaTT Main'!#REF!</f>
        <v>#REF!</v>
      </c>
      <c r="B537" s="3" t="e">
        <f>'III. WaTT Main'!#REF!</f>
        <v>#REF!</v>
      </c>
      <c r="C537" s="3" t="e">
        <f>'III. WaTT Main'!#REF!</f>
        <v>#REF!</v>
      </c>
      <c r="D537" s="16">
        <v>1</v>
      </c>
      <c r="E537" t="e">
        <f>'III. WaTT Main'!#REF!</f>
        <v>#REF!</v>
      </c>
    </row>
    <row r="538" spans="1:5">
      <c r="A538" s="3" t="e">
        <f>'III. WaTT Main'!#REF!</f>
        <v>#REF!</v>
      </c>
      <c r="B538" s="3" t="e">
        <f>'III. WaTT Main'!#REF!</f>
        <v>#REF!</v>
      </c>
      <c r="C538" s="3" t="e">
        <f>'III. WaTT Main'!#REF!</f>
        <v>#REF!</v>
      </c>
      <c r="D538" s="16">
        <v>1</v>
      </c>
      <c r="E538" t="e">
        <f>'III. WaTT Main'!#REF!</f>
        <v>#REF!</v>
      </c>
    </row>
    <row r="539" spans="1:5">
      <c r="A539" s="3" t="e">
        <f>'III. WaTT Main'!#REF!</f>
        <v>#REF!</v>
      </c>
      <c r="B539" s="3" t="e">
        <f>'III. WaTT Main'!#REF!</f>
        <v>#REF!</v>
      </c>
      <c r="C539" s="3" t="e">
        <f>'III. WaTT Main'!#REF!</f>
        <v>#REF!</v>
      </c>
      <c r="D539" s="16">
        <v>1</v>
      </c>
      <c r="E539" t="e">
        <f>'III. WaTT Main'!#REF!</f>
        <v>#REF!</v>
      </c>
    </row>
    <row r="540" spans="1:5">
      <c r="A540" s="3" t="e">
        <f>'III. WaTT Main'!#REF!</f>
        <v>#REF!</v>
      </c>
      <c r="B540" s="3" t="e">
        <f>'III. WaTT Main'!#REF!</f>
        <v>#REF!</v>
      </c>
      <c r="C540" s="3" t="e">
        <f>'III. WaTT Main'!#REF!</f>
        <v>#REF!</v>
      </c>
      <c r="D540" s="16">
        <v>1</v>
      </c>
      <c r="E540" t="e">
        <f>'III. WaTT Main'!#REF!</f>
        <v>#REF!</v>
      </c>
    </row>
    <row r="541" spans="1:5">
      <c r="A541" s="3" t="e">
        <f>'III. WaTT Main'!#REF!</f>
        <v>#REF!</v>
      </c>
      <c r="B541" s="3" t="e">
        <f>'III. WaTT Main'!#REF!</f>
        <v>#REF!</v>
      </c>
      <c r="C541" s="3" t="e">
        <f>'III. WaTT Main'!#REF!</f>
        <v>#REF!</v>
      </c>
      <c r="D541" s="16">
        <v>1</v>
      </c>
      <c r="E541" t="e">
        <f>'III. WaTT Main'!#REF!</f>
        <v>#REF!</v>
      </c>
    </row>
    <row r="542" spans="1:5">
      <c r="A542" s="3" t="e">
        <f>'III. WaTT Main'!#REF!</f>
        <v>#REF!</v>
      </c>
      <c r="B542" s="3" t="e">
        <f>'III. WaTT Main'!#REF!</f>
        <v>#REF!</v>
      </c>
      <c r="C542" s="3" t="e">
        <f>'III. WaTT Main'!#REF!</f>
        <v>#REF!</v>
      </c>
      <c r="D542" s="16">
        <v>1</v>
      </c>
      <c r="E542" t="e">
        <f>'III. WaTT Main'!#REF!</f>
        <v>#REF!</v>
      </c>
    </row>
    <row r="543" spans="1:5">
      <c r="A543" s="3" t="e">
        <f>'III. WaTT Main'!#REF!</f>
        <v>#REF!</v>
      </c>
      <c r="B543" s="3" t="e">
        <f>'III. WaTT Main'!#REF!</f>
        <v>#REF!</v>
      </c>
      <c r="C543" s="3" t="e">
        <f>'III. WaTT Main'!#REF!</f>
        <v>#REF!</v>
      </c>
      <c r="D543" s="16">
        <v>1</v>
      </c>
      <c r="E543" t="e">
        <f>'III. WaTT Main'!#REF!</f>
        <v>#REF!</v>
      </c>
    </row>
    <row r="544" spans="1:5">
      <c r="A544" s="3" t="e">
        <f>'III. WaTT Main'!#REF!</f>
        <v>#REF!</v>
      </c>
      <c r="B544" s="3" t="e">
        <f>'III. WaTT Main'!#REF!</f>
        <v>#REF!</v>
      </c>
      <c r="C544" s="3" t="e">
        <f>'III. WaTT Main'!#REF!</f>
        <v>#REF!</v>
      </c>
      <c r="D544" s="16">
        <v>1</v>
      </c>
      <c r="E544" t="e">
        <f>'III. WaTT Main'!#REF!</f>
        <v>#REF!</v>
      </c>
    </row>
    <row r="545" spans="1:5">
      <c r="A545" s="3" t="e">
        <f>'III. WaTT Main'!#REF!</f>
        <v>#REF!</v>
      </c>
      <c r="B545" s="3" t="e">
        <f>'III. WaTT Main'!#REF!</f>
        <v>#REF!</v>
      </c>
      <c r="C545" s="3" t="e">
        <f>'III. WaTT Main'!#REF!</f>
        <v>#REF!</v>
      </c>
      <c r="D545" s="16">
        <v>1</v>
      </c>
      <c r="E545" t="e">
        <f>'III. WaTT Main'!#REF!</f>
        <v>#REF!</v>
      </c>
    </row>
    <row r="546" spans="1:5">
      <c r="A546" s="3" t="e">
        <f>'III. WaTT Main'!#REF!</f>
        <v>#REF!</v>
      </c>
      <c r="B546" s="3" t="e">
        <f>'III. WaTT Main'!#REF!</f>
        <v>#REF!</v>
      </c>
      <c r="C546" s="3" t="e">
        <f>'III. WaTT Main'!#REF!</f>
        <v>#REF!</v>
      </c>
      <c r="D546" s="16">
        <v>1</v>
      </c>
      <c r="E546" t="e">
        <f>'III. WaTT Main'!#REF!</f>
        <v>#REF!</v>
      </c>
    </row>
    <row r="547" spans="1:5">
      <c r="A547" s="3" t="e">
        <f>'III. WaTT Main'!#REF!</f>
        <v>#REF!</v>
      </c>
      <c r="B547" s="3" t="e">
        <f>'III. WaTT Main'!#REF!</f>
        <v>#REF!</v>
      </c>
      <c r="C547" s="3" t="e">
        <f>'III. WaTT Main'!#REF!</f>
        <v>#REF!</v>
      </c>
      <c r="D547" s="16">
        <v>1</v>
      </c>
      <c r="E547" t="e">
        <f>'III. WaTT Main'!#REF!</f>
        <v>#REF!</v>
      </c>
    </row>
    <row r="548" spans="1:5">
      <c r="A548" s="3" t="e">
        <f>'III. WaTT Main'!#REF!</f>
        <v>#REF!</v>
      </c>
      <c r="B548" s="3" t="e">
        <f>'III. WaTT Main'!#REF!</f>
        <v>#REF!</v>
      </c>
      <c r="C548" s="3" t="e">
        <f>'III. WaTT Main'!#REF!</f>
        <v>#REF!</v>
      </c>
      <c r="D548" s="16">
        <v>1</v>
      </c>
      <c r="E548" t="e">
        <f>'III. WaTT Main'!#REF!</f>
        <v>#REF!</v>
      </c>
    </row>
    <row r="549" spans="1:5">
      <c r="A549" s="3" t="e">
        <f>'III. WaTT Main'!#REF!</f>
        <v>#REF!</v>
      </c>
      <c r="B549" s="3" t="e">
        <f>'III. WaTT Main'!#REF!</f>
        <v>#REF!</v>
      </c>
      <c r="C549" s="3" t="e">
        <f>'III. WaTT Main'!#REF!</f>
        <v>#REF!</v>
      </c>
      <c r="D549" s="16">
        <v>1</v>
      </c>
      <c r="E549" t="e">
        <f>'III. WaTT Main'!#REF!</f>
        <v>#REF!</v>
      </c>
    </row>
    <row r="550" spans="1:5">
      <c r="A550" s="3" t="e">
        <f>'III. WaTT Main'!#REF!</f>
        <v>#REF!</v>
      </c>
      <c r="B550" s="3" t="e">
        <f>'III. WaTT Main'!#REF!</f>
        <v>#REF!</v>
      </c>
      <c r="C550" s="3" t="e">
        <f>'III. WaTT Main'!#REF!</f>
        <v>#REF!</v>
      </c>
      <c r="D550" s="16">
        <v>1</v>
      </c>
      <c r="E550" t="e">
        <f>'III. WaTT Main'!#REF!</f>
        <v>#REF!</v>
      </c>
    </row>
    <row r="551" spans="1:5">
      <c r="A551" s="3" t="e">
        <f>'III. WaTT Main'!#REF!</f>
        <v>#REF!</v>
      </c>
      <c r="B551" s="3" t="e">
        <f>'III. WaTT Main'!#REF!</f>
        <v>#REF!</v>
      </c>
      <c r="C551" s="3" t="e">
        <f>'III. WaTT Main'!#REF!</f>
        <v>#REF!</v>
      </c>
      <c r="D551" s="16">
        <v>1</v>
      </c>
      <c r="E551" t="e">
        <f>'III. WaTT Main'!#REF!</f>
        <v>#REF!</v>
      </c>
    </row>
    <row r="552" spans="1:5">
      <c r="A552" s="3" t="e">
        <f>'III. WaTT Main'!#REF!</f>
        <v>#REF!</v>
      </c>
      <c r="B552" s="3" t="e">
        <f>'III. WaTT Main'!#REF!</f>
        <v>#REF!</v>
      </c>
      <c r="C552" s="3" t="e">
        <f>'III. WaTT Main'!#REF!</f>
        <v>#REF!</v>
      </c>
      <c r="D552" s="16">
        <v>1</v>
      </c>
      <c r="E552" t="e">
        <f>'III. WaTT Main'!#REF!</f>
        <v>#REF!</v>
      </c>
    </row>
    <row r="553" spans="1:5">
      <c r="A553" s="3" t="e">
        <f>'III. WaTT Main'!#REF!</f>
        <v>#REF!</v>
      </c>
      <c r="B553" s="3" t="e">
        <f>'III. WaTT Main'!#REF!</f>
        <v>#REF!</v>
      </c>
      <c r="C553" s="3" t="e">
        <f>'III. WaTT Main'!#REF!</f>
        <v>#REF!</v>
      </c>
      <c r="D553" s="16">
        <v>1</v>
      </c>
      <c r="E553" t="e">
        <f>'III. WaTT Main'!#REF!</f>
        <v>#REF!</v>
      </c>
    </row>
    <row r="554" spans="1:5">
      <c r="A554" s="3" t="e">
        <f>'III. WaTT Main'!#REF!</f>
        <v>#REF!</v>
      </c>
      <c r="B554" s="3" t="e">
        <f>'III. WaTT Main'!#REF!</f>
        <v>#REF!</v>
      </c>
      <c r="C554" s="3" t="e">
        <f>'III. WaTT Main'!#REF!</f>
        <v>#REF!</v>
      </c>
      <c r="D554" s="16">
        <v>1</v>
      </c>
      <c r="E554" t="e">
        <f>'III. WaTT Main'!#REF!</f>
        <v>#REF!</v>
      </c>
    </row>
    <row r="555" spans="1:5">
      <c r="A555" s="3" t="e">
        <f>'III. WaTT Main'!#REF!</f>
        <v>#REF!</v>
      </c>
      <c r="B555" s="3" t="e">
        <f>'III. WaTT Main'!#REF!</f>
        <v>#REF!</v>
      </c>
      <c r="C555" s="3" t="e">
        <f>'III. WaTT Main'!#REF!</f>
        <v>#REF!</v>
      </c>
      <c r="D555" s="16">
        <v>1</v>
      </c>
      <c r="E555" t="e">
        <f>'III. WaTT Main'!#REF!</f>
        <v>#REF!</v>
      </c>
    </row>
    <row r="556" spans="1:5">
      <c r="A556" s="3" t="e">
        <f>'III. WaTT Main'!#REF!</f>
        <v>#REF!</v>
      </c>
      <c r="B556" s="3" t="e">
        <f>'III. WaTT Main'!#REF!</f>
        <v>#REF!</v>
      </c>
      <c r="C556" s="3" t="e">
        <f>'III. WaTT Main'!#REF!</f>
        <v>#REF!</v>
      </c>
      <c r="D556" s="16">
        <v>1</v>
      </c>
      <c r="E556" t="e">
        <f>'III. WaTT Main'!#REF!</f>
        <v>#REF!</v>
      </c>
    </row>
    <row r="557" spans="1:5">
      <c r="A557" s="3" t="e">
        <f>'III. WaTT Main'!#REF!</f>
        <v>#REF!</v>
      </c>
      <c r="B557" s="3" t="e">
        <f>'III. WaTT Main'!#REF!</f>
        <v>#REF!</v>
      </c>
      <c r="C557" s="3" t="e">
        <f>'III. WaTT Main'!#REF!</f>
        <v>#REF!</v>
      </c>
      <c r="D557" s="16">
        <v>1</v>
      </c>
      <c r="E557" t="e">
        <f>'III. WaTT Main'!#REF!</f>
        <v>#REF!</v>
      </c>
    </row>
    <row r="558" spans="1:5">
      <c r="A558" s="3" t="e">
        <f>'III. WaTT Main'!#REF!</f>
        <v>#REF!</v>
      </c>
      <c r="B558" s="3" t="e">
        <f>'III. WaTT Main'!#REF!</f>
        <v>#REF!</v>
      </c>
      <c r="C558" s="3" t="e">
        <f>'III. WaTT Main'!#REF!</f>
        <v>#REF!</v>
      </c>
      <c r="D558" s="16">
        <v>1</v>
      </c>
      <c r="E558" t="e">
        <f>'III. WaTT Main'!#REF!</f>
        <v>#REF!</v>
      </c>
    </row>
    <row r="559" spans="1:5">
      <c r="A559" s="3" t="e">
        <f>'III. WaTT Main'!#REF!</f>
        <v>#REF!</v>
      </c>
      <c r="B559" s="3" t="e">
        <f>'III. WaTT Main'!#REF!</f>
        <v>#REF!</v>
      </c>
      <c r="C559" s="3" t="e">
        <f>'III. WaTT Main'!#REF!</f>
        <v>#REF!</v>
      </c>
      <c r="D559" s="16">
        <v>1</v>
      </c>
      <c r="E559" t="e">
        <f>'III. WaTT Main'!#REF!</f>
        <v>#REF!</v>
      </c>
    </row>
    <row r="560" spans="1:5">
      <c r="A560" s="3" t="e">
        <f>'III. WaTT Main'!#REF!</f>
        <v>#REF!</v>
      </c>
      <c r="B560" s="3" t="e">
        <f>'III. WaTT Main'!#REF!</f>
        <v>#REF!</v>
      </c>
      <c r="C560" s="3" t="e">
        <f>'III. WaTT Main'!#REF!</f>
        <v>#REF!</v>
      </c>
      <c r="D560" s="16">
        <v>1</v>
      </c>
      <c r="E560" t="e">
        <f>'III. WaTT Main'!#REF!</f>
        <v>#REF!</v>
      </c>
    </row>
    <row r="561" spans="1:5">
      <c r="A561" s="3" t="e">
        <f>'III. WaTT Main'!#REF!</f>
        <v>#REF!</v>
      </c>
      <c r="B561" s="3" t="e">
        <f>'III. WaTT Main'!#REF!</f>
        <v>#REF!</v>
      </c>
      <c r="C561" s="3" t="e">
        <f>'III. WaTT Main'!#REF!</f>
        <v>#REF!</v>
      </c>
      <c r="D561" s="16">
        <v>1</v>
      </c>
      <c r="E561" t="e">
        <f>'III. WaTT Main'!#REF!</f>
        <v>#REF!</v>
      </c>
    </row>
    <row r="562" spans="1:5">
      <c r="A562" s="3" t="e">
        <f>'III. WaTT Main'!#REF!</f>
        <v>#REF!</v>
      </c>
      <c r="B562" s="3" t="e">
        <f>'III. WaTT Main'!#REF!</f>
        <v>#REF!</v>
      </c>
      <c r="C562" s="3" t="e">
        <f>'III. WaTT Main'!#REF!</f>
        <v>#REF!</v>
      </c>
      <c r="D562" s="16">
        <v>1</v>
      </c>
      <c r="E562" t="e">
        <f>'III. WaTT Main'!#REF!</f>
        <v>#REF!</v>
      </c>
    </row>
    <row r="563" spans="1:5">
      <c r="A563" s="3" t="e">
        <f>'III. WaTT Main'!#REF!</f>
        <v>#REF!</v>
      </c>
      <c r="B563" s="3" t="e">
        <f>'III. WaTT Main'!#REF!</f>
        <v>#REF!</v>
      </c>
      <c r="C563" s="3" t="e">
        <f>'III. WaTT Main'!#REF!</f>
        <v>#REF!</v>
      </c>
      <c r="D563" s="16">
        <v>1</v>
      </c>
      <c r="E563" t="e">
        <f>'III. WaTT Main'!#REF!</f>
        <v>#REF!</v>
      </c>
    </row>
    <row r="564" spans="1:5">
      <c r="A564" s="3" t="e">
        <f>'III. WaTT Main'!#REF!</f>
        <v>#REF!</v>
      </c>
      <c r="B564" s="3" t="e">
        <f>'III. WaTT Main'!#REF!</f>
        <v>#REF!</v>
      </c>
      <c r="C564" s="3" t="e">
        <f>'III. WaTT Main'!#REF!</f>
        <v>#REF!</v>
      </c>
      <c r="D564" s="16">
        <v>1</v>
      </c>
      <c r="E564" t="e">
        <f>'III. WaTT Main'!#REF!</f>
        <v>#REF!</v>
      </c>
    </row>
    <row r="565" spans="1:5">
      <c r="A565" s="3" t="e">
        <f>'III. WaTT Main'!#REF!</f>
        <v>#REF!</v>
      </c>
      <c r="B565" s="3" t="e">
        <f>'III. WaTT Main'!#REF!</f>
        <v>#REF!</v>
      </c>
      <c r="C565" s="3" t="e">
        <f>'III. WaTT Main'!#REF!</f>
        <v>#REF!</v>
      </c>
      <c r="D565" s="16">
        <v>1</v>
      </c>
      <c r="E565" t="e">
        <f>'III. WaTT Main'!#REF!</f>
        <v>#REF!</v>
      </c>
    </row>
    <row r="566" spans="1:5">
      <c r="A566" s="3" t="e">
        <f>'III. WaTT Main'!#REF!</f>
        <v>#REF!</v>
      </c>
      <c r="B566" s="3" t="e">
        <f>'III. WaTT Main'!#REF!</f>
        <v>#REF!</v>
      </c>
      <c r="C566" s="3" t="e">
        <f>'III. WaTT Main'!#REF!</f>
        <v>#REF!</v>
      </c>
      <c r="D566" s="16">
        <v>1</v>
      </c>
      <c r="E566" t="e">
        <f>'III. WaTT Main'!#REF!</f>
        <v>#REF!</v>
      </c>
    </row>
    <row r="567" spans="1:5">
      <c r="A567" s="3" t="e">
        <f>'III. WaTT Main'!#REF!</f>
        <v>#REF!</v>
      </c>
      <c r="B567" s="3" t="e">
        <f>'III. WaTT Main'!#REF!</f>
        <v>#REF!</v>
      </c>
      <c r="C567" s="3" t="e">
        <f>'III. WaTT Main'!#REF!</f>
        <v>#REF!</v>
      </c>
      <c r="D567" s="16">
        <v>1</v>
      </c>
      <c r="E567" t="e">
        <f>'III. WaTT Main'!#REF!</f>
        <v>#REF!</v>
      </c>
    </row>
    <row r="568" spans="1:5">
      <c r="A568" s="3" t="e">
        <f>'III. WaTT Main'!#REF!</f>
        <v>#REF!</v>
      </c>
      <c r="B568" s="3" t="e">
        <f>'III. WaTT Main'!#REF!</f>
        <v>#REF!</v>
      </c>
      <c r="C568" s="3" t="e">
        <f>'III. WaTT Main'!#REF!</f>
        <v>#REF!</v>
      </c>
      <c r="D568" s="16">
        <v>1</v>
      </c>
      <c r="E568" t="e">
        <f>'III. WaTT Main'!#REF!</f>
        <v>#REF!</v>
      </c>
    </row>
    <row r="569" spans="1:5">
      <c r="A569" s="3" t="e">
        <f>'III. WaTT Main'!#REF!</f>
        <v>#REF!</v>
      </c>
      <c r="B569" s="3" t="e">
        <f>'III. WaTT Main'!#REF!</f>
        <v>#REF!</v>
      </c>
      <c r="C569" s="3" t="e">
        <f>'III. WaTT Main'!#REF!</f>
        <v>#REF!</v>
      </c>
      <c r="D569" s="16">
        <v>1</v>
      </c>
      <c r="E569" t="e">
        <f>'III. WaTT Main'!#REF!</f>
        <v>#REF!</v>
      </c>
    </row>
    <row r="570" spans="1:5">
      <c r="A570" s="3" t="e">
        <f>'III. WaTT Main'!#REF!</f>
        <v>#REF!</v>
      </c>
      <c r="B570" s="3" t="e">
        <f>'III. WaTT Main'!#REF!</f>
        <v>#REF!</v>
      </c>
      <c r="C570" s="3" t="e">
        <f>'III. WaTT Main'!#REF!</f>
        <v>#REF!</v>
      </c>
      <c r="D570" s="16">
        <v>1</v>
      </c>
      <c r="E570" t="e">
        <f>'III. WaTT Main'!#REF!</f>
        <v>#REF!</v>
      </c>
    </row>
    <row r="571" spans="1:5">
      <c r="A571" s="3" t="e">
        <f>'III. WaTT Main'!#REF!</f>
        <v>#REF!</v>
      </c>
      <c r="B571" s="3" t="e">
        <f>'III. WaTT Main'!#REF!</f>
        <v>#REF!</v>
      </c>
      <c r="C571" s="3" t="e">
        <f>'III. WaTT Main'!#REF!</f>
        <v>#REF!</v>
      </c>
      <c r="D571" s="16">
        <v>1</v>
      </c>
      <c r="E571" t="e">
        <f>'III. WaTT Main'!#REF!</f>
        <v>#REF!</v>
      </c>
    </row>
    <row r="572" spans="1:5">
      <c r="A572" s="3" t="e">
        <f>'III. WaTT Main'!#REF!</f>
        <v>#REF!</v>
      </c>
      <c r="B572" s="3" t="e">
        <f>'III. WaTT Main'!#REF!</f>
        <v>#REF!</v>
      </c>
      <c r="C572" s="3" t="e">
        <f>'III. WaTT Main'!#REF!</f>
        <v>#REF!</v>
      </c>
      <c r="D572" s="16">
        <v>1</v>
      </c>
      <c r="E572" t="e">
        <f>'III. WaTT Main'!#REF!</f>
        <v>#REF!</v>
      </c>
    </row>
    <row r="573" spans="1:5">
      <c r="A573" s="3" t="e">
        <f>'III. WaTT Main'!#REF!</f>
        <v>#REF!</v>
      </c>
      <c r="B573" s="3" t="e">
        <f>'III. WaTT Main'!#REF!</f>
        <v>#REF!</v>
      </c>
      <c r="C573" s="3" t="e">
        <f>'III. WaTT Main'!#REF!</f>
        <v>#REF!</v>
      </c>
      <c r="D573" s="16">
        <v>1</v>
      </c>
      <c r="E573" t="e">
        <f>'III. WaTT Main'!#REF!</f>
        <v>#REF!</v>
      </c>
    </row>
    <row r="574" spans="1:5">
      <c r="A574" s="3" t="e">
        <f>'III. WaTT Main'!#REF!</f>
        <v>#REF!</v>
      </c>
      <c r="B574" s="3" t="e">
        <f>'III. WaTT Main'!#REF!</f>
        <v>#REF!</v>
      </c>
      <c r="C574" s="3" t="e">
        <f>'III. WaTT Main'!#REF!</f>
        <v>#REF!</v>
      </c>
      <c r="D574" s="16">
        <v>1</v>
      </c>
      <c r="E574" t="e">
        <f>'III. WaTT Main'!#REF!</f>
        <v>#REF!</v>
      </c>
    </row>
    <row r="575" spans="1:5">
      <c r="A575" s="3" t="e">
        <f>'III. WaTT Main'!#REF!</f>
        <v>#REF!</v>
      </c>
      <c r="B575" s="3" t="e">
        <f>'III. WaTT Main'!#REF!</f>
        <v>#REF!</v>
      </c>
      <c r="C575" s="3" t="e">
        <f>'III. WaTT Main'!#REF!</f>
        <v>#REF!</v>
      </c>
      <c r="D575" s="16">
        <v>1</v>
      </c>
      <c r="E575" t="e">
        <f>'III. WaTT Main'!#REF!</f>
        <v>#REF!</v>
      </c>
    </row>
    <row r="576" spans="1:5">
      <c r="A576" s="3" t="e">
        <f>'III. WaTT Main'!#REF!</f>
        <v>#REF!</v>
      </c>
      <c r="B576" s="3" t="e">
        <f>'III. WaTT Main'!#REF!</f>
        <v>#REF!</v>
      </c>
      <c r="C576" s="3" t="e">
        <f>'III. WaTT Main'!#REF!</f>
        <v>#REF!</v>
      </c>
      <c r="D576" s="16">
        <v>1</v>
      </c>
      <c r="E576" t="e">
        <f>'III. WaTT Main'!#REF!</f>
        <v>#REF!</v>
      </c>
    </row>
    <row r="577" spans="1:5">
      <c r="A577" s="3" t="e">
        <f>'III. WaTT Main'!#REF!</f>
        <v>#REF!</v>
      </c>
      <c r="B577" s="3" t="e">
        <f>'III. WaTT Main'!#REF!</f>
        <v>#REF!</v>
      </c>
      <c r="C577" s="3" t="e">
        <f>'III. WaTT Main'!#REF!</f>
        <v>#REF!</v>
      </c>
      <c r="D577" s="16">
        <v>1</v>
      </c>
      <c r="E577" t="e">
        <f>'III. WaTT Main'!#REF!</f>
        <v>#REF!</v>
      </c>
    </row>
    <row r="578" spans="1:5">
      <c r="A578" s="3" t="e">
        <f>'III. WaTT Main'!#REF!</f>
        <v>#REF!</v>
      </c>
      <c r="B578" s="3" t="e">
        <f>'III. WaTT Main'!#REF!</f>
        <v>#REF!</v>
      </c>
      <c r="C578" s="3" t="e">
        <f>'III. WaTT Main'!#REF!</f>
        <v>#REF!</v>
      </c>
      <c r="D578" s="16">
        <v>1</v>
      </c>
      <c r="E578" t="e">
        <f>'III. WaTT Main'!#REF!</f>
        <v>#REF!</v>
      </c>
    </row>
    <row r="579" spans="1:5">
      <c r="A579" s="3" t="e">
        <f>'III. WaTT Main'!#REF!</f>
        <v>#REF!</v>
      </c>
      <c r="B579" s="3" t="e">
        <f>'III. WaTT Main'!#REF!</f>
        <v>#REF!</v>
      </c>
      <c r="C579" s="3" t="e">
        <f>'III. WaTT Main'!#REF!</f>
        <v>#REF!</v>
      </c>
      <c r="D579" s="16">
        <v>1</v>
      </c>
      <c r="E579" t="e">
        <f>'III. WaTT Main'!#REF!</f>
        <v>#REF!</v>
      </c>
    </row>
    <row r="580" spans="1:5">
      <c r="A580" s="3" t="e">
        <f>'III. WaTT Main'!#REF!</f>
        <v>#REF!</v>
      </c>
      <c r="B580" s="3" t="e">
        <f>'III. WaTT Main'!#REF!</f>
        <v>#REF!</v>
      </c>
      <c r="C580" s="3" t="e">
        <f>'III. WaTT Main'!#REF!</f>
        <v>#REF!</v>
      </c>
      <c r="D580" s="16">
        <v>1</v>
      </c>
      <c r="E580" t="e">
        <f>'III. WaTT Main'!#REF!</f>
        <v>#REF!</v>
      </c>
    </row>
    <row r="581" spans="1:5">
      <c r="A581" s="3" t="e">
        <f>'III. WaTT Main'!#REF!</f>
        <v>#REF!</v>
      </c>
      <c r="B581" s="3" t="e">
        <f>'III. WaTT Main'!#REF!</f>
        <v>#REF!</v>
      </c>
      <c r="C581" s="3" t="e">
        <f>'III. WaTT Main'!#REF!</f>
        <v>#REF!</v>
      </c>
      <c r="D581" s="16">
        <v>1</v>
      </c>
      <c r="E581" t="e">
        <f>'III. WaTT Main'!#REF!</f>
        <v>#REF!</v>
      </c>
    </row>
    <row r="582" spans="1:5">
      <c r="A582" s="3" t="e">
        <f>'III. WaTT Main'!#REF!</f>
        <v>#REF!</v>
      </c>
      <c r="B582" s="3" t="e">
        <f>'III. WaTT Main'!#REF!</f>
        <v>#REF!</v>
      </c>
      <c r="C582" s="3" t="e">
        <f>'III. WaTT Main'!#REF!</f>
        <v>#REF!</v>
      </c>
      <c r="D582" s="16">
        <v>1</v>
      </c>
      <c r="E582" t="e">
        <f>'III. WaTT Main'!#REF!</f>
        <v>#REF!</v>
      </c>
    </row>
    <row r="583" spans="1:5">
      <c r="A583" s="3" t="e">
        <f>'III. WaTT Main'!#REF!</f>
        <v>#REF!</v>
      </c>
      <c r="B583" s="3" t="e">
        <f>'III. WaTT Main'!#REF!</f>
        <v>#REF!</v>
      </c>
      <c r="C583" s="3" t="e">
        <f>'III. WaTT Main'!#REF!</f>
        <v>#REF!</v>
      </c>
      <c r="D583" s="16">
        <v>1</v>
      </c>
      <c r="E583" t="e">
        <f>'III. WaTT Main'!#REF!</f>
        <v>#REF!</v>
      </c>
    </row>
    <row r="584" spans="1:5">
      <c r="A584" s="3" t="e">
        <f>'III. WaTT Main'!#REF!</f>
        <v>#REF!</v>
      </c>
      <c r="B584" s="3" t="e">
        <f>'III. WaTT Main'!#REF!</f>
        <v>#REF!</v>
      </c>
      <c r="C584" s="3" t="e">
        <f>'III. WaTT Main'!#REF!</f>
        <v>#REF!</v>
      </c>
      <c r="D584" s="16">
        <v>1</v>
      </c>
      <c r="E584" t="e">
        <f>'III. WaTT Main'!#REF!</f>
        <v>#REF!</v>
      </c>
    </row>
    <row r="585" spans="1:5">
      <c r="A585" s="3" t="e">
        <f>'III. WaTT Main'!#REF!</f>
        <v>#REF!</v>
      </c>
      <c r="B585" s="3" t="e">
        <f>'III. WaTT Main'!#REF!</f>
        <v>#REF!</v>
      </c>
      <c r="C585" s="3" t="e">
        <f>'III. WaTT Main'!#REF!</f>
        <v>#REF!</v>
      </c>
      <c r="D585" s="16">
        <v>1</v>
      </c>
      <c r="E585" t="e">
        <f>'III. WaTT Main'!#REF!</f>
        <v>#REF!</v>
      </c>
    </row>
    <row r="586" spans="1:5">
      <c r="A586" s="3" t="e">
        <f>'III. WaTT Main'!#REF!</f>
        <v>#REF!</v>
      </c>
      <c r="B586" s="3" t="e">
        <f>'III. WaTT Main'!#REF!</f>
        <v>#REF!</v>
      </c>
      <c r="C586" s="3" t="e">
        <f>'III. WaTT Main'!#REF!</f>
        <v>#REF!</v>
      </c>
      <c r="D586" s="16">
        <v>1</v>
      </c>
      <c r="E586" t="e">
        <f>'III. WaTT Main'!#REF!</f>
        <v>#REF!</v>
      </c>
    </row>
    <row r="587" spans="1:5">
      <c r="A587" s="3" t="e">
        <f>'III. WaTT Main'!#REF!</f>
        <v>#REF!</v>
      </c>
      <c r="B587" s="3" t="e">
        <f>'III. WaTT Main'!#REF!</f>
        <v>#REF!</v>
      </c>
      <c r="C587" s="3" t="e">
        <f>'III. WaTT Main'!#REF!</f>
        <v>#REF!</v>
      </c>
      <c r="D587" s="16">
        <v>1</v>
      </c>
      <c r="E587" t="e">
        <f>'III. WaTT Main'!#REF!</f>
        <v>#REF!</v>
      </c>
    </row>
    <row r="588" spans="1:5">
      <c r="A588" s="3" t="e">
        <f>'III. WaTT Main'!#REF!</f>
        <v>#REF!</v>
      </c>
      <c r="B588" s="3" t="e">
        <f>'III. WaTT Main'!#REF!</f>
        <v>#REF!</v>
      </c>
      <c r="C588" s="3" t="e">
        <f>'III. WaTT Main'!#REF!</f>
        <v>#REF!</v>
      </c>
      <c r="D588" s="16">
        <v>1</v>
      </c>
      <c r="E588" t="e">
        <f>'III. WaTT Main'!#REF!</f>
        <v>#REF!</v>
      </c>
    </row>
    <row r="589" spans="1:5">
      <c r="A589" s="3" t="e">
        <f>'III. WaTT Main'!#REF!</f>
        <v>#REF!</v>
      </c>
      <c r="B589" s="3" t="e">
        <f>'III. WaTT Main'!#REF!</f>
        <v>#REF!</v>
      </c>
      <c r="C589" s="3" t="e">
        <f>'III. WaTT Main'!#REF!</f>
        <v>#REF!</v>
      </c>
      <c r="D589" s="16">
        <v>1</v>
      </c>
      <c r="E589" t="e">
        <f>'III. WaTT Main'!#REF!</f>
        <v>#REF!</v>
      </c>
    </row>
    <row r="590" spans="1:5">
      <c r="A590" s="3" t="e">
        <f>'III. WaTT Main'!#REF!</f>
        <v>#REF!</v>
      </c>
      <c r="B590" s="3" t="e">
        <f>'III. WaTT Main'!#REF!</f>
        <v>#REF!</v>
      </c>
      <c r="C590" s="3" t="e">
        <f>'III. WaTT Main'!#REF!</f>
        <v>#REF!</v>
      </c>
      <c r="D590" s="16">
        <v>1</v>
      </c>
      <c r="E590" t="e">
        <f>'III. WaTT Main'!#REF!</f>
        <v>#REF!</v>
      </c>
    </row>
    <row r="591" spans="1:5">
      <c r="A591" s="3" t="e">
        <f>'III. WaTT Main'!#REF!</f>
        <v>#REF!</v>
      </c>
      <c r="B591" s="3" t="e">
        <f>'III. WaTT Main'!#REF!</f>
        <v>#REF!</v>
      </c>
      <c r="C591" s="3" t="e">
        <f>'III. WaTT Main'!#REF!</f>
        <v>#REF!</v>
      </c>
      <c r="D591" s="16">
        <v>1</v>
      </c>
      <c r="E591" t="e">
        <f>'III. WaTT Main'!#REF!</f>
        <v>#REF!</v>
      </c>
    </row>
    <row r="592" spans="1:5">
      <c r="A592" s="3" t="e">
        <f>'III. WaTT Main'!#REF!</f>
        <v>#REF!</v>
      </c>
      <c r="B592" s="3" t="e">
        <f>'III. WaTT Main'!#REF!</f>
        <v>#REF!</v>
      </c>
      <c r="C592" s="3" t="e">
        <f>'III. WaTT Main'!#REF!</f>
        <v>#REF!</v>
      </c>
      <c r="D592" s="16">
        <v>1</v>
      </c>
      <c r="E592" t="e">
        <f>'III. WaTT Main'!#REF!</f>
        <v>#REF!</v>
      </c>
    </row>
    <row r="593" spans="1:5">
      <c r="A593" s="3" t="e">
        <f>'III. WaTT Main'!#REF!</f>
        <v>#REF!</v>
      </c>
      <c r="B593" s="3" t="e">
        <f>'III. WaTT Main'!#REF!</f>
        <v>#REF!</v>
      </c>
      <c r="C593" s="3" t="e">
        <f>'III. WaTT Main'!#REF!</f>
        <v>#REF!</v>
      </c>
      <c r="D593" s="16">
        <v>1</v>
      </c>
      <c r="E593" t="e">
        <f>'III. WaTT Main'!#REF!</f>
        <v>#REF!</v>
      </c>
    </row>
    <row r="594" spans="1:5">
      <c r="A594" s="3" t="e">
        <f>'III. WaTT Main'!#REF!</f>
        <v>#REF!</v>
      </c>
      <c r="B594" s="3" t="e">
        <f>'III. WaTT Main'!#REF!</f>
        <v>#REF!</v>
      </c>
      <c r="C594" s="3" t="e">
        <f>'III. WaTT Main'!#REF!</f>
        <v>#REF!</v>
      </c>
      <c r="D594" s="16">
        <v>1</v>
      </c>
      <c r="E594" t="e">
        <f>'III. WaTT Main'!#REF!</f>
        <v>#REF!</v>
      </c>
    </row>
    <row r="595" spans="1:5">
      <c r="A595" s="3" t="e">
        <f>'III. WaTT Main'!#REF!</f>
        <v>#REF!</v>
      </c>
      <c r="B595" s="3" t="e">
        <f>'III. WaTT Main'!#REF!</f>
        <v>#REF!</v>
      </c>
      <c r="C595" s="3" t="e">
        <f>'III. WaTT Main'!#REF!</f>
        <v>#REF!</v>
      </c>
      <c r="D595" s="16">
        <v>1</v>
      </c>
      <c r="E595" t="e">
        <f>'III. WaTT Main'!#REF!</f>
        <v>#REF!</v>
      </c>
    </row>
    <row r="596" spans="1:5">
      <c r="A596" s="3" t="e">
        <f>'III. WaTT Main'!#REF!</f>
        <v>#REF!</v>
      </c>
      <c r="B596" s="3" t="e">
        <f>'III. WaTT Main'!#REF!</f>
        <v>#REF!</v>
      </c>
      <c r="C596" s="3" t="e">
        <f>'III. WaTT Main'!#REF!</f>
        <v>#REF!</v>
      </c>
      <c r="D596" s="16">
        <v>1</v>
      </c>
      <c r="E596" t="e">
        <f>'III. WaTT Main'!#REF!</f>
        <v>#REF!</v>
      </c>
    </row>
    <row r="597" spans="1:5">
      <c r="A597" s="3" t="e">
        <f>'III. WaTT Main'!#REF!</f>
        <v>#REF!</v>
      </c>
      <c r="B597" s="3" t="e">
        <f>'III. WaTT Main'!#REF!</f>
        <v>#REF!</v>
      </c>
      <c r="C597" s="3" t="e">
        <f>'III. WaTT Main'!#REF!</f>
        <v>#REF!</v>
      </c>
      <c r="D597" s="16">
        <v>1</v>
      </c>
      <c r="E597" t="e">
        <f>'III. WaTT Main'!#REF!</f>
        <v>#REF!</v>
      </c>
    </row>
    <row r="598" spans="1:5">
      <c r="A598" s="3" t="e">
        <f>'III. WaTT Main'!#REF!</f>
        <v>#REF!</v>
      </c>
      <c r="B598" s="3" t="e">
        <f>'III. WaTT Main'!#REF!</f>
        <v>#REF!</v>
      </c>
      <c r="C598" s="3" t="e">
        <f>'III. WaTT Main'!#REF!</f>
        <v>#REF!</v>
      </c>
      <c r="D598" s="16">
        <v>1</v>
      </c>
      <c r="E598" t="e">
        <f>'III. WaTT Main'!#REF!</f>
        <v>#REF!</v>
      </c>
    </row>
    <row r="599" spans="1:5">
      <c r="A599" s="3" t="e">
        <f>'III. WaTT Main'!#REF!</f>
        <v>#REF!</v>
      </c>
      <c r="B599" s="3" t="e">
        <f>'III. WaTT Main'!#REF!</f>
        <v>#REF!</v>
      </c>
      <c r="C599" s="3" t="e">
        <f>'III. WaTT Main'!#REF!</f>
        <v>#REF!</v>
      </c>
      <c r="D599" s="16">
        <v>1</v>
      </c>
      <c r="E599" t="e">
        <f>'III. WaTT Main'!#REF!</f>
        <v>#REF!</v>
      </c>
    </row>
    <row r="600" spans="1:5">
      <c r="A600" s="3" t="e">
        <f>'III. WaTT Main'!#REF!</f>
        <v>#REF!</v>
      </c>
      <c r="B600" s="3" t="e">
        <f>'III. WaTT Main'!#REF!</f>
        <v>#REF!</v>
      </c>
      <c r="C600" s="3" t="e">
        <f>'III. WaTT Main'!#REF!</f>
        <v>#REF!</v>
      </c>
      <c r="D600" s="16">
        <v>1</v>
      </c>
      <c r="E600" t="e">
        <f>'III. WaTT Main'!#REF!</f>
        <v>#REF!</v>
      </c>
    </row>
    <row r="601" spans="1:5">
      <c r="A601" s="3" t="e">
        <f>'III. WaTT Main'!#REF!</f>
        <v>#REF!</v>
      </c>
      <c r="B601" s="3" t="e">
        <f>'III. WaTT Main'!#REF!</f>
        <v>#REF!</v>
      </c>
      <c r="C601" s="3" t="e">
        <f>'III. WaTT Main'!#REF!</f>
        <v>#REF!</v>
      </c>
      <c r="D601" s="16">
        <v>1</v>
      </c>
      <c r="E601" t="e">
        <f>'III. WaTT Main'!#REF!</f>
        <v>#REF!</v>
      </c>
    </row>
    <row r="602" spans="1:5">
      <c r="A602" s="3" t="e">
        <f>'III. WaTT Main'!#REF!</f>
        <v>#REF!</v>
      </c>
      <c r="B602" s="3" t="e">
        <f>'III. WaTT Main'!#REF!</f>
        <v>#REF!</v>
      </c>
      <c r="C602" s="3" t="e">
        <f>'III. WaTT Main'!#REF!</f>
        <v>#REF!</v>
      </c>
      <c r="D602" s="16">
        <v>1</v>
      </c>
      <c r="E602" t="e">
        <f>'III. WaTT Main'!#REF!</f>
        <v>#REF!</v>
      </c>
    </row>
    <row r="603" spans="1:5">
      <c r="A603" s="3" t="e">
        <f>'III. WaTT Main'!#REF!</f>
        <v>#REF!</v>
      </c>
      <c r="B603" s="3" t="e">
        <f>'III. WaTT Main'!#REF!</f>
        <v>#REF!</v>
      </c>
      <c r="C603" s="3" t="e">
        <f>'III. WaTT Main'!#REF!</f>
        <v>#REF!</v>
      </c>
      <c r="D603" s="16">
        <v>1</v>
      </c>
      <c r="E603" t="e">
        <f>'III. WaTT Main'!#REF!</f>
        <v>#REF!</v>
      </c>
    </row>
    <row r="604" spans="1:5">
      <c r="A604" s="3" t="e">
        <f>'III. WaTT Main'!#REF!</f>
        <v>#REF!</v>
      </c>
      <c r="B604" s="3" t="e">
        <f>'III. WaTT Main'!#REF!</f>
        <v>#REF!</v>
      </c>
      <c r="C604" s="3" t="e">
        <f>'III. WaTT Main'!#REF!</f>
        <v>#REF!</v>
      </c>
      <c r="D604" s="16">
        <v>1</v>
      </c>
      <c r="E604" t="e">
        <f>'III. WaTT Main'!#REF!</f>
        <v>#REF!</v>
      </c>
    </row>
    <row r="605" spans="1:5">
      <c r="A605" s="3" t="e">
        <f>'III. WaTT Main'!#REF!</f>
        <v>#REF!</v>
      </c>
      <c r="B605" s="3" t="e">
        <f>'III. WaTT Main'!#REF!</f>
        <v>#REF!</v>
      </c>
      <c r="C605" s="3" t="e">
        <f>'III. WaTT Main'!#REF!</f>
        <v>#REF!</v>
      </c>
      <c r="D605" s="16">
        <v>1</v>
      </c>
      <c r="E605" t="e">
        <f>'III. WaTT Main'!#REF!</f>
        <v>#REF!</v>
      </c>
    </row>
    <row r="606" spans="1:5">
      <c r="A606" s="3" t="e">
        <f>'III. WaTT Main'!#REF!</f>
        <v>#REF!</v>
      </c>
      <c r="B606" s="3" t="e">
        <f>'III. WaTT Main'!#REF!</f>
        <v>#REF!</v>
      </c>
      <c r="C606" s="3" t="e">
        <f>'III. WaTT Main'!#REF!</f>
        <v>#REF!</v>
      </c>
      <c r="D606" s="16">
        <v>1</v>
      </c>
      <c r="E606" t="e">
        <f>'III. WaTT Main'!#REF!</f>
        <v>#REF!</v>
      </c>
    </row>
    <row r="607" spans="1:5">
      <c r="A607" s="3" t="e">
        <f>'III. WaTT Main'!#REF!</f>
        <v>#REF!</v>
      </c>
      <c r="B607" s="3" t="e">
        <f>'III. WaTT Main'!#REF!</f>
        <v>#REF!</v>
      </c>
      <c r="C607" s="3" t="e">
        <f>'III. WaTT Main'!#REF!</f>
        <v>#REF!</v>
      </c>
      <c r="D607" s="16">
        <v>1</v>
      </c>
      <c r="E607" t="e">
        <f>'III. WaTT Main'!#REF!</f>
        <v>#REF!</v>
      </c>
    </row>
    <row r="608" spans="1:5">
      <c r="A608" s="3" t="e">
        <f>'III. WaTT Main'!#REF!</f>
        <v>#REF!</v>
      </c>
      <c r="B608" s="3" t="e">
        <f>'III. WaTT Main'!#REF!</f>
        <v>#REF!</v>
      </c>
      <c r="C608" s="3" t="e">
        <f>'III. WaTT Main'!#REF!</f>
        <v>#REF!</v>
      </c>
      <c r="D608" s="16">
        <v>1</v>
      </c>
      <c r="E608" t="e">
        <f>'III. WaTT Main'!#REF!</f>
        <v>#REF!</v>
      </c>
    </row>
    <row r="609" spans="1:5">
      <c r="A609" s="3" t="e">
        <f>'III. WaTT Main'!#REF!</f>
        <v>#REF!</v>
      </c>
      <c r="B609" s="3" t="e">
        <f>'III. WaTT Main'!#REF!</f>
        <v>#REF!</v>
      </c>
      <c r="C609" s="3" t="e">
        <f>'III. WaTT Main'!#REF!</f>
        <v>#REF!</v>
      </c>
      <c r="D609" s="16">
        <v>1</v>
      </c>
      <c r="E609" t="e">
        <f>'III. WaTT Main'!#REF!</f>
        <v>#REF!</v>
      </c>
    </row>
    <row r="610" spans="1:5">
      <c r="A610" s="3" t="e">
        <f>'III. WaTT Main'!#REF!</f>
        <v>#REF!</v>
      </c>
      <c r="B610" s="3" t="e">
        <f>'III. WaTT Main'!#REF!</f>
        <v>#REF!</v>
      </c>
      <c r="C610" s="3" t="e">
        <f>'III. WaTT Main'!#REF!</f>
        <v>#REF!</v>
      </c>
      <c r="D610" s="16">
        <v>1</v>
      </c>
      <c r="E610" t="e">
        <f>'III. WaTT Main'!#REF!</f>
        <v>#REF!</v>
      </c>
    </row>
    <row r="611" spans="1:5">
      <c r="A611" s="3" t="e">
        <f>'III. WaTT Main'!#REF!</f>
        <v>#REF!</v>
      </c>
      <c r="B611" s="3" t="e">
        <f>'III. WaTT Main'!#REF!</f>
        <v>#REF!</v>
      </c>
      <c r="C611" s="3" t="e">
        <f>'III. WaTT Main'!#REF!</f>
        <v>#REF!</v>
      </c>
      <c r="D611" s="16">
        <v>1</v>
      </c>
      <c r="E611" t="e">
        <f>'III. WaTT Main'!#REF!</f>
        <v>#REF!</v>
      </c>
    </row>
    <row r="612" spans="1:5">
      <c r="A612" s="3" t="e">
        <f>'III. WaTT Main'!#REF!</f>
        <v>#REF!</v>
      </c>
      <c r="B612" s="3" t="e">
        <f>'III. WaTT Main'!#REF!</f>
        <v>#REF!</v>
      </c>
      <c r="C612" s="3" t="e">
        <f>'III. WaTT Main'!#REF!</f>
        <v>#REF!</v>
      </c>
      <c r="D612" s="16">
        <v>1</v>
      </c>
      <c r="E612" t="e">
        <f>'III. WaTT Main'!#REF!</f>
        <v>#REF!</v>
      </c>
    </row>
    <row r="613" spans="1:5">
      <c r="A613" s="3" t="e">
        <f>'III. WaTT Main'!#REF!</f>
        <v>#REF!</v>
      </c>
      <c r="B613" s="3" t="e">
        <f>'III. WaTT Main'!#REF!</f>
        <v>#REF!</v>
      </c>
      <c r="C613" s="3" t="e">
        <f>'III. WaTT Main'!#REF!</f>
        <v>#REF!</v>
      </c>
      <c r="D613" s="16">
        <v>1</v>
      </c>
      <c r="E613" t="e">
        <f>'III. WaTT Main'!#REF!</f>
        <v>#REF!</v>
      </c>
    </row>
    <row r="614" spans="1:5">
      <c r="A614" s="3" t="e">
        <f>'III. WaTT Main'!#REF!</f>
        <v>#REF!</v>
      </c>
      <c r="B614" s="3" t="e">
        <f>'III. WaTT Main'!#REF!</f>
        <v>#REF!</v>
      </c>
      <c r="C614" s="3" t="e">
        <f>'III. WaTT Main'!#REF!</f>
        <v>#REF!</v>
      </c>
      <c r="D614" s="16">
        <v>1</v>
      </c>
      <c r="E614" t="e">
        <f>'III. WaTT Main'!#REF!</f>
        <v>#REF!</v>
      </c>
    </row>
    <row r="615" spans="1:5">
      <c r="A615" s="3" t="e">
        <f>'III. WaTT Main'!#REF!</f>
        <v>#REF!</v>
      </c>
      <c r="B615" s="3" t="e">
        <f>'III. WaTT Main'!#REF!</f>
        <v>#REF!</v>
      </c>
      <c r="C615" s="3" t="e">
        <f>'III. WaTT Main'!#REF!</f>
        <v>#REF!</v>
      </c>
      <c r="D615" s="16">
        <v>1</v>
      </c>
      <c r="E615" t="e">
        <f>'III. WaTT Main'!#REF!</f>
        <v>#REF!</v>
      </c>
    </row>
    <row r="616" spans="1:5">
      <c r="A616" s="3" t="e">
        <f>'III. WaTT Main'!#REF!</f>
        <v>#REF!</v>
      </c>
      <c r="B616" s="3" t="e">
        <f>'III. WaTT Main'!#REF!</f>
        <v>#REF!</v>
      </c>
      <c r="C616" s="3" t="e">
        <f>'III. WaTT Main'!#REF!</f>
        <v>#REF!</v>
      </c>
      <c r="D616" s="16">
        <v>1</v>
      </c>
      <c r="E616" t="e">
        <f>'III. WaTT Main'!#REF!</f>
        <v>#REF!</v>
      </c>
    </row>
    <row r="617" spans="1:5">
      <c r="A617" s="3" t="e">
        <f>'III. WaTT Main'!#REF!</f>
        <v>#REF!</v>
      </c>
      <c r="B617" s="3" t="e">
        <f>'III. WaTT Main'!#REF!</f>
        <v>#REF!</v>
      </c>
      <c r="C617" s="3" t="e">
        <f>'III. WaTT Main'!#REF!</f>
        <v>#REF!</v>
      </c>
      <c r="D617" s="16">
        <v>1</v>
      </c>
      <c r="E617" t="e">
        <f>'III. WaTT Main'!#REF!</f>
        <v>#REF!</v>
      </c>
    </row>
    <row r="618" spans="1:5">
      <c r="A618" s="3" t="e">
        <f>'III. WaTT Main'!#REF!</f>
        <v>#REF!</v>
      </c>
      <c r="B618" s="3" t="e">
        <f>'III. WaTT Main'!#REF!</f>
        <v>#REF!</v>
      </c>
      <c r="C618" s="3" t="e">
        <f>'III. WaTT Main'!#REF!</f>
        <v>#REF!</v>
      </c>
      <c r="D618" s="16">
        <v>1</v>
      </c>
      <c r="E618" t="e">
        <f>'III. WaTT Main'!#REF!</f>
        <v>#REF!</v>
      </c>
    </row>
    <row r="619" spans="1:5">
      <c r="A619" s="3" t="e">
        <f>'III. WaTT Main'!#REF!</f>
        <v>#REF!</v>
      </c>
      <c r="B619" s="3" t="e">
        <f>'III. WaTT Main'!#REF!</f>
        <v>#REF!</v>
      </c>
      <c r="C619" s="3" t="e">
        <f>'III. WaTT Main'!#REF!</f>
        <v>#REF!</v>
      </c>
      <c r="D619" s="16">
        <v>1</v>
      </c>
      <c r="E619" t="e">
        <f>'III. WaTT Main'!#REF!</f>
        <v>#REF!</v>
      </c>
    </row>
    <row r="620" spans="1:5">
      <c r="A620" s="3" t="e">
        <f>'III. WaTT Main'!#REF!</f>
        <v>#REF!</v>
      </c>
      <c r="B620" s="3" t="e">
        <f>'III. WaTT Main'!#REF!</f>
        <v>#REF!</v>
      </c>
      <c r="C620" s="3" t="e">
        <f>'III. WaTT Main'!#REF!</f>
        <v>#REF!</v>
      </c>
      <c r="D620" s="16">
        <v>1</v>
      </c>
      <c r="E620" t="e">
        <f>'III. WaTT Main'!#REF!</f>
        <v>#REF!</v>
      </c>
    </row>
    <row r="621" spans="1:5">
      <c r="A621" s="3" t="e">
        <f>'III. WaTT Main'!#REF!</f>
        <v>#REF!</v>
      </c>
      <c r="B621" s="3" t="e">
        <f>'III. WaTT Main'!#REF!</f>
        <v>#REF!</v>
      </c>
      <c r="C621" s="3" t="e">
        <f>'III. WaTT Main'!#REF!</f>
        <v>#REF!</v>
      </c>
      <c r="D621" s="16">
        <v>1</v>
      </c>
      <c r="E621" t="e">
        <f>'III. WaTT Main'!#REF!</f>
        <v>#REF!</v>
      </c>
    </row>
    <row r="622" spans="1:5">
      <c r="A622" s="3" t="e">
        <f>'III. WaTT Main'!#REF!</f>
        <v>#REF!</v>
      </c>
      <c r="B622" s="3" t="e">
        <f>'III. WaTT Main'!#REF!</f>
        <v>#REF!</v>
      </c>
      <c r="C622" s="3" t="e">
        <f>'III. WaTT Main'!#REF!</f>
        <v>#REF!</v>
      </c>
      <c r="D622" s="16">
        <v>1</v>
      </c>
      <c r="E622" t="e">
        <f>'III. WaTT Main'!#REF!</f>
        <v>#REF!</v>
      </c>
    </row>
    <row r="623" spans="1:5">
      <c r="A623" s="3" t="e">
        <f>'III. WaTT Main'!#REF!</f>
        <v>#REF!</v>
      </c>
      <c r="B623" s="3" t="e">
        <f>'III. WaTT Main'!#REF!</f>
        <v>#REF!</v>
      </c>
      <c r="C623" s="3" t="e">
        <f>'III. WaTT Main'!#REF!</f>
        <v>#REF!</v>
      </c>
      <c r="D623" s="16">
        <v>1</v>
      </c>
      <c r="E623" t="e">
        <f>'III. WaTT Main'!#REF!</f>
        <v>#REF!</v>
      </c>
    </row>
    <row r="624" spans="1:5">
      <c r="A624" s="3" t="e">
        <f>'III. WaTT Main'!#REF!</f>
        <v>#REF!</v>
      </c>
      <c r="B624" s="3" t="e">
        <f>'III. WaTT Main'!#REF!</f>
        <v>#REF!</v>
      </c>
      <c r="C624" s="3" t="e">
        <f>'III. WaTT Main'!#REF!</f>
        <v>#REF!</v>
      </c>
      <c r="D624" s="16">
        <v>1</v>
      </c>
      <c r="E624" t="e">
        <f>'III. WaTT Main'!#REF!</f>
        <v>#REF!</v>
      </c>
    </row>
    <row r="625" spans="1:5">
      <c r="A625" s="3" t="e">
        <f>'III. WaTT Main'!#REF!</f>
        <v>#REF!</v>
      </c>
      <c r="B625" s="3" t="e">
        <f>'III. WaTT Main'!#REF!</f>
        <v>#REF!</v>
      </c>
      <c r="C625" s="3" t="e">
        <f>'III. WaTT Main'!#REF!</f>
        <v>#REF!</v>
      </c>
      <c r="D625" s="16">
        <v>1</v>
      </c>
      <c r="E625" t="e">
        <f>'III. WaTT Main'!#REF!</f>
        <v>#REF!</v>
      </c>
    </row>
    <row r="626" spans="1:5">
      <c r="A626" s="3" t="e">
        <f>'III. WaTT Main'!#REF!</f>
        <v>#REF!</v>
      </c>
      <c r="B626" s="3" t="e">
        <f>'III. WaTT Main'!#REF!</f>
        <v>#REF!</v>
      </c>
      <c r="C626" s="3" t="e">
        <f>'III. WaTT Main'!#REF!</f>
        <v>#REF!</v>
      </c>
      <c r="D626" s="16">
        <v>1</v>
      </c>
      <c r="E626" t="e">
        <f>'III. WaTT Main'!#REF!</f>
        <v>#REF!</v>
      </c>
    </row>
    <row r="627" spans="1:5">
      <c r="A627" s="3" t="e">
        <f>'III. WaTT Main'!#REF!</f>
        <v>#REF!</v>
      </c>
      <c r="B627" s="3" t="e">
        <f>'III. WaTT Main'!#REF!</f>
        <v>#REF!</v>
      </c>
      <c r="C627" s="3" t="e">
        <f>'III. WaTT Main'!#REF!</f>
        <v>#REF!</v>
      </c>
      <c r="D627" s="16">
        <v>1</v>
      </c>
      <c r="E627" t="e">
        <f>'III. WaTT Main'!#REF!</f>
        <v>#REF!</v>
      </c>
    </row>
    <row r="628" spans="1:5">
      <c r="A628" s="3" t="e">
        <f>'III. WaTT Main'!#REF!</f>
        <v>#REF!</v>
      </c>
      <c r="B628" s="3" t="e">
        <f>'III. WaTT Main'!#REF!</f>
        <v>#REF!</v>
      </c>
      <c r="C628" s="3" t="e">
        <f>'III. WaTT Main'!#REF!</f>
        <v>#REF!</v>
      </c>
      <c r="D628" s="16">
        <v>1</v>
      </c>
      <c r="E628" t="e">
        <f>'III. WaTT Main'!#REF!</f>
        <v>#REF!</v>
      </c>
    </row>
    <row r="629" spans="1:5">
      <c r="A629" s="3" t="e">
        <f>'III. WaTT Main'!#REF!</f>
        <v>#REF!</v>
      </c>
      <c r="B629" s="3" t="e">
        <f>'III. WaTT Main'!#REF!</f>
        <v>#REF!</v>
      </c>
      <c r="C629" s="3" t="e">
        <f>'III. WaTT Main'!#REF!</f>
        <v>#REF!</v>
      </c>
      <c r="D629" s="16">
        <v>1</v>
      </c>
      <c r="E629" t="e">
        <f>'III. WaTT Main'!#REF!</f>
        <v>#REF!</v>
      </c>
    </row>
    <row r="630" spans="1:5">
      <c r="A630" s="3" t="e">
        <f>'III. WaTT Main'!#REF!</f>
        <v>#REF!</v>
      </c>
      <c r="B630" s="3" t="e">
        <f>'III. WaTT Main'!#REF!</f>
        <v>#REF!</v>
      </c>
      <c r="C630" s="3" t="e">
        <f>'III. WaTT Main'!#REF!</f>
        <v>#REF!</v>
      </c>
      <c r="D630" s="16">
        <v>1</v>
      </c>
      <c r="E630" t="e">
        <f>'III. WaTT Main'!#REF!</f>
        <v>#REF!</v>
      </c>
    </row>
    <row r="631" spans="1:5">
      <c r="A631" s="3" t="e">
        <f>'III. WaTT Main'!#REF!</f>
        <v>#REF!</v>
      </c>
      <c r="B631" s="3" t="e">
        <f>'III. WaTT Main'!#REF!</f>
        <v>#REF!</v>
      </c>
      <c r="C631" s="3" t="e">
        <f>'III. WaTT Main'!#REF!</f>
        <v>#REF!</v>
      </c>
      <c r="D631" s="16">
        <v>1</v>
      </c>
      <c r="E631" t="e">
        <f>'III. WaTT Main'!#REF!</f>
        <v>#REF!</v>
      </c>
    </row>
    <row r="632" spans="1:5">
      <c r="A632" s="3" t="e">
        <f>'III. WaTT Main'!#REF!</f>
        <v>#REF!</v>
      </c>
      <c r="B632" s="3" t="e">
        <f>'III. WaTT Main'!#REF!</f>
        <v>#REF!</v>
      </c>
      <c r="C632" s="3" t="e">
        <f>'III. WaTT Main'!#REF!</f>
        <v>#REF!</v>
      </c>
      <c r="D632" s="16">
        <v>1</v>
      </c>
      <c r="E632" t="e">
        <f>'III. WaTT Main'!#REF!</f>
        <v>#REF!</v>
      </c>
    </row>
    <row r="633" spans="1:5">
      <c r="A633" s="3" t="e">
        <f>'III. WaTT Main'!#REF!</f>
        <v>#REF!</v>
      </c>
      <c r="B633" s="3" t="e">
        <f>'III. WaTT Main'!#REF!</f>
        <v>#REF!</v>
      </c>
      <c r="C633" s="3" t="e">
        <f>'III. WaTT Main'!#REF!</f>
        <v>#REF!</v>
      </c>
      <c r="D633" s="16">
        <v>1</v>
      </c>
      <c r="E633" t="e">
        <f>'III. WaTT Main'!#REF!</f>
        <v>#REF!</v>
      </c>
    </row>
    <row r="634" spans="1:5">
      <c r="A634" s="3" t="e">
        <f>'III. WaTT Main'!#REF!</f>
        <v>#REF!</v>
      </c>
      <c r="B634" s="3" t="e">
        <f>'III. WaTT Main'!#REF!</f>
        <v>#REF!</v>
      </c>
      <c r="C634" s="3" t="e">
        <f>'III. WaTT Main'!#REF!</f>
        <v>#REF!</v>
      </c>
      <c r="D634" s="16">
        <v>1</v>
      </c>
      <c r="E634" t="e">
        <f>'III. WaTT Main'!#REF!</f>
        <v>#REF!</v>
      </c>
    </row>
    <row r="635" spans="1:5">
      <c r="A635" s="3" t="e">
        <f>'III. WaTT Main'!#REF!</f>
        <v>#REF!</v>
      </c>
      <c r="B635" s="3" t="e">
        <f>'III. WaTT Main'!#REF!</f>
        <v>#REF!</v>
      </c>
      <c r="C635" s="3" t="e">
        <f>'III. WaTT Main'!#REF!</f>
        <v>#REF!</v>
      </c>
      <c r="D635" s="16">
        <v>1</v>
      </c>
      <c r="E635" t="e">
        <f>'III. WaTT Main'!#REF!</f>
        <v>#REF!</v>
      </c>
    </row>
    <row r="636" spans="1:5">
      <c r="A636" s="3" t="e">
        <f>'III. WaTT Main'!#REF!</f>
        <v>#REF!</v>
      </c>
      <c r="B636" s="3" t="e">
        <f>'III. WaTT Main'!#REF!</f>
        <v>#REF!</v>
      </c>
      <c r="C636" s="3" t="e">
        <f>'III. WaTT Main'!#REF!</f>
        <v>#REF!</v>
      </c>
      <c r="D636" s="16">
        <v>1</v>
      </c>
      <c r="E636" t="e">
        <f>'III. WaTT Main'!#REF!</f>
        <v>#REF!</v>
      </c>
    </row>
    <row r="637" spans="1:5">
      <c r="A637" s="3" t="e">
        <f>'III. WaTT Main'!#REF!</f>
        <v>#REF!</v>
      </c>
      <c r="B637" s="3" t="e">
        <f>'III. WaTT Main'!#REF!</f>
        <v>#REF!</v>
      </c>
      <c r="C637" s="3" t="e">
        <f>'III. WaTT Main'!#REF!</f>
        <v>#REF!</v>
      </c>
      <c r="D637" s="16">
        <v>1</v>
      </c>
      <c r="E637" t="e">
        <f>'III. WaTT Main'!#REF!</f>
        <v>#REF!</v>
      </c>
    </row>
    <row r="638" spans="1:5">
      <c r="A638" s="3" t="e">
        <f>'III. WaTT Main'!#REF!</f>
        <v>#REF!</v>
      </c>
      <c r="B638" s="3" t="e">
        <f>'III. WaTT Main'!#REF!</f>
        <v>#REF!</v>
      </c>
      <c r="C638" s="3" t="e">
        <f>'III. WaTT Main'!#REF!</f>
        <v>#REF!</v>
      </c>
      <c r="D638" s="16">
        <v>1</v>
      </c>
      <c r="E638" t="e">
        <f>'III. WaTT Main'!#REF!</f>
        <v>#REF!</v>
      </c>
    </row>
    <row r="639" spans="1:5">
      <c r="A639" s="3" t="e">
        <f>'III. WaTT Main'!#REF!</f>
        <v>#REF!</v>
      </c>
      <c r="B639" s="3" t="e">
        <f>'III. WaTT Main'!#REF!</f>
        <v>#REF!</v>
      </c>
      <c r="C639" s="3" t="e">
        <f>'III. WaTT Main'!#REF!</f>
        <v>#REF!</v>
      </c>
      <c r="D639" s="16">
        <v>1</v>
      </c>
      <c r="E639" t="e">
        <f>'III. WaTT Main'!#REF!</f>
        <v>#REF!</v>
      </c>
    </row>
    <row r="640" spans="1:5">
      <c r="A640" s="3" t="e">
        <f>'III. WaTT Main'!#REF!</f>
        <v>#REF!</v>
      </c>
      <c r="B640" s="3" t="e">
        <f>'III. WaTT Main'!#REF!</f>
        <v>#REF!</v>
      </c>
      <c r="C640" s="3" t="e">
        <f>'III. WaTT Main'!#REF!</f>
        <v>#REF!</v>
      </c>
      <c r="D640" s="16">
        <v>1</v>
      </c>
      <c r="E640" t="e">
        <f>'III. WaTT Main'!#REF!</f>
        <v>#REF!</v>
      </c>
    </row>
    <row r="641" spans="1:5">
      <c r="A641" s="3" t="e">
        <f>'III. WaTT Main'!#REF!</f>
        <v>#REF!</v>
      </c>
      <c r="B641" s="3" t="e">
        <f>'III. WaTT Main'!#REF!</f>
        <v>#REF!</v>
      </c>
      <c r="C641" s="3" t="e">
        <f>'III. WaTT Main'!#REF!</f>
        <v>#REF!</v>
      </c>
      <c r="D641" s="16">
        <v>1</v>
      </c>
      <c r="E641" t="e">
        <f>'III. WaTT Main'!#REF!</f>
        <v>#REF!</v>
      </c>
    </row>
    <row r="642" spans="1:5">
      <c r="A642" s="3" t="e">
        <f>'III. WaTT Main'!#REF!</f>
        <v>#REF!</v>
      </c>
      <c r="B642" s="3" t="e">
        <f>'III. WaTT Main'!#REF!</f>
        <v>#REF!</v>
      </c>
      <c r="C642" s="3" t="e">
        <f>'III. WaTT Main'!#REF!</f>
        <v>#REF!</v>
      </c>
      <c r="D642" s="16">
        <v>1</v>
      </c>
      <c r="E642" t="e">
        <f>'III. WaTT Main'!#REF!</f>
        <v>#REF!</v>
      </c>
    </row>
    <row r="643" spans="1:5">
      <c r="A643" s="3" t="e">
        <f>'III. WaTT Main'!#REF!</f>
        <v>#REF!</v>
      </c>
      <c r="B643" s="3" t="e">
        <f>'III. WaTT Main'!#REF!</f>
        <v>#REF!</v>
      </c>
      <c r="C643" s="3" t="e">
        <f>'III. WaTT Main'!#REF!</f>
        <v>#REF!</v>
      </c>
      <c r="D643" s="16">
        <v>1</v>
      </c>
      <c r="E643" t="e">
        <f>'III. WaTT Main'!#REF!</f>
        <v>#REF!</v>
      </c>
    </row>
    <row r="644" spans="1:5">
      <c r="A644" s="3" t="e">
        <f>'III. WaTT Main'!#REF!</f>
        <v>#REF!</v>
      </c>
      <c r="B644" s="3" t="e">
        <f>'III. WaTT Main'!#REF!</f>
        <v>#REF!</v>
      </c>
      <c r="C644" s="3" t="e">
        <f>'III. WaTT Main'!#REF!</f>
        <v>#REF!</v>
      </c>
      <c r="D644" s="16">
        <v>1</v>
      </c>
      <c r="E644" t="e">
        <f>'III. WaTT Main'!#REF!</f>
        <v>#REF!</v>
      </c>
    </row>
    <row r="645" spans="1:5">
      <c r="A645" s="3" t="e">
        <f>'III. WaTT Main'!#REF!</f>
        <v>#REF!</v>
      </c>
      <c r="B645" s="3" t="e">
        <f>'III. WaTT Main'!#REF!</f>
        <v>#REF!</v>
      </c>
      <c r="C645" s="3" t="e">
        <f>'III. WaTT Main'!#REF!</f>
        <v>#REF!</v>
      </c>
      <c r="D645" s="16">
        <v>1</v>
      </c>
      <c r="E645" t="e">
        <f>'III. WaTT Main'!#REF!</f>
        <v>#REF!</v>
      </c>
    </row>
    <row r="646" spans="1:5">
      <c r="A646" s="3" t="e">
        <f>'III. WaTT Main'!#REF!</f>
        <v>#REF!</v>
      </c>
      <c r="B646" s="3" t="e">
        <f>'III. WaTT Main'!#REF!</f>
        <v>#REF!</v>
      </c>
      <c r="C646" s="3" t="e">
        <f>'III. WaTT Main'!#REF!</f>
        <v>#REF!</v>
      </c>
      <c r="D646" s="16">
        <v>1</v>
      </c>
      <c r="E646" t="e">
        <f>'III. WaTT Main'!#REF!</f>
        <v>#REF!</v>
      </c>
    </row>
    <row r="647" spans="1:5">
      <c r="A647" s="3" t="e">
        <f>'III. WaTT Main'!#REF!</f>
        <v>#REF!</v>
      </c>
      <c r="B647" s="3" t="e">
        <f>'III. WaTT Main'!#REF!</f>
        <v>#REF!</v>
      </c>
      <c r="C647" s="3" t="e">
        <f>'III. WaTT Main'!#REF!</f>
        <v>#REF!</v>
      </c>
      <c r="D647" s="16">
        <v>1</v>
      </c>
      <c r="E647" t="e">
        <f>'III. WaTT Main'!#REF!</f>
        <v>#REF!</v>
      </c>
    </row>
    <row r="648" spans="1:5">
      <c r="A648" s="3" t="e">
        <f>'III. WaTT Main'!#REF!</f>
        <v>#REF!</v>
      </c>
      <c r="B648" s="3" t="e">
        <f>'III. WaTT Main'!#REF!</f>
        <v>#REF!</v>
      </c>
      <c r="C648" s="3" t="e">
        <f>'III. WaTT Main'!#REF!</f>
        <v>#REF!</v>
      </c>
      <c r="D648" s="16">
        <v>1</v>
      </c>
      <c r="E648" t="e">
        <f>'III. WaTT Main'!#REF!</f>
        <v>#REF!</v>
      </c>
    </row>
    <row r="649" spans="1:5">
      <c r="A649" s="3" t="e">
        <f>'III. WaTT Main'!#REF!</f>
        <v>#REF!</v>
      </c>
      <c r="B649" s="3" t="e">
        <f>'III. WaTT Main'!#REF!</f>
        <v>#REF!</v>
      </c>
      <c r="C649" s="3" t="e">
        <f>'III. WaTT Main'!#REF!</f>
        <v>#REF!</v>
      </c>
      <c r="D649" s="16">
        <v>1</v>
      </c>
      <c r="E649" t="e">
        <f>'III. WaTT Main'!#REF!</f>
        <v>#REF!</v>
      </c>
    </row>
    <row r="650" spans="1:5">
      <c r="A650" s="3" t="e">
        <f>'III. WaTT Main'!#REF!</f>
        <v>#REF!</v>
      </c>
      <c r="B650" s="3" t="e">
        <f>'III. WaTT Main'!#REF!</f>
        <v>#REF!</v>
      </c>
      <c r="C650" s="3" t="e">
        <f>'III. WaTT Main'!#REF!</f>
        <v>#REF!</v>
      </c>
      <c r="D650" s="16">
        <v>1</v>
      </c>
      <c r="E650" t="e">
        <f>'III. WaTT Main'!#REF!</f>
        <v>#REF!</v>
      </c>
    </row>
    <row r="651" spans="1:5">
      <c r="A651" s="3" t="e">
        <f>'III. WaTT Main'!#REF!</f>
        <v>#REF!</v>
      </c>
      <c r="B651" s="3" t="e">
        <f>'III. WaTT Main'!#REF!</f>
        <v>#REF!</v>
      </c>
      <c r="C651" s="3" t="e">
        <f>'III. WaTT Main'!#REF!</f>
        <v>#REF!</v>
      </c>
      <c r="D651" s="16">
        <v>1</v>
      </c>
      <c r="E651" t="e">
        <f>'III. WaTT Main'!#REF!</f>
        <v>#REF!</v>
      </c>
    </row>
    <row r="652" spans="1:5">
      <c r="A652" s="3" t="e">
        <f>'III. WaTT Main'!#REF!</f>
        <v>#REF!</v>
      </c>
      <c r="B652" s="3" t="e">
        <f>'III. WaTT Main'!#REF!</f>
        <v>#REF!</v>
      </c>
      <c r="C652" s="3" t="e">
        <f>'III. WaTT Main'!#REF!</f>
        <v>#REF!</v>
      </c>
      <c r="D652" s="16">
        <v>1</v>
      </c>
      <c r="E652" t="e">
        <f>'III. WaTT Main'!#REF!</f>
        <v>#REF!</v>
      </c>
    </row>
    <row r="653" spans="1:5">
      <c r="A653" s="3" t="e">
        <f>'III. WaTT Main'!#REF!</f>
        <v>#REF!</v>
      </c>
      <c r="B653" s="3" t="e">
        <f>'III. WaTT Main'!#REF!</f>
        <v>#REF!</v>
      </c>
      <c r="C653" s="3" t="e">
        <f>'III. WaTT Main'!#REF!</f>
        <v>#REF!</v>
      </c>
      <c r="D653" s="16">
        <v>1</v>
      </c>
      <c r="E653" t="e">
        <f>'III. WaTT Main'!#REF!</f>
        <v>#REF!</v>
      </c>
    </row>
    <row r="654" spans="1:5">
      <c r="A654" s="3" t="e">
        <f>'III. WaTT Main'!#REF!</f>
        <v>#REF!</v>
      </c>
      <c r="B654" s="3" t="e">
        <f>'III. WaTT Main'!#REF!</f>
        <v>#REF!</v>
      </c>
      <c r="C654" s="3" t="e">
        <f>'III. WaTT Main'!#REF!</f>
        <v>#REF!</v>
      </c>
      <c r="D654" s="16">
        <v>1</v>
      </c>
      <c r="E654" t="e">
        <f>'III. WaTT Main'!#REF!</f>
        <v>#REF!</v>
      </c>
    </row>
    <row r="655" spans="1:5">
      <c r="A655" s="3" t="e">
        <f>'III. WaTT Main'!#REF!</f>
        <v>#REF!</v>
      </c>
      <c r="B655" s="3" t="e">
        <f>'III. WaTT Main'!#REF!</f>
        <v>#REF!</v>
      </c>
      <c r="C655" s="3" t="e">
        <f>'III. WaTT Main'!#REF!</f>
        <v>#REF!</v>
      </c>
      <c r="D655" s="16">
        <v>1</v>
      </c>
      <c r="E655" t="e">
        <f>'III. WaTT Main'!#REF!</f>
        <v>#REF!</v>
      </c>
    </row>
    <row r="656" spans="1:5">
      <c r="A656" s="3" t="e">
        <f>'III. WaTT Main'!#REF!</f>
        <v>#REF!</v>
      </c>
      <c r="B656" s="3" t="e">
        <f>'III. WaTT Main'!#REF!</f>
        <v>#REF!</v>
      </c>
      <c r="C656" s="3" t="e">
        <f>'III. WaTT Main'!#REF!</f>
        <v>#REF!</v>
      </c>
      <c r="D656" s="16">
        <v>1</v>
      </c>
      <c r="E656" t="e">
        <f>'III. WaTT Main'!#REF!</f>
        <v>#REF!</v>
      </c>
    </row>
    <row r="657" spans="1:5">
      <c r="A657" s="3" t="e">
        <f>'III. WaTT Main'!#REF!</f>
        <v>#REF!</v>
      </c>
      <c r="B657" s="3" t="e">
        <f>'III. WaTT Main'!#REF!</f>
        <v>#REF!</v>
      </c>
      <c r="C657" s="3" t="e">
        <f>'III. WaTT Main'!#REF!</f>
        <v>#REF!</v>
      </c>
      <c r="D657" s="16">
        <v>1</v>
      </c>
      <c r="E657" t="e">
        <f>'III. WaTT Main'!#REF!</f>
        <v>#REF!</v>
      </c>
    </row>
    <row r="658" spans="1:5">
      <c r="A658" s="3" t="e">
        <f>'III. WaTT Main'!#REF!</f>
        <v>#REF!</v>
      </c>
      <c r="B658" s="3" t="e">
        <f>'III. WaTT Main'!#REF!</f>
        <v>#REF!</v>
      </c>
      <c r="C658" s="3" t="e">
        <f>'III. WaTT Main'!#REF!</f>
        <v>#REF!</v>
      </c>
      <c r="D658" s="16">
        <v>1</v>
      </c>
      <c r="E658" t="e">
        <f>'III. WaTT Main'!#REF!</f>
        <v>#REF!</v>
      </c>
    </row>
    <row r="659" spans="1:5">
      <c r="A659" s="3" t="e">
        <f>'III. WaTT Main'!#REF!</f>
        <v>#REF!</v>
      </c>
      <c r="B659" s="3" t="e">
        <f>'III. WaTT Main'!#REF!</f>
        <v>#REF!</v>
      </c>
      <c r="C659" s="3" t="e">
        <f>'III. WaTT Main'!#REF!</f>
        <v>#REF!</v>
      </c>
      <c r="D659" s="16">
        <v>1</v>
      </c>
      <c r="E659" t="e">
        <f>'III. WaTT Main'!#REF!</f>
        <v>#REF!</v>
      </c>
    </row>
    <row r="660" spans="1:5">
      <c r="A660" s="3" t="e">
        <f>'III. WaTT Main'!#REF!</f>
        <v>#REF!</v>
      </c>
      <c r="B660" s="3" t="e">
        <f>'III. WaTT Main'!#REF!</f>
        <v>#REF!</v>
      </c>
      <c r="C660" s="3" t="e">
        <f>'III. WaTT Main'!#REF!</f>
        <v>#REF!</v>
      </c>
      <c r="D660" s="16">
        <v>1</v>
      </c>
      <c r="E660" t="e">
        <f>'III. WaTT Main'!#REF!</f>
        <v>#REF!</v>
      </c>
    </row>
    <row r="661" spans="1:5">
      <c r="A661" s="3" t="e">
        <f>'III. WaTT Main'!#REF!</f>
        <v>#REF!</v>
      </c>
      <c r="B661" s="3" t="e">
        <f>'III. WaTT Main'!#REF!</f>
        <v>#REF!</v>
      </c>
      <c r="C661" s="3" t="e">
        <f>'III. WaTT Main'!#REF!</f>
        <v>#REF!</v>
      </c>
      <c r="D661" s="16">
        <v>1</v>
      </c>
      <c r="E661" t="e">
        <f>'III. WaTT Main'!#REF!</f>
        <v>#REF!</v>
      </c>
    </row>
    <row r="662" spans="1:5">
      <c r="A662" s="3" t="e">
        <f>'III. WaTT Main'!#REF!</f>
        <v>#REF!</v>
      </c>
      <c r="B662" s="3" t="e">
        <f>'III. WaTT Main'!#REF!</f>
        <v>#REF!</v>
      </c>
      <c r="C662" s="3" t="e">
        <f>'III. WaTT Main'!#REF!</f>
        <v>#REF!</v>
      </c>
      <c r="D662" s="16">
        <v>1</v>
      </c>
      <c r="E662" t="e">
        <f>'III. WaTT Main'!#REF!</f>
        <v>#REF!</v>
      </c>
    </row>
    <row r="663" spans="1:5">
      <c r="A663" s="3" t="e">
        <f>'III. WaTT Main'!#REF!</f>
        <v>#REF!</v>
      </c>
      <c r="B663" s="3" t="e">
        <f>'III. WaTT Main'!#REF!</f>
        <v>#REF!</v>
      </c>
      <c r="C663" s="3" t="e">
        <f>'III. WaTT Main'!#REF!</f>
        <v>#REF!</v>
      </c>
      <c r="D663" s="16">
        <v>1</v>
      </c>
      <c r="E663" t="e">
        <f>'III. WaTT Main'!#REF!</f>
        <v>#REF!</v>
      </c>
    </row>
    <row r="664" spans="1:5">
      <c r="A664" s="3" t="e">
        <f>'III. WaTT Main'!#REF!</f>
        <v>#REF!</v>
      </c>
      <c r="B664" s="3" t="e">
        <f>'III. WaTT Main'!#REF!</f>
        <v>#REF!</v>
      </c>
      <c r="C664" s="3" t="e">
        <f>'III. WaTT Main'!#REF!</f>
        <v>#REF!</v>
      </c>
      <c r="D664" s="16">
        <v>1</v>
      </c>
      <c r="E664" t="e">
        <f>'III. WaTT Main'!#REF!</f>
        <v>#REF!</v>
      </c>
    </row>
    <row r="665" spans="1:5">
      <c r="A665" s="3" t="e">
        <f>'III. WaTT Main'!#REF!</f>
        <v>#REF!</v>
      </c>
      <c r="B665" s="3" t="e">
        <f>'III. WaTT Main'!#REF!</f>
        <v>#REF!</v>
      </c>
      <c r="C665" s="3" t="e">
        <f>'III. WaTT Main'!#REF!</f>
        <v>#REF!</v>
      </c>
      <c r="D665" s="16">
        <v>1</v>
      </c>
      <c r="E665" t="e">
        <f>'III. WaTT Main'!#REF!</f>
        <v>#REF!</v>
      </c>
    </row>
    <row r="666" spans="1:5">
      <c r="A666" s="3" t="e">
        <f>'III. WaTT Main'!#REF!</f>
        <v>#REF!</v>
      </c>
      <c r="B666" s="3" t="e">
        <f>'III. WaTT Main'!#REF!</f>
        <v>#REF!</v>
      </c>
      <c r="C666" s="3" t="e">
        <f>'III. WaTT Main'!#REF!</f>
        <v>#REF!</v>
      </c>
      <c r="D666" s="16">
        <v>1</v>
      </c>
      <c r="E666" t="e">
        <f>'III. WaTT Main'!#REF!</f>
        <v>#REF!</v>
      </c>
    </row>
    <row r="667" spans="1:5">
      <c r="A667" s="3" t="e">
        <f>'III. WaTT Main'!#REF!</f>
        <v>#REF!</v>
      </c>
      <c r="B667" s="3" t="e">
        <f>'III. WaTT Main'!#REF!</f>
        <v>#REF!</v>
      </c>
      <c r="C667" s="3" t="e">
        <f>'III. WaTT Main'!#REF!</f>
        <v>#REF!</v>
      </c>
      <c r="D667" s="16">
        <v>1</v>
      </c>
      <c r="E667" t="e">
        <f>'III. WaTT Main'!#REF!</f>
        <v>#REF!</v>
      </c>
    </row>
    <row r="668" spans="1:5">
      <c r="A668" s="3" t="e">
        <f>'III. WaTT Main'!#REF!</f>
        <v>#REF!</v>
      </c>
      <c r="B668" s="3" t="e">
        <f>'III. WaTT Main'!#REF!</f>
        <v>#REF!</v>
      </c>
      <c r="C668" s="3" t="e">
        <f>'III. WaTT Main'!#REF!</f>
        <v>#REF!</v>
      </c>
      <c r="D668" s="16">
        <v>1</v>
      </c>
      <c r="E668" t="e">
        <f>'III. WaTT Main'!#REF!</f>
        <v>#REF!</v>
      </c>
    </row>
    <row r="669" spans="1:5">
      <c r="A669" s="3" t="e">
        <f>'III. WaTT Main'!#REF!</f>
        <v>#REF!</v>
      </c>
      <c r="B669" s="3" t="e">
        <f>'III. WaTT Main'!#REF!</f>
        <v>#REF!</v>
      </c>
      <c r="C669" s="3" t="e">
        <f>'III. WaTT Main'!#REF!</f>
        <v>#REF!</v>
      </c>
      <c r="D669" s="16">
        <v>1</v>
      </c>
      <c r="E669" t="e">
        <f>'III. WaTT Main'!#REF!</f>
        <v>#REF!</v>
      </c>
    </row>
    <row r="670" spans="1:5">
      <c r="A670" s="3" t="e">
        <f>'III. WaTT Main'!#REF!</f>
        <v>#REF!</v>
      </c>
      <c r="B670" s="3" t="e">
        <f>'III. WaTT Main'!#REF!</f>
        <v>#REF!</v>
      </c>
      <c r="C670" s="3" t="e">
        <f>'III. WaTT Main'!#REF!</f>
        <v>#REF!</v>
      </c>
      <c r="D670" s="16">
        <v>1</v>
      </c>
      <c r="E670" t="e">
        <f>'III. WaTT Main'!#REF!</f>
        <v>#REF!</v>
      </c>
    </row>
    <row r="671" spans="1:5">
      <c r="A671" s="3" t="e">
        <f>'III. WaTT Main'!#REF!</f>
        <v>#REF!</v>
      </c>
      <c r="B671" s="3" t="e">
        <f>'III. WaTT Main'!#REF!</f>
        <v>#REF!</v>
      </c>
      <c r="C671" s="3" t="e">
        <f>'III. WaTT Main'!#REF!</f>
        <v>#REF!</v>
      </c>
      <c r="D671" s="16">
        <v>1</v>
      </c>
      <c r="E671" t="e">
        <f>'III. WaTT Main'!#REF!</f>
        <v>#REF!</v>
      </c>
    </row>
    <row r="672" spans="1:5">
      <c r="A672" s="3" t="e">
        <f>'III. WaTT Main'!#REF!</f>
        <v>#REF!</v>
      </c>
      <c r="B672" s="3" t="e">
        <f>'III. WaTT Main'!#REF!</f>
        <v>#REF!</v>
      </c>
      <c r="C672" s="3" t="e">
        <f>'III. WaTT Main'!#REF!</f>
        <v>#REF!</v>
      </c>
      <c r="D672" s="16">
        <v>1</v>
      </c>
      <c r="E672" t="e">
        <f>'III. WaTT Main'!#REF!</f>
        <v>#REF!</v>
      </c>
    </row>
    <row r="673" spans="1:5">
      <c r="A673" s="3" t="e">
        <f>'III. WaTT Main'!#REF!</f>
        <v>#REF!</v>
      </c>
      <c r="B673" s="3" t="e">
        <f>'III. WaTT Main'!#REF!</f>
        <v>#REF!</v>
      </c>
      <c r="C673" s="3" t="e">
        <f>'III. WaTT Main'!#REF!</f>
        <v>#REF!</v>
      </c>
      <c r="D673" s="16">
        <v>1</v>
      </c>
      <c r="E673" t="e">
        <f>'III. WaTT Main'!#REF!</f>
        <v>#REF!</v>
      </c>
    </row>
    <row r="674" spans="1:5">
      <c r="A674" s="3" t="e">
        <f>'III. WaTT Main'!#REF!</f>
        <v>#REF!</v>
      </c>
      <c r="B674" s="3" t="e">
        <f>'III. WaTT Main'!#REF!</f>
        <v>#REF!</v>
      </c>
      <c r="C674" s="3" t="e">
        <f>'III. WaTT Main'!#REF!</f>
        <v>#REF!</v>
      </c>
      <c r="D674" s="16">
        <v>1</v>
      </c>
      <c r="E674" t="e">
        <f>'III. WaTT Main'!#REF!</f>
        <v>#REF!</v>
      </c>
    </row>
    <row r="675" spans="1:5">
      <c r="A675" s="3" t="e">
        <f>'III. WaTT Main'!#REF!</f>
        <v>#REF!</v>
      </c>
      <c r="B675" s="3" t="e">
        <f>'III. WaTT Main'!#REF!</f>
        <v>#REF!</v>
      </c>
      <c r="C675" s="3" t="e">
        <f>'III. WaTT Main'!#REF!</f>
        <v>#REF!</v>
      </c>
      <c r="D675" s="16">
        <v>1</v>
      </c>
      <c r="E675" t="e">
        <f>'III. WaTT Main'!#REF!</f>
        <v>#REF!</v>
      </c>
    </row>
    <row r="676" spans="1:5">
      <c r="A676" s="3" t="e">
        <f>'III. WaTT Main'!#REF!</f>
        <v>#REF!</v>
      </c>
      <c r="B676" s="3" t="e">
        <f>'III. WaTT Main'!#REF!</f>
        <v>#REF!</v>
      </c>
      <c r="C676" s="3" t="e">
        <f>'III. WaTT Main'!#REF!</f>
        <v>#REF!</v>
      </c>
      <c r="D676" s="16">
        <v>1</v>
      </c>
      <c r="E676" t="e">
        <f>'III. WaTT Main'!#REF!</f>
        <v>#REF!</v>
      </c>
    </row>
    <row r="677" spans="1:5">
      <c r="A677" s="3" t="e">
        <f>'III. WaTT Main'!#REF!</f>
        <v>#REF!</v>
      </c>
      <c r="B677" s="3" t="e">
        <f>'III. WaTT Main'!#REF!</f>
        <v>#REF!</v>
      </c>
      <c r="C677" s="3" t="e">
        <f>'III. WaTT Main'!#REF!</f>
        <v>#REF!</v>
      </c>
      <c r="D677" s="16">
        <v>1</v>
      </c>
      <c r="E677" t="e">
        <f>'III. WaTT Main'!#REF!</f>
        <v>#REF!</v>
      </c>
    </row>
    <row r="678" spans="1:5">
      <c r="A678" s="3" t="e">
        <f>'III. WaTT Main'!#REF!</f>
        <v>#REF!</v>
      </c>
      <c r="B678" s="3" t="e">
        <f>'III. WaTT Main'!#REF!</f>
        <v>#REF!</v>
      </c>
      <c r="C678" s="3" t="e">
        <f>'III. WaTT Main'!#REF!</f>
        <v>#REF!</v>
      </c>
      <c r="D678" s="16">
        <v>1</v>
      </c>
      <c r="E678" t="e">
        <f>'III. WaTT Main'!#REF!</f>
        <v>#REF!</v>
      </c>
    </row>
    <row r="679" spans="1:5">
      <c r="A679" s="3" t="e">
        <f>'III. WaTT Main'!#REF!</f>
        <v>#REF!</v>
      </c>
      <c r="B679" s="3" t="e">
        <f>'III. WaTT Main'!#REF!</f>
        <v>#REF!</v>
      </c>
      <c r="C679" s="3" t="e">
        <f>'III. WaTT Main'!#REF!</f>
        <v>#REF!</v>
      </c>
      <c r="D679" s="16">
        <v>1</v>
      </c>
      <c r="E679" t="e">
        <f>'III. WaTT Main'!#REF!</f>
        <v>#REF!</v>
      </c>
    </row>
    <row r="680" spans="1:5">
      <c r="A680" s="3" t="e">
        <f>'III. WaTT Main'!#REF!</f>
        <v>#REF!</v>
      </c>
      <c r="B680" s="3" t="e">
        <f>'III. WaTT Main'!#REF!</f>
        <v>#REF!</v>
      </c>
      <c r="C680" s="3" t="e">
        <f>'III. WaTT Main'!#REF!</f>
        <v>#REF!</v>
      </c>
      <c r="D680" s="16">
        <v>1</v>
      </c>
      <c r="E680" t="e">
        <f>'III. WaTT Main'!#REF!</f>
        <v>#REF!</v>
      </c>
    </row>
    <row r="681" spans="1:5">
      <c r="A681" s="3" t="e">
        <f>'III. WaTT Main'!#REF!</f>
        <v>#REF!</v>
      </c>
      <c r="B681" s="3" t="e">
        <f>'III. WaTT Main'!#REF!</f>
        <v>#REF!</v>
      </c>
      <c r="C681" s="3" t="e">
        <f>'III. WaTT Main'!#REF!</f>
        <v>#REF!</v>
      </c>
      <c r="D681" s="16">
        <v>1</v>
      </c>
      <c r="E681" t="e">
        <f>'III. WaTT Main'!#REF!</f>
        <v>#REF!</v>
      </c>
    </row>
    <row r="682" spans="1:5">
      <c r="A682" s="3" t="e">
        <f>'III. WaTT Main'!#REF!</f>
        <v>#REF!</v>
      </c>
      <c r="B682" s="3" t="e">
        <f>'III. WaTT Main'!#REF!</f>
        <v>#REF!</v>
      </c>
      <c r="C682" s="3" t="e">
        <f>'III. WaTT Main'!#REF!</f>
        <v>#REF!</v>
      </c>
      <c r="D682" s="16">
        <v>1</v>
      </c>
      <c r="E682" t="e">
        <f>'III. WaTT Main'!#REF!</f>
        <v>#REF!</v>
      </c>
    </row>
    <row r="683" spans="1:5">
      <c r="A683" s="3" t="e">
        <f>'III. WaTT Main'!#REF!</f>
        <v>#REF!</v>
      </c>
      <c r="B683" s="3" t="e">
        <f>'III. WaTT Main'!#REF!</f>
        <v>#REF!</v>
      </c>
      <c r="C683" s="3" t="e">
        <f>'III. WaTT Main'!#REF!</f>
        <v>#REF!</v>
      </c>
      <c r="D683" s="16">
        <v>1</v>
      </c>
      <c r="E683" t="e">
        <f>'III. WaTT Main'!#REF!</f>
        <v>#REF!</v>
      </c>
    </row>
    <row r="684" spans="1:5">
      <c r="A684" s="3" t="e">
        <f>'III. WaTT Main'!#REF!</f>
        <v>#REF!</v>
      </c>
      <c r="B684" s="3" t="e">
        <f>'III. WaTT Main'!#REF!</f>
        <v>#REF!</v>
      </c>
      <c r="C684" s="3" t="e">
        <f>'III. WaTT Main'!#REF!</f>
        <v>#REF!</v>
      </c>
      <c r="D684" s="16">
        <v>1</v>
      </c>
      <c r="E684" t="e">
        <f>'III. WaTT Main'!#REF!</f>
        <v>#REF!</v>
      </c>
    </row>
    <row r="685" spans="1:5">
      <c r="A685" s="3" t="e">
        <f>'III. WaTT Main'!#REF!</f>
        <v>#REF!</v>
      </c>
      <c r="B685" s="3" t="e">
        <f>'III. WaTT Main'!#REF!</f>
        <v>#REF!</v>
      </c>
      <c r="C685" s="3" t="e">
        <f>'III. WaTT Main'!#REF!</f>
        <v>#REF!</v>
      </c>
      <c r="D685" s="16">
        <v>1</v>
      </c>
      <c r="E685" t="e">
        <f>'III. WaTT Main'!#REF!</f>
        <v>#REF!</v>
      </c>
    </row>
    <row r="686" spans="1:5">
      <c r="A686" s="3" t="e">
        <f>'III. WaTT Main'!#REF!</f>
        <v>#REF!</v>
      </c>
      <c r="B686" s="3" t="e">
        <f>'III. WaTT Main'!#REF!</f>
        <v>#REF!</v>
      </c>
      <c r="C686" s="3" t="e">
        <f>'III. WaTT Main'!#REF!</f>
        <v>#REF!</v>
      </c>
      <c r="D686" s="16">
        <v>1</v>
      </c>
      <c r="E686" t="e">
        <f>'III. WaTT Main'!#REF!</f>
        <v>#REF!</v>
      </c>
    </row>
    <row r="687" spans="1:5">
      <c r="A687" s="3" t="e">
        <f>'III. WaTT Main'!#REF!</f>
        <v>#REF!</v>
      </c>
      <c r="B687" s="3" t="e">
        <f>'III. WaTT Main'!#REF!</f>
        <v>#REF!</v>
      </c>
      <c r="C687" s="3" t="e">
        <f>'III. WaTT Main'!#REF!</f>
        <v>#REF!</v>
      </c>
      <c r="D687" s="16">
        <v>1</v>
      </c>
      <c r="E687" t="e">
        <f>'III. WaTT Main'!#REF!</f>
        <v>#REF!</v>
      </c>
    </row>
    <row r="688" spans="1:5">
      <c r="A688" s="3" t="e">
        <f>'III. WaTT Main'!#REF!</f>
        <v>#REF!</v>
      </c>
      <c r="B688" s="3" t="e">
        <f>'III. WaTT Main'!#REF!</f>
        <v>#REF!</v>
      </c>
      <c r="C688" s="3" t="e">
        <f>'III. WaTT Main'!#REF!</f>
        <v>#REF!</v>
      </c>
      <c r="D688" s="16">
        <v>1</v>
      </c>
      <c r="E688" t="e">
        <f>'III. WaTT Main'!#REF!</f>
        <v>#REF!</v>
      </c>
    </row>
    <row r="689" spans="1:5">
      <c r="A689" s="3" t="e">
        <f>'III. WaTT Main'!#REF!</f>
        <v>#REF!</v>
      </c>
      <c r="B689" s="3" t="e">
        <f>'III. WaTT Main'!#REF!</f>
        <v>#REF!</v>
      </c>
      <c r="C689" s="3" t="e">
        <f>'III. WaTT Main'!#REF!</f>
        <v>#REF!</v>
      </c>
      <c r="D689" s="16">
        <v>1</v>
      </c>
      <c r="E689" t="e">
        <f>'III. WaTT Main'!#REF!</f>
        <v>#REF!</v>
      </c>
    </row>
    <row r="690" spans="1:5">
      <c r="A690" s="3" t="e">
        <f>'III. WaTT Main'!#REF!</f>
        <v>#REF!</v>
      </c>
      <c r="B690" s="3" t="e">
        <f>'III. WaTT Main'!#REF!</f>
        <v>#REF!</v>
      </c>
      <c r="C690" s="3" t="e">
        <f>'III. WaTT Main'!#REF!</f>
        <v>#REF!</v>
      </c>
      <c r="D690" s="16">
        <v>1</v>
      </c>
      <c r="E690" t="e">
        <f>'III. WaTT Main'!#REF!</f>
        <v>#REF!</v>
      </c>
    </row>
    <row r="691" spans="1:5">
      <c r="A691" s="3" t="e">
        <f>'III. WaTT Main'!#REF!</f>
        <v>#REF!</v>
      </c>
      <c r="B691" s="3" t="e">
        <f>'III. WaTT Main'!#REF!</f>
        <v>#REF!</v>
      </c>
      <c r="C691" s="3" t="e">
        <f>'III. WaTT Main'!#REF!</f>
        <v>#REF!</v>
      </c>
      <c r="D691" s="16">
        <v>1</v>
      </c>
      <c r="E691" t="e">
        <f>'III. WaTT Main'!#REF!</f>
        <v>#REF!</v>
      </c>
    </row>
    <row r="692" spans="1:5">
      <c r="A692" s="3" t="e">
        <f>'III. WaTT Main'!#REF!</f>
        <v>#REF!</v>
      </c>
      <c r="B692" s="3" t="e">
        <f>'III. WaTT Main'!#REF!</f>
        <v>#REF!</v>
      </c>
      <c r="C692" s="3" t="e">
        <f>'III. WaTT Main'!#REF!</f>
        <v>#REF!</v>
      </c>
      <c r="D692" s="16">
        <v>1</v>
      </c>
      <c r="E692" t="e">
        <f>'III. WaTT Main'!#REF!</f>
        <v>#REF!</v>
      </c>
    </row>
    <row r="693" spans="1:5">
      <c r="A693" s="3" t="e">
        <f>'III. WaTT Main'!#REF!</f>
        <v>#REF!</v>
      </c>
      <c r="B693" s="3" t="e">
        <f>'III. WaTT Main'!#REF!</f>
        <v>#REF!</v>
      </c>
      <c r="C693" s="3" t="e">
        <f>'III. WaTT Main'!#REF!</f>
        <v>#REF!</v>
      </c>
      <c r="D693" s="16">
        <v>1</v>
      </c>
      <c r="E693" t="e">
        <f>'III. WaTT Main'!#REF!</f>
        <v>#REF!</v>
      </c>
    </row>
    <row r="694" spans="1:5">
      <c r="A694" s="3" t="e">
        <f>'III. WaTT Main'!#REF!</f>
        <v>#REF!</v>
      </c>
      <c r="B694" s="3" t="e">
        <f>'III. WaTT Main'!#REF!</f>
        <v>#REF!</v>
      </c>
      <c r="C694" s="3" t="e">
        <f>'III. WaTT Main'!#REF!</f>
        <v>#REF!</v>
      </c>
      <c r="D694" s="16">
        <v>1</v>
      </c>
      <c r="E694" t="e">
        <f>'III. WaTT Main'!#REF!</f>
        <v>#REF!</v>
      </c>
    </row>
    <row r="695" spans="1:5">
      <c r="A695" s="3" t="e">
        <f>'III. WaTT Main'!#REF!</f>
        <v>#REF!</v>
      </c>
      <c r="B695" s="3" t="e">
        <f>'III. WaTT Main'!#REF!</f>
        <v>#REF!</v>
      </c>
      <c r="C695" s="3" t="e">
        <f>'III. WaTT Main'!#REF!</f>
        <v>#REF!</v>
      </c>
      <c r="D695" s="16">
        <v>1</v>
      </c>
      <c r="E695" t="e">
        <f>'III. WaTT Main'!#REF!</f>
        <v>#REF!</v>
      </c>
    </row>
    <row r="696" spans="1:5">
      <c r="A696" s="3" t="e">
        <f>'III. WaTT Main'!#REF!</f>
        <v>#REF!</v>
      </c>
      <c r="B696" s="3" t="e">
        <f>'III. WaTT Main'!#REF!</f>
        <v>#REF!</v>
      </c>
      <c r="C696" s="3" t="e">
        <f>'III. WaTT Main'!#REF!</f>
        <v>#REF!</v>
      </c>
      <c r="D696" s="16">
        <v>1</v>
      </c>
      <c r="E696" t="e">
        <f>'III. WaTT Main'!#REF!</f>
        <v>#REF!</v>
      </c>
    </row>
    <row r="697" spans="1:5">
      <c r="A697" s="3" t="e">
        <f>'III. WaTT Main'!#REF!</f>
        <v>#REF!</v>
      </c>
      <c r="B697" s="3" t="e">
        <f>'III. WaTT Main'!#REF!</f>
        <v>#REF!</v>
      </c>
      <c r="C697" s="3" t="e">
        <f>'III. WaTT Main'!#REF!</f>
        <v>#REF!</v>
      </c>
      <c r="D697" s="16">
        <v>1</v>
      </c>
      <c r="E697" t="e">
        <f>'III. WaTT Main'!#REF!</f>
        <v>#REF!</v>
      </c>
    </row>
    <row r="698" spans="1:5">
      <c r="A698" s="3" t="e">
        <f>'III. WaTT Main'!#REF!</f>
        <v>#REF!</v>
      </c>
      <c r="B698" s="3" t="e">
        <f>'III. WaTT Main'!#REF!</f>
        <v>#REF!</v>
      </c>
      <c r="C698" s="3" t="e">
        <f>'III. WaTT Main'!#REF!</f>
        <v>#REF!</v>
      </c>
      <c r="D698" s="16">
        <v>1</v>
      </c>
      <c r="E698" t="e">
        <f>'III. WaTT Main'!#REF!</f>
        <v>#REF!</v>
      </c>
    </row>
    <row r="699" spans="1:5">
      <c r="A699" s="3" t="e">
        <f>'III. WaTT Main'!#REF!</f>
        <v>#REF!</v>
      </c>
      <c r="B699" s="3" t="e">
        <f>'III. WaTT Main'!#REF!</f>
        <v>#REF!</v>
      </c>
      <c r="C699" s="3" t="e">
        <f>'III. WaTT Main'!#REF!</f>
        <v>#REF!</v>
      </c>
      <c r="D699" s="16">
        <v>1</v>
      </c>
      <c r="E699" t="e">
        <f>'III. WaTT Main'!#REF!</f>
        <v>#REF!</v>
      </c>
    </row>
    <row r="700" spans="1:5">
      <c r="A700" s="3" t="e">
        <f>'III. WaTT Main'!#REF!</f>
        <v>#REF!</v>
      </c>
      <c r="B700" s="3" t="e">
        <f>'III. WaTT Main'!#REF!</f>
        <v>#REF!</v>
      </c>
      <c r="C700" s="3" t="e">
        <f>'III. WaTT Main'!#REF!</f>
        <v>#REF!</v>
      </c>
      <c r="D700" s="16">
        <v>1</v>
      </c>
      <c r="E700" t="e">
        <f>'III. WaTT Main'!#REF!</f>
        <v>#REF!</v>
      </c>
    </row>
    <row r="701" spans="1:5">
      <c r="A701" s="3" t="e">
        <f>'III. WaTT Main'!#REF!</f>
        <v>#REF!</v>
      </c>
      <c r="B701" s="3" t="e">
        <f>'III. WaTT Main'!#REF!</f>
        <v>#REF!</v>
      </c>
      <c r="C701" s="3" t="e">
        <f>'III. WaTT Main'!#REF!</f>
        <v>#REF!</v>
      </c>
      <c r="D701" s="16">
        <v>1</v>
      </c>
      <c r="E701" t="e">
        <f>'III. WaTT Main'!#REF!</f>
        <v>#REF!</v>
      </c>
    </row>
    <row r="702" spans="1:5">
      <c r="A702" s="3" t="e">
        <f>'III. WaTT Main'!#REF!</f>
        <v>#REF!</v>
      </c>
      <c r="B702" s="3" t="e">
        <f>'III. WaTT Main'!#REF!</f>
        <v>#REF!</v>
      </c>
      <c r="C702" s="3" t="e">
        <f>'III. WaTT Main'!#REF!</f>
        <v>#REF!</v>
      </c>
      <c r="D702" s="16">
        <v>1</v>
      </c>
      <c r="E702" t="e">
        <f>'III. WaTT Main'!#REF!</f>
        <v>#REF!</v>
      </c>
    </row>
    <row r="703" spans="1:5">
      <c r="A703" s="3" t="e">
        <f>'III. WaTT Main'!#REF!</f>
        <v>#REF!</v>
      </c>
      <c r="B703" s="3" t="e">
        <f>'III. WaTT Main'!#REF!</f>
        <v>#REF!</v>
      </c>
      <c r="C703" s="3" t="e">
        <f>'III. WaTT Main'!#REF!</f>
        <v>#REF!</v>
      </c>
      <c r="D703" s="16">
        <v>1</v>
      </c>
      <c r="E703" t="e">
        <f>'III. WaTT Main'!#REF!</f>
        <v>#REF!</v>
      </c>
    </row>
    <row r="704" spans="1:5">
      <c r="A704" s="3" t="e">
        <f>'III. WaTT Main'!#REF!</f>
        <v>#REF!</v>
      </c>
      <c r="B704" s="3" t="e">
        <f>'III. WaTT Main'!#REF!</f>
        <v>#REF!</v>
      </c>
      <c r="C704" s="3" t="e">
        <f>'III. WaTT Main'!#REF!</f>
        <v>#REF!</v>
      </c>
      <c r="D704" s="16">
        <v>1</v>
      </c>
      <c r="E704" t="e">
        <f>'III. WaTT Main'!#REF!</f>
        <v>#REF!</v>
      </c>
    </row>
    <row r="705" spans="1:5">
      <c r="A705" s="3" t="e">
        <f>'III. WaTT Main'!#REF!</f>
        <v>#REF!</v>
      </c>
      <c r="B705" s="3" t="e">
        <f>'III. WaTT Main'!#REF!</f>
        <v>#REF!</v>
      </c>
      <c r="C705" s="3" t="e">
        <f>'III. WaTT Main'!#REF!</f>
        <v>#REF!</v>
      </c>
      <c r="D705" s="16">
        <v>1</v>
      </c>
      <c r="E705" t="e">
        <f>'III. WaTT Main'!#REF!</f>
        <v>#REF!</v>
      </c>
    </row>
    <row r="706" spans="1:5">
      <c r="A706" s="3" t="e">
        <f>'III. WaTT Main'!#REF!</f>
        <v>#REF!</v>
      </c>
      <c r="B706" s="3" t="e">
        <f>'III. WaTT Main'!#REF!</f>
        <v>#REF!</v>
      </c>
      <c r="C706" s="3" t="e">
        <f>'III. WaTT Main'!#REF!</f>
        <v>#REF!</v>
      </c>
      <c r="D706" s="16">
        <v>1</v>
      </c>
      <c r="E706" t="e">
        <f>'III. WaTT Main'!#REF!</f>
        <v>#REF!</v>
      </c>
    </row>
    <row r="707" spans="1:5">
      <c r="A707" s="3" t="e">
        <f>'III. WaTT Main'!#REF!</f>
        <v>#REF!</v>
      </c>
      <c r="B707" s="3" t="e">
        <f>'III. WaTT Main'!#REF!</f>
        <v>#REF!</v>
      </c>
      <c r="C707" s="3" t="e">
        <f>'III. WaTT Main'!#REF!</f>
        <v>#REF!</v>
      </c>
      <c r="D707" s="16">
        <v>1</v>
      </c>
      <c r="E707" t="e">
        <f>'III. WaTT Main'!#REF!</f>
        <v>#REF!</v>
      </c>
    </row>
    <row r="708" spans="1:5">
      <c r="A708" s="3" t="e">
        <f>'III. WaTT Main'!#REF!</f>
        <v>#REF!</v>
      </c>
      <c r="B708" s="3" t="e">
        <f>'III. WaTT Main'!#REF!</f>
        <v>#REF!</v>
      </c>
      <c r="C708" s="3" t="e">
        <f>'III. WaTT Main'!#REF!</f>
        <v>#REF!</v>
      </c>
      <c r="D708" s="16">
        <v>1</v>
      </c>
      <c r="E708" t="e">
        <f>'III. WaTT Main'!#REF!</f>
        <v>#REF!</v>
      </c>
    </row>
    <row r="709" spans="1:5">
      <c r="A709" s="3" t="e">
        <f>'III. WaTT Main'!#REF!</f>
        <v>#REF!</v>
      </c>
      <c r="B709" s="3" t="e">
        <f>'III. WaTT Main'!#REF!</f>
        <v>#REF!</v>
      </c>
      <c r="C709" s="3" t="e">
        <f>'III. WaTT Main'!#REF!</f>
        <v>#REF!</v>
      </c>
      <c r="D709" s="16">
        <v>1</v>
      </c>
      <c r="E709" t="e">
        <f>'III. WaTT Main'!#REF!</f>
        <v>#REF!</v>
      </c>
    </row>
    <row r="710" spans="1:5">
      <c r="A710" s="3" t="e">
        <f>'III. WaTT Main'!#REF!</f>
        <v>#REF!</v>
      </c>
      <c r="B710" s="3" t="e">
        <f>'III. WaTT Main'!#REF!</f>
        <v>#REF!</v>
      </c>
      <c r="C710" s="3" t="e">
        <f>'III. WaTT Main'!#REF!</f>
        <v>#REF!</v>
      </c>
      <c r="D710" s="16">
        <v>1</v>
      </c>
      <c r="E710" t="e">
        <f>'III. WaTT Main'!#REF!</f>
        <v>#REF!</v>
      </c>
    </row>
    <row r="711" spans="1:5">
      <c r="A711" s="3" t="e">
        <f>'III. WaTT Main'!#REF!</f>
        <v>#REF!</v>
      </c>
      <c r="B711" s="3" t="e">
        <f>'III. WaTT Main'!#REF!</f>
        <v>#REF!</v>
      </c>
      <c r="C711" s="3" t="e">
        <f>'III. WaTT Main'!#REF!</f>
        <v>#REF!</v>
      </c>
      <c r="D711" s="16">
        <v>1</v>
      </c>
      <c r="E711" t="e">
        <f>'III. WaTT Main'!#REF!</f>
        <v>#REF!</v>
      </c>
    </row>
    <row r="712" spans="1:5">
      <c r="A712" s="3" t="e">
        <f>'III. WaTT Main'!#REF!</f>
        <v>#REF!</v>
      </c>
      <c r="B712" s="3" t="e">
        <f>'III. WaTT Main'!#REF!</f>
        <v>#REF!</v>
      </c>
      <c r="C712" s="3" t="e">
        <f>'III. WaTT Main'!#REF!</f>
        <v>#REF!</v>
      </c>
      <c r="D712" s="16">
        <v>1</v>
      </c>
      <c r="E712" t="e">
        <f>'III. WaTT Main'!#REF!</f>
        <v>#REF!</v>
      </c>
    </row>
    <row r="713" spans="1:5">
      <c r="A713" s="3" t="e">
        <f>'III. WaTT Main'!#REF!</f>
        <v>#REF!</v>
      </c>
      <c r="B713" s="3" t="e">
        <f>'III. WaTT Main'!#REF!</f>
        <v>#REF!</v>
      </c>
      <c r="C713" s="3" t="e">
        <f>'III. WaTT Main'!#REF!</f>
        <v>#REF!</v>
      </c>
      <c r="D713" s="16">
        <v>1</v>
      </c>
      <c r="E713" t="e">
        <f>'III. WaTT Main'!#REF!</f>
        <v>#REF!</v>
      </c>
    </row>
    <row r="714" spans="1:5">
      <c r="A714" s="3" t="e">
        <f>'III. WaTT Main'!#REF!</f>
        <v>#REF!</v>
      </c>
      <c r="B714" s="3" t="e">
        <f>'III. WaTT Main'!#REF!</f>
        <v>#REF!</v>
      </c>
      <c r="C714" s="3" t="e">
        <f>'III. WaTT Main'!#REF!</f>
        <v>#REF!</v>
      </c>
      <c r="D714" s="16">
        <v>1</v>
      </c>
      <c r="E714" t="e">
        <f>'III. WaTT Main'!#REF!</f>
        <v>#REF!</v>
      </c>
    </row>
    <row r="715" spans="1:5">
      <c r="A715" s="3" t="e">
        <f>'III. WaTT Main'!#REF!</f>
        <v>#REF!</v>
      </c>
      <c r="B715" s="3" t="e">
        <f>'III. WaTT Main'!#REF!</f>
        <v>#REF!</v>
      </c>
      <c r="C715" s="3" t="e">
        <f>'III. WaTT Main'!#REF!</f>
        <v>#REF!</v>
      </c>
      <c r="D715" s="16">
        <v>1</v>
      </c>
      <c r="E715" t="e">
        <f>'III. WaTT Main'!#REF!</f>
        <v>#REF!</v>
      </c>
    </row>
    <row r="716" spans="1:5">
      <c r="A716" s="3" t="e">
        <f>'III. WaTT Main'!#REF!</f>
        <v>#REF!</v>
      </c>
      <c r="B716" s="3" t="e">
        <f>'III. WaTT Main'!#REF!</f>
        <v>#REF!</v>
      </c>
      <c r="C716" s="3" t="e">
        <f>'III. WaTT Main'!#REF!</f>
        <v>#REF!</v>
      </c>
      <c r="D716" s="16">
        <v>1</v>
      </c>
      <c r="E716" t="e">
        <f>'III. WaTT Main'!#REF!</f>
        <v>#REF!</v>
      </c>
    </row>
    <row r="717" spans="1:5">
      <c r="A717" s="3" t="e">
        <f>'III. WaTT Main'!#REF!</f>
        <v>#REF!</v>
      </c>
      <c r="B717" s="3" t="e">
        <f>'III. WaTT Main'!#REF!</f>
        <v>#REF!</v>
      </c>
      <c r="C717" s="3" t="e">
        <f>'III. WaTT Main'!#REF!</f>
        <v>#REF!</v>
      </c>
      <c r="D717" s="16">
        <v>1</v>
      </c>
      <c r="E717" t="e">
        <f>'III. WaTT Main'!#REF!</f>
        <v>#REF!</v>
      </c>
    </row>
    <row r="718" spans="1:5">
      <c r="A718" s="3" t="e">
        <f>'III. WaTT Main'!#REF!</f>
        <v>#REF!</v>
      </c>
      <c r="B718" s="3" t="e">
        <f>'III. WaTT Main'!#REF!</f>
        <v>#REF!</v>
      </c>
      <c r="C718" s="3" t="e">
        <f>'III. WaTT Main'!#REF!</f>
        <v>#REF!</v>
      </c>
      <c r="D718" s="16">
        <v>1</v>
      </c>
      <c r="E718" t="e">
        <f>'III. WaTT Main'!#REF!</f>
        <v>#REF!</v>
      </c>
    </row>
    <row r="719" spans="1:5">
      <c r="A719" s="3" t="e">
        <f>'III. WaTT Main'!#REF!</f>
        <v>#REF!</v>
      </c>
      <c r="B719" s="3" t="e">
        <f>'III. WaTT Main'!#REF!</f>
        <v>#REF!</v>
      </c>
      <c r="C719" s="3" t="e">
        <f>'III. WaTT Main'!#REF!</f>
        <v>#REF!</v>
      </c>
      <c r="D719" s="16">
        <v>1</v>
      </c>
      <c r="E719" t="e">
        <f>'III. WaTT Main'!#REF!</f>
        <v>#REF!</v>
      </c>
    </row>
    <row r="720" spans="1:5">
      <c r="A720" s="3" t="e">
        <f>'III. WaTT Main'!#REF!</f>
        <v>#REF!</v>
      </c>
      <c r="B720" s="3" t="e">
        <f>'III. WaTT Main'!#REF!</f>
        <v>#REF!</v>
      </c>
      <c r="C720" s="3" t="e">
        <f>'III. WaTT Main'!#REF!</f>
        <v>#REF!</v>
      </c>
      <c r="D720" s="16">
        <v>1</v>
      </c>
      <c r="E720" t="e">
        <f>'III. WaTT Main'!#REF!</f>
        <v>#REF!</v>
      </c>
    </row>
    <row r="721" spans="1:5">
      <c r="A721" s="3" t="e">
        <f>'III. WaTT Main'!#REF!</f>
        <v>#REF!</v>
      </c>
      <c r="B721" s="3" t="e">
        <f>'III. WaTT Main'!#REF!</f>
        <v>#REF!</v>
      </c>
      <c r="C721" s="3" t="e">
        <f>'III. WaTT Main'!#REF!</f>
        <v>#REF!</v>
      </c>
      <c r="D721" s="16">
        <v>1</v>
      </c>
      <c r="E721" t="e">
        <f>'III. WaTT Main'!#REF!</f>
        <v>#REF!</v>
      </c>
    </row>
    <row r="722" spans="1:5">
      <c r="A722" s="3" t="e">
        <f>'III. WaTT Main'!#REF!</f>
        <v>#REF!</v>
      </c>
      <c r="B722" s="3" t="e">
        <f>'III. WaTT Main'!#REF!</f>
        <v>#REF!</v>
      </c>
      <c r="C722" s="3" t="e">
        <f>'III. WaTT Main'!#REF!</f>
        <v>#REF!</v>
      </c>
      <c r="D722" s="16">
        <v>1</v>
      </c>
      <c r="E722" t="e">
        <f>'III. WaTT Main'!#REF!</f>
        <v>#REF!</v>
      </c>
    </row>
    <row r="723" spans="1:5">
      <c r="A723" s="3" t="e">
        <f>'III. WaTT Main'!#REF!</f>
        <v>#REF!</v>
      </c>
      <c r="B723" s="3" t="e">
        <f>'III. WaTT Main'!#REF!</f>
        <v>#REF!</v>
      </c>
      <c r="C723" s="3" t="e">
        <f>'III. WaTT Main'!#REF!</f>
        <v>#REF!</v>
      </c>
      <c r="D723" s="16">
        <v>1</v>
      </c>
      <c r="E723" t="e">
        <f>'III. WaTT Main'!#REF!</f>
        <v>#REF!</v>
      </c>
    </row>
    <row r="724" spans="1:5">
      <c r="A724" s="3" t="e">
        <f>'III. WaTT Main'!#REF!</f>
        <v>#REF!</v>
      </c>
      <c r="B724" s="3" t="e">
        <f>'III. WaTT Main'!#REF!</f>
        <v>#REF!</v>
      </c>
      <c r="C724" s="3" t="e">
        <f>'III. WaTT Main'!#REF!</f>
        <v>#REF!</v>
      </c>
      <c r="D724" s="16">
        <v>1</v>
      </c>
      <c r="E724" t="e">
        <f>'III. WaTT Main'!#REF!</f>
        <v>#REF!</v>
      </c>
    </row>
    <row r="725" spans="1:5">
      <c r="A725" s="3" t="e">
        <f>'III. WaTT Main'!#REF!</f>
        <v>#REF!</v>
      </c>
      <c r="B725" s="3" t="e">
        <f>'III. WaTT Main'!#REF!</f>
        <v>#REF!</v>
      </c>
      <c r="C725" s="3" t="e">
        <f>'III. WaTT Main'!#REF!</f>
        <v>#REF!</v>
      </c>
      <c r="D725" s="16">
        <v>1</v>
      </c>
      <c r="E725" t="e">
        <f>'III. WaTT Main'!#REF!</f>
        <v>#REF!</v>
      </c>
    </row>
    <row r="726" spans="1:5">
      <c r="A726" s="3" t="e">
        <f>'III. WaTT Main'!#REF!</f>
        <v>#REF!</v>
      </c>
      <c r="B726" s="3" t="e">
        <f>'III. WaTT Main'!#REF!</f>
        <v>#REF!</v>
      </c>
      <c r="C726" s="3" t="e">
        <f>'III. WaTT Main'!#REF!</f>
        <v>#REF!</v>
      </c>
      <c r="D726" s="16">
        <v>1</v>
      </c>
      <c r="E726" t="e">
        <f>'III. WaTT Main'!#REF!</f>
        <v>#REF!</v>
      </c>
    </row>
    <row r="727" spans="1:5">
      <c r="A727" s="3" t="e">
        <f>'III. WaTT Main'!#REF!</f>
        <v>#REF!</v>
      </c>
      <c r="B727" s="3" t="e">
        <f>'III. WaTT Main'!#REF!</f>
        <v>#REF!</v>
      </c>
      <c r="C727" s="3" t="e">
        <f>'III. WaTT Main'!#REF!</f>
        <v>#REF!</v>
      </c>
      <c r="D727" s="16">
        <v>1</v>
      </c>
      <c r="E727" t="e">
        <f>'III. WaTT Main'!#REF!</f>
        <v>#REF!</v>
      </c>
    </row>
    <row r="728" spans="1:5">
      <c r="A728" s="3" t="e">
        <f>'III. WaTT Main'!#REF!</f>
        <v>#REF!</v>
      </c>
      <c r="B728" s="3" t="e">
        <f>'III. WaTT Main'!#REF!</f>
        <v>#REF!</v>
      </c>
      <c r="C728" s="3" t="e">
        <f>'III. WaTT Main'!#REF!</f>
        <v>#REF!</v>
      </c>
      <c r="D728" s="16">
        <v>1</v>
      </c>
      <c r="E728" t="e">
        <f>'III. WaTT Main'!#REF!</f>
        <v>#REF!</v>
      </c>
    </row>
    <row r="729" spans="1:5">
      <c r="A729" s="3" t="e">
        <f>'III. WaTT Main'!#REF!</f>
        <v>#REF!</v>
      </c>
      <c r="B729" s="3" t="e">
        <f>'III. WaTT Main'!#REF!</f>
        <v>#REF!</v>
      </c>
      <c r="C729" s="3" t="e">
        <f>'III. WaTT Main'!#REF!</f>
        <v>#REF!</v>
      </c>
      <c r="D729" s="16">
        <v>1</v>
      </c>
      <c r="E729" t="e">
        <f>'III. WaTT Main'!#REF!</f>
        <v>#REF!</v>
      </c>
    </row>
    <row r="730" spans="1:5">
      <c r="A730" s="3" t="e">
        <f>'III. WaTT Main'!#REF!</f>
        <v>#REF!</v>
      </c>
      <c r="B730" s="3" t="e">
        <f>'III. WaTT Main'!#REF!</f>
        <v>#REF!</v>
      </c>
      <c r="C730" s="3" t="e">
        <f>'III. WaTT Main'!#REF!</f>
        <v>#REF!</v>
      </c>
      <c r="D730" s="16">
        <v>1</v>
      </c>
      <c r="E730" t="e">
        <f>'III. WaTT Main'!#REF!</f>
        <v>#REF!</v>
      </c>
    </row>
    <row r="731" spans="1:5">
      <c r="A731" s="3" t="e">
        <f>'III. WaTT Main'!#REF!</f>
        <v>#REF!</v>
      </c>
      <c r="B731" s="3" t="e">
        <f>'III. WaTT Main'!#REF!</f>
        <v>#REF!</v>
      </c>
      <c r="C731" s="3" t="e">
        <f>'III. WaTT Main'!#REF!</f>
        <v>#REF!</v>
      </c>
      <c r="D731" s="16">
        <v>1</v>
      </c>
      <c r="E731" t="e">
        <f>'III. WaTT Main'!#REF!</f>
        <v>#REF!</v>
      </c>
    </row>
    <row r="732" spans="1:5">
      <c r="A732" s="3" t="e">
        <f>'III. WaTT Main'!#REF!</f>
        <v>#REF!</v>
      </c>
      <c r="B732" s="3" t="e">
        <f>'III. WaTT Main'!#REF!</f>
        <v>#REF!</v>
      </c>
      <c r="C732" s="3" t="e">
        <f>'III. WaTT Main'!#REF!</f>
        <v>#REF!</v>
      </c>
      <c r="D732" s="16">
        <v>1</v>
      </c>
      <c r="E732" t="e">
        <f>'III. WaTT Main'!#REF!</f>
        <v>#REF!</v>
      </c>
    </row>
    <row r="733" spans="1:5">
      <c r="A733" s="3" t="e">
        <f>'III. WaTT Main'!#REF!</f>
        <v>#REF!</v>
      </c>
      <c r="B733" s="3" t="e">
        <f>'III. WaTT Main'!#REF!</f>
        <v>#REF!</v>
      </c>
      <c r="C733" s="3" t="e">
        <f>'III. WaTT Main'!#REF!</f>
        <v>#REF!</v>
      </c>
      <c r="D733" s="16">
        <v>1</v>
      </c>
      <c r="E733" t="e">
        <f>'III. WaTT Main'!#REF!</f>
        <v>#REF!</v>
      </c>
    </row>
    <row r="734" spans="1:5">
      <c r="A734" s="3" t="e">
        <f>'III. WaTT Main'!#REF!</f>
        <v>#REF!</v>
      </c>
      <c r="B734" s="3" t="e">
        <f>'III. WaTT Main'!#REF!</f>
        <v>#REF!</v>
      </c>
      <c r="C734" s="3" t="e">
        <f>'III. WaTT Main'!#REF!</f>
        <v>#REF!</v>
      </c>
      <c r="D734" s="16">
        <v>1</v>
      </c>
      <c r="E734" t="e">
        <f>'III. WaTT Main'!#REF!</f>
        <v>#REF!</v>
      </c>
    </row>
    <row r="735" spans="1:5">
      <c r="A735" s="3" t="e">
        <f>'III. WaTT Main'!#REF!</f>
        <v>#REF!</v>
      </c>
      <c r="B735" s="3" t="e">
        <f>'III. WaTT Main'!#REF!</f>
        <v>#REF!</v>
      </c>
      <c r="C735" s="3" t="e">
        <f>'III. WaTT Main'!#REF!</f>
        <v>#REF!</v>
      </c>
      <c r="D735" s="16">
        <v>1</v>
      </c>
      <c r="E735" t="e">
        <f>'III. WaTT Main'!#REF!</f>
        <v>#REF!</v>
      </c>
    </row>
    <row r="736" spans="1:5">
      <c r="A736" s="3" t="e">
        <f>'III. WaTT Main'!#REF!</f>
        <v>#REF!</v>
      </c>
      <c r="B736" s="3" t="e">
        <f>'III. WaTT Main'!#REF!</f>
        <v>#REF!</v>
      </c>
      <c r="C736" s="3" t="e">
        <f>'III. WaTT Main'!#REF!</f>
        <v>#REF!</v>
      </c>
      <c r="D736" s="16">
        <v>1</v>
      </c>
      <c r="E736" t="e">
        <f>'III. WaTT Main'!#REF!</f>
        <v>#REF!</v>
      </c>
    </row>
    <row r="737" spans="1:5">
      <c r="A737" s="3" t="e">
        <f>'III. WaTT Main'!#REF!</f>
        <v>#REF!</v>
      </c>
      <c r="B737" s="3" t="e">
        <f>'III. WaTT Main'!#REF!</f>
        <v>#REF!</v>
      </c>
      <c r="C737" s="3" t="e">
        <f>'III. WaTT Main'!#REF!</f>
        <v>#REF!</v>
      </c>
      <c r="D737" s="16">
        <v>1</v>
      </c>
      <c r="E737" t="e">
        <f>'III. WaTT Main'!#REF!</f>
        <v>#REF!</v>
      </c>
    </row>
    <row r="738" spans="1:5">
      <c r="A738" s="3" t="e">
        <f>'III. WaTT Main'!#REF!</f>
        <v>#REF!</v>
      </c>
      <c r="B738" s="3" t="e">
        <f>'III. WaTT Main'!#REF!</f>
        <v>#REF!</v>
      </c>
      <c r="C738" s="3" t="e">
        <f>'III. WaTT Main'!#REF!</f>
        <v>#REF!</v>
      </c>
      <c r="D738" s="16">
        <v>1</v>
      </c>
      <c r="E738" t="e">
        <f>'III. WaTT Main'!#REF!</f>
        <v>#REF!</v>
      </c>
    </row>
    <row r="739" spans="1:5">
      <c r="A739" s="3" t="e">
        <f>'III. WaTT Main'!#REF!</f>
        <v>#REF!</v>
      </c>
      <c r="B739" s="3" t="e">
        <f>'III. WaTT Main'!#REF!</f>
        <v>#REF!</v>
      </c>
      <c r="C739" s="3" t="e">
        <f>'III. WaTT Main'!#REF!</f>
        <v>#REF!</v>
      </c>
      <c r="D739" s="16">
        <v>1</v>
      </c>
      <c r="E739" t="e">
        <f>'III. WaTT Main'!#REF!</f>
        <v>#REF!</v>
      </c>
    </row>
    <row r="740" spans="1:5">
      <c r="A740" s="3" t="e">
        <f>'III. WaTT Main'!#REF!</f>
        <v>#REF!</v>
      </c>
      <c r="B740" s="3" t="e">
        <f>'III. WaTT Main'!#REF!</f>
        <v>#REF!</v>
      </c>
      <c r="C740" s="3" t="e">
        <f>'III. WaTT Main'!#REF!</f>
        <v>#REF!</v>
      </c>
      <c r="D740" s="16">
        <v>1</v>
      </c>
      <c r="E740" t="e">
        <f>'III. WaTT Main'!#REF!</f>
        <v>#REF!</v>
      </c>
    </row>
    <row r="741" spans="1:5">
      <c r="A741" s="3" t="e">
        <f>'III. WaTT Main'!#REF!</f>
        <v>#REF!</v>
      </c>
      <c r="B741" s="3" t="e">
        <f>'III. WaTT Main'!#REF!</f>
        <v>#REF!</v>
      </c>
      <c r="C741" s="3" t="e">
        <f>'III. WaTT Main'!#REF!</f>
        <v>#REF!</v>
      </c>
      <c r="D741" s="16">
        <v>1</v>
      </c>
      <c r="E741" t="e">
        <f>'III. WaTT Main'!#REF!</f>
        <v>#REF!</v>
      </c>
    </row>
    <row r="742" spans="1:5">
      <c r="A742" s="3" t="e">
        <f>'III. WaTT Main'!#REF!</f>
        <v>#REF!</v>
      </c>
      <c r="B742" s="3" t="e">
        <f>'III. WaTT Main'!#REF!</f>
        <v>#REF!</v>
      </c>
      <c r="C742" s="3" t="e">
        <f>'III. WaTT Main'!#REF!</f>
        <v>#REF!</v>
      </c>
      <c r="D742" s="16">
        <v>1</v>
      </c>
      <c r="E742" t="e">
        <f>'III. WaTT Main'!#REF!</f>
        <v>#REF!</v>
      </c>
    </row>
    <row r="743" spans="1:5">
      <c r="A743" s="3" t="e">
        <f>'III. WaTT Main'!#REF!</f>
        <v>#REF!</v>
      </c>
      <c r="B743" s="3" t="e">
        <f>'III. WaTT Main'!#REF!</f>
        <v>#REF!</v>
      </c>
      <c r="C743" s="3" t="e">
        <f>'III. WaTT Main'!#REF!</f>
        <v>#REF!</v>
      </c>
      <c r="D743" s="16">
        <v>1</v>
      </c>
      <c r="E743" t="e">
        <f>'III. WaTT Main'!#REF!</f>
        <v>#REF!</v>
      </c>
    </row>
    <row r="744" spans="1:5">
      <c r="A744" s="3" t="e">
        <f>'III. WaTT Main'!#REF!</f>
        <v>#REF!</v>
      </c>
      <c r="B744" s="3" t="e">
        <f>'III. WaTT Main'!#REF!</f>
        <v>#REF!</v>
      </c>
      <c r="C744" s="3" t="e">
        <f>'III. WaTT Main'!#REF!</f>
        <v>#REF!</v>
      </c>
      <c r="D744" s="16">
        <v>1</v>
      </c>
      <c r="E744" t="e">
        <f>'III. WaTT Main'!#REF!</f>
        <v>#REF!</v>
      </c>
    </row>
    <row r="745" spans="1:5">
      <c r="A745" s="3" t="e">
        <f>'III. WaTT Main'!#REF!</f>
        <v>#REF!</v>
      </c>
      <c r="B745" s="3" t="e">
        <f>'III. WaTT Main'!#REF!</f>
        <v>#REF!</v>
      </c>
      <c r="C745" s="3" t="e">
        <f>'III. WaTT Main'!#REF!</f>
        <v>#REF!</v>
      </c>
      <c r="D745" s="16">
        <v>1</v>
      </c>
      <c r="E745" t="e">
        <f>'III. WaTT Main'!#REF!</f>
        <v>#REF!</v>
      </c>
    </row>
    <row r="746" spans="1:5">
      <c r="A746" s="3" t="e">
        <f>'III. WaTT Main'!#REF!</f>
        <v>#REF!</v>
      </c>
      <c r="B746" s="3" t="e">
        <f>'III. WaTT Main'!#REF!</f>
        <v>#REF!</v>
      </c>
      <c r="C746" s="3" t="e">
        <f>'III. WaTT Main'!#REF!</f>
        <v>#REF!</v>
      </c>
      <c r="D746" s="16">
        <v>1</v>
      </c>
      <c r="E746" t="e">
        <f>'III. WaTT Main'!#REF!</f>
        <v>#REF!</v>
      </c>
    </row>
    <row r="747" spans="1:5">
      <c r="A747" s="3" t="e">
        <f>'III. WaTT Main'!#REF!</f>
        <v>#REF!</v>
      </c>
      <c r="B747" s="3" t="e">
        <f>'III. WaTT Main'!#REF!</f>
        <v>#REF!</v>
      </c>
      <c r="C747" s="3" t="e">
        <f>'III. WaTT Main'!#REF!</f>
        <v>#REF!</v>
      </c>
      <c r="D747" s="16">
        <v>1</v>
      </c>
      <c r="E747" t="e">
        <f>'III. WaTT Main'!#REF!</f>
        <v>#REF!</v>
      </c>
    </row>
    <row r="748" spans="1:5">
      <c r="A748" s="3" t="e">
        <f>'III. WaTT Main'!#REF!</f>
        <v>#REF!</v>
      </c>
      <c r="B748" s="3" t="e">
        <f>'III. WaTT Main'!#REF!</f>
        <v>#REF!</v>
      </c>
      <c r="C748" s="3" t="e">
        <f>'III. WaTT Main'!#REF!</f>
        <v>#REF!</v>
      </c>
      <c r="D748" s="16">
        <v>1</v>
      </c>
      <c r="E748" t="e">
        <f>'III. WaTT Main'!#REF!</f>
        <v>#REF!</v>
      </c>
    </row>
    <row r="749" spans="1:5">
      <c r="A749" s="3" t="e">
        <f>'III. WaTT Main'!#REF!</f>
        <v>#REF!</v>
      </c>
      <c r="B749" s="3" t="e">
        <f>'III. WaTT Main'!#REF!</f>
        <v>#REF!</v>
      </c>
      <c r="C749" s="3" t="e">
        <f>'III. WaTT Main'!#REF!</f>
        <v>#REF!</v>
      </c>
      <c r="D749" s="16">
        <v>1</v>
      </c>
      <c r="E749" t="e">
        <f>'III. WaTT Main'!#REF!</f>
        <v>#REF!</v>
      </c>
    </row>
    <row r="750" spans="1:5">
      <c r="A750" s="3" t="e">
        <f>'III. WaTT Main'!#REF!</f>
        <v>#REF!</v>
      </c>
      <c r="B750" s="3" t="e">
        <f>'III. WaTT Main'!#REF!</f>
        <v>#REF!</v>
      </c>
      <c r="C750" s="3" t="e">
        <f>'III. WaTT Main'!#REF!</f>
        <v>#REF!</v>
      </c>
      <c r="D750" s="16">
        <v>1</v>
      </c>
      <c r="E750" t="e">
        <f>'III. WaTT Main'!#REF!</f>
        <v>#REF!</v>
      </c>
    </row>
    <row r="751" spans="1:5">
      <c r="A751" s="3" t="e">
        <f>'III. WaTT Main'!#REF!</f>
        <v>#REF!</v>
      </c>
      <c r="B751" s="3" t="e">
        <f>'III. WaTT Main'!#REF!</f>
        <v>#REF!</v>
      </c>
      <c r="C751" s="3" t="e">
        <f>'III. WaTT Main'!#REF!</f>
        <v>#REF!</v>
      </c>
      <c r="D751" s="16">
        <v>1</v>
      </c>
      <c r="E751" t="e">
        <f>'III. WaTT Main'!#REF!</f>
        <v>#REF!</v>
      </c>
    </row>
    <row r="752" spans="1:5">
      <c r="A752" s="3" t="e">
        <f>'III. WaTT Main'!#REF!</f>
        <v>#REF!</v>
      </c>
      <c r="B752" s="3" t="e">
        <f>'III. WaTT Main'!#REF!</f>
        <v>#REF!</v>
      </c>
      <c r="C752" s="3" t="e">
        <f>'III. WaTT Main'!#REF!</f>
        <v>#REF!</v>
      </c>
      <c r="D752" s="16">
        <v>1</v>
      </c>
      <c r="E752" t="e">
        <f>'III. WaTT Main'!#REF!</f>
        <v>#REF!</v>
      </c>
    </row>
    <row r="753" spans="1:5">
      <c r="A753" s="3" t="e">
        <f>'III. WaTT Main'!#REF!</f>
        <v>#REF!</v>
      </c>
      <c r="B753" s="3" t="e">
        <f>'III. WaTT Main'!#REF!</f>
        <v>#REF!</v>
      </c>
      <c r="C753" s="3" t="e">
        <f>'III. WaTT Main'!#REF!</f>
        <v>#REF!</v>
      </c>
      <c r="D753" s="16">
        <v>1</v>
      </c>
      <c r="E753" t="e">
        <f>'III. WaTT Main'!#REF!</f>
        <v>#REF!</v>
      </c>
    </row>
    <row r="754" spans="1:5">
      <c r="A754" s="3" t="e">
        <f>'III. WaTT Main'!#REF!</f>
        <v>#REF!</v>
      </c>
      <c r="B754" s="3" t="e">
        <f>'III. WaTT Main'!#REF!</f>
        <v>#REF!</v>
      </c>
      <c r="C754" s="3" t="e">
        <f>'III. WaTT Main'!#REF!</f>
        <v>#REF!</v>
      </c>
      <c r="D754" s="16">
        <v>1</v>
      </c>
      <c r="E754" t="e">
        <f>'III. WaTT Main'!#REF!</f>
        <v>#REF!</v>
      </c>
    </row>
    <row r="755" spans="1:5">
      <c r="A755" s="3" t="e">
        <f>'III. WaTT Main'!#REF!</f>
        <v>#REF!</v>
      </c>
      <c r="B755" s="3" t="e">
        <f>'III. WaTT Main'!#REF!</f>
        <v>#REF!</v>
      </c>
      <c r="C755" s="3" t="e">
        <f>'III. WaTT Main'!#REF!</f>
        <v>#REF!</v>
      </c>
      <c r="D755" s="16">
        <v>1</v>
      </c>
      <c r="E755" t="e">
        <f>'III. WaTT Main'!#REF!</f>
        <v>#REF!</v>
      </c>
    </row>
    <row r="756" spans="1:5">
      <c r="A756" s="3" t="e">
        <f>'III. WaTT Main'!#REF!</f>
        <v>#REF!</v>
      </c>
      <c r="B756" s="3" t="e">
        <f>'III. WaTT Main'!#REF!</f>
        <v>#REF!</v>
      </c>
      <c r="C756" s="3" t="e">
        <f>'III. WaTT Main'!#REF!</f>
        <v>#REF!</v>
      </c>
      <c r="D756" s="16">
        <v>1</v>
      </c>
      <c r="E756" t="e">
        <f>'III. WaTT Main'!#REF!</f>
        <v>#REF!</v>
      </c>
    </row>
    <row r="757" spans="1:5">
      <c r="A757" s="3" t="e">
        <f>'III. WaTT Main'!#REF!</f>
        <v>#REF!</v>
      </c>
      <c r="B757" s="3" t="e">
        <f>'III. WaTT Main'!#REF!</f>
        <v>#REF!</v>
      </c>
      <c r="C757" s="3" t="e">
        <f>'III. WaTT Main'!#REF!</f>
        <v>#REF!</v>
      </c>
      <c r="D757" s="16">
        <v>1</v>
      </c>
      <c r="E757" t="e">
        <f>'III. WaTT Main'!#REF!</f>
        <v>#REF!</v>
      </c>
    </row>
    <row r="758" spans="1:5">
      <c r="A758" s="3" t="e">
        <f>'III. WaTT Main'!#REF!</f>
        <v>#REF!</v>
      </c>
      <c r="B758" s="3" t="e">
        <f>'III. WaTT Main'!#REF!</f>
        <v>#REF!</v>
      </c>
      <c r="C758" s="3" t="e">
        <f>'III. WaTT Main'!#REF!</f>
        <v>#REF!</v>
      </c>
      <c r="D758" s="16">
        <v>1</v>
      </c>
      <c r="E758" t="e">
        <f>'III. WaTT Main'!#REF!</f>
        <v>#REF!</v>
      </c>
    </row>
    <row r="759" spans="1:5">
      <c r="A759" s="3" t="e">
        <f>'III. WaTT Main'!#REF!</f>
        <v>#REF!</v>
      </c>
      <c r="B759" s="3" t="e">
        <f>'III. WaTT Main'!#REF!</f>
        <v>#REF!</v>
      </c>
      <c r="C759" s="3" t="e">
        <f>'III. WaTT Main'!#REF!</f>
        <v>#REF!</v>
      </c>
      <c r="D759" s="16">
        <v>1</v>
      </c>
      <c r="E759" t="e">
        <f>'III. WaTT Main'!#REF!</f>
        <v>#REF!</v>
      </c>
    </row>
    <row r="760" spans="1:5">
      <c r="A760" s="3" t="e">
        <f>'III. WaTT Main'!#REF!</f>
        <v>#REF!</v>
      </c>
      <c r="B760" s="3" t="e">
        <f>'III. WaTT Main'!#REF!</f>
        <v>#REF!</v>
      </c>
      <c r="C760" s="3" t="e">
        <f>'III. WaTT Main'!#REF!</f>
        <v>#REF!</v>
      </c>
      <c r="D760" s="16">
        <v>1</v>
      </c>
      <c r="E760" t="e">
        <f>'III. WaTT Main'!#REF!</f>
        <v>#REF!</v>
      </c>
    </row>
    <row r="761" spans="1:5">
      <c r="A761" s="3" t="e">
        <f>'III. WaTT Main'!#REF!</f>
        <v>#REF!</v>
      </c>
      <c r="B761" s="3" t="e">
        <f>'III. WaTT Main'!#REF!</f>
        <v>#REF!</v>
      </c>
      <c r="C761" s="3" t="e">
        <f>'III. WaTT Main'!#REF!</f>
        <v>#REF!</v>
      </c>
      <c r="D761" s="16">
        <v>1</v>
      </c>
      <c r="E761" t="e">
        <f>'III. WaTT Main'!#REF!</f>
        <v>#REF!</v>
      </c>
    </row>
    <row r="762" spans="1:5">
      <c r="A762" s="3" t="e">
        <f>'III. WaTT Main'!#REF!</f>
        <v>#REF!</v>
      </c>
      <c r="B762" s="3" t="e">
        <f>'III. WaTT Main'!#REF!</f>
        <v>#REF!</v>
      </c>
      <c r="C762" s="3" t="e">
        <f>'III. WaTT Main'!#REF!</f>
        <v>#REF!</v>
      </c>
      <c r="D762" s="16">
        <v>1</v>
      </c>
      <c r="E762" t="e">
        <f>'III. WaTT Main'!#REF!</f>
        <v>#REF!</v>
      </c>
    </row>
    <row r="763" spans="1:5">
      <c r="A763" s="3" t="e">
        <f>'III. WaTT Main'!#REF!</f>
        <v>#REF!</v>
      </c>
      <c r="B763" s="3" t="e">
        <f>'III. WaTT Main'!#REF!</f>
        <v>#REF!</v>
      </c>
      <c r="C763" s="3" t="e">
        <f>'III. WaTT Main'!#REF!</f>
        <v>#REF!</v>
      </c>
      <c r="D763" s="16">
        <v>1</v>
      </c>
      <c r="E763" t="e">
        <f>'III. WaTT Main'!#REF!</f>
        <v>#REF!</v>
      </c>
    </row>
    <row r="764" spans="1:5">
      <c r="A764" s="3" t="e">
        <f>'III. WaTT Main'!#REF!</f>
        <v>#REF!</v>
      </c>
      <c r="B764" s="3" t="e">
        <f>'III. WaTT Main'!#REF!</f>
        <v>#REF!</v>
      </c>
      <c r="C764" s="3" t="e">
        <f>'III. WaTT Main'!#REF!</f>
        <v>#REF!</v>
      </c>
      <c r="D764" s="16">
        <v>1</v>
      </c>
      <c r="E764" t="e">
        <f>'III. WaTT Main'!#REF!</f>
        <v>#REF!</v>
      </c>
    </row>
    <row r="765" spans="1:5">
      <c r="A765" s="3" t="e">
        <f>'III. WaTT Main'!#REF!</f>
        <v>#REF!</v>
      </c>
      <c r="B765" s="3" t="e">
        <f>'III. WaTT Main'!#REF!</f>
        <v>#REF!</v>
      </c>
      <c r="C765" s="3" t="e">
        <f>'III. WaTT Main'!#REF!</f>
        <v>#REF!</v>
      </c>
      <c r="D765" s="16">
        <v>1</v>
      </c>
      <c r="E765" t="e">
        <f>'III. WaTT Main'!#REF!</f>
        <v>#REF!</v>
      </c>
    </row>
    <row r="766" spans="1:5">
      <c r="A766" s="3" t="e">
        <f>'III. WaTT Main'!#REF!</f>
        <v>#REF!</v>
      </c>
      <c r="B766" s="3" t="e">
        <f>'III. WaTT Main'!#REF!</f>
        <v>#REF!</v>
      </c>
      <c r="C766" s="3" t="e">
        <f>'III. WaTT Main'!#REF!</f>
        <v>#REF!</v>
      </c>
      <c r="D766" s="16">
        <v>1</v>
      </c>
      <c r="E766" t="e">
        <f>'III. WaTT Main'!#REF!</f>
        <v>#REF!</v>
      </c>
    </row>
    <row r="767" spans="1:5">
      <c r="A767" s="3" t="e">
        <f>'III. WaTT Main'!#REF!</f>
        <v>#REF!</v>
      </c>
      <c r="B767" s="3" t="e">
        <f>'III. WaTT Main'!#REF!</f>
        <v>#REF!</v>
      </c>
      <c r="C767" s="3" t="e">
        <f>'III. WaTT Main'!#REF!</f>
        <v>#REF!</v>
      </c>
      <c r="D767" s="16">
        <v>1</v>
      </c>
      <c r="E767" t="e">
        <f>'III. WaTT Main'!#REF!</f>
        <v>#REF!</v>
      </c>
    </row>
    <row r="768" spans="1:5">
      <c r="A768" s="3" t="e">
        <f>'III. WaTT Main'!#REF!</f>
        <v>#REF!</v>
      </c>
      <c r="B768" s="3" t="e">
        <f>'III. WaTT Main'!#REF!</f>
        <v>#REF!</v>
      </c>
      <c r="C768" s="3" t="e">
        <f>'III. WaTT Main'!#REF!</f>
        <v>#REF!</v>
      </c>
      <c r="D768" s="16">
        <v>1</v>
      </c>
      <c r="E768" t="e">
        <f>'III. WaTT Main'!#REF!</f>
        <v>#REF!</v>
      </c>
    </row>
    <row r="769" spans="1:5">
      <c r="A769" s="3" t="e">
        <f>'III. WaTT Main'!#REF!</f>
        <v>#REF!</v>
      </c>
      <c r="B769" s="3" t="e">
        <f>'III. WaTT Main'!#REF!</f>
        <v>#REF!</v>
      </c>
      <c r="C769" s="3" t="e">
        <f>'III. WaTT Main'!#REF!</f>
        <v>#REF!</v>
      </c>
      <c r="D769" s="16">
        <v>1</v>
      </c>
      <c r="E769" t="e">
        <f>'III. WaTT Main'!#REF!</f>
        <v>#REF!</v>
      </c>
    </row>
    <row r="770" spans="1:5">
      <c r="A770" s="3" t="e">
        <f>'III. WaTT Main'!#REF!</f>
        <v>#REF!</v>
      </c>
      <c r="B770" s="3" t="e">
        <f>'III. WaTT Main'!#REF!</f>
        <v>#REF!</v>
      </c>
      <c r="C770" s="3" t="e">
        <f>'III. WaTT Main'!#REF!</f>
        <v>#REF!</v>
      </c>
      <c r="D770" s="16">
        <v>1</v>
      </c>
      <c r="E770" t="e">
        <f>'III. WaTT Main'!#REF!</f>
        <v>#REF!</v>
      </c>
    </row>
    <row r="771" spans="1:5">
      <c r="A771" s="3" t="e">
        <f>'III. WaTT Main'!#REF!</f>
        <v>#REF!</v>
      </c>
      <c r="B771" s="3" t="e">
        <f>'III. WaTT Main'!#REF!</f>
        <v>#REF!</v>
      </c>
      <c r="C771" s="3" t="e">
        <f>'III. WaTT Main'!#REF!</f>
        <v>#REF!</v>
      </c>
      <c r="D771" s="16">
        <v>1</v>
      </c>
      <c r="E771" t="e">
        <f>'III. WaTT Main'!#REF!</f>
        <v>#REF!</v>
      </c>
    </row>
    <row r="772" spans="1:5">
      <c r="A772" s="3" t="e">
        <f>'III. WaTT Main'!#REF!</f>
        <v>#REF!</v>
      </c>
      <c r="B772" s="3" t="e">
        <f>'III. WaTT Main'!#REF!</f>
        <v>#REF!</v>
      </c>
      <c r="C772" s="3" t="e">
        <f>'III. WaTT Main'!#REF!</f>
        <v>#REF!</v>
      </c>
      <c r="D772" s="16">
        <v>1</v>
      </c>
      <c r="E772" t="e">
        <f>'III. WaTT Main'!#REF!</f>
        <v>#REF!</v>
      </c>
    </row>
    <row r="773" spans="1:5">
      <c r="A773" s="3" t="e">
        <f>'III. WaTT Main'!#REF!</f>
        <v>#REF!</v>
      </c>
      <c r="B773" s="3" t="e">
        <f>'III. WaTT Main'!#REF!</f>
        <v>#REF!</v>
      </c>
      <c r="C773" s="3" t="e">
        <f>'III. WaTT Main'!#REF!</f>
        <v>#REF!</v>
      </c>
      <c r="D773" s="16">
        <v>1</v>
      </c>
      <c r="E773" t="e">
        <f>'III. WaTT Main'!#REF!</f>
        <v>#REF!</v>
      </c>
    </row>
    <row r="774" spans="1:5">
      <c r="A774" s="3" t="e">
        <f>'III. WaTT Main'!#REF!</f>
        <v>#REF!</v>
      </c>
      <c r="B774" s="3" t="e">
        <f>'III. WaTT Main'!#REF!</f>
        <v>#REF!</v>
      </c>
      <c r="C774" s="3" t="e">
        <f>'III. WaTT Main'!#REF!</f>
        <v>#REF!</v>
      </c>
      <c r="D774" s="16">
        <v>1</v>
      </c>
      <c r="E774" t="e">
        <f>'III. WaTT Main'!#REF!</f>
        <v>#REF!</v>
      </c>
    </row>
    <row r="775" spans="1:5">
      <c r="A775" s="3" t="e">
        <f>'III. WaTT Main'!#REF!</f>
        <v>#REF!</v>
      </c>
      <c r="B775" s="3" t="e">
        <f>'III. WaTT Main'!#REF!</f>
        <v>#REF!</v>
      </c>
      <c r="C775" s="3" t="e">
        <f>'III. WaTT Main'!#REF!</f>
        <v>#REF!</v>
      </c>
      <c r="D775" s="16">
        <v>1</v>
      </c>
      <c r="E775" t="e">
        <f>'III. WaTT Main'!#REF!</f>
        <v>#REF!</v>
      </c>
    </row>
    <row r="776" spans="1:5">
      <c r="A776" s="3" t="e">
        <f>'III. WaTT Main'!#REF!</f>
        <v>#REF!</v>
      </c>
      <c r="B776" s="3" t="e">
        <f>'III. WaTT Main'!#REF!</f>
        <v>#REF!</v>
      </c>
      <c r="C776" s="3" t="e">
        <f>'III. WaTT Main'!#REF!</f>
        <v>#REF!</v>
      </c>
      <c r="D776" s="16">
        <v>1</v>
      </c>
      <c r="E776" t="e">
        <f>'III. WaTT Main'!#REF!</f>
        <v>#REF!</v>
      </c>
    </row>
    <row r="777" spans="1:5">
      <c r="A777" s="3" t="e">
        <f>'III. WaTT Main'!#REF!</f>
        <v>#REF!</v>
      </c>
      <c r="B777" s="3" t="e">
        <f>'III. WaTT Main'!#REF!</f>
        <v>#REF!</v>
      </c>
      <c r="C777" s="3" t="e">
        <f>'III. WaTT Main'!#REF!</f>
        <v>#REF!</v>
      </c>
      <c r="D777" s="16">
        <v>1</v>
      </c>
      <c r="E777" t="e">
        <f>'III. WaTT Main'!#REF!</f>
        <v>#REF!</v>
      </c>
    </row>
    <row r="778" spans="1:5">
      <c r="A778" s="3" t="e">
        <f>'III. WaTT Main'!#REF!</f>
        <v>#REF!</v>
      </c>
      <c r="B778" s="3" t="e">
        <f>'III. WaTT Main'!#REF!</f>
        <v>#REF!</v>
      </c>
      <c r="C778" s="3" t="e">
        <f>'III. WaTT Main'!#REF!</f>
        <v>#REF!</v>
      </c>
      <c r="D778" s="16">
        <v>1</v>
      </c>
      <c r="E778" t="e">
        <f>'III. WaTT Main'!#REF!</f>
        <v>#REF!</v>
      </c>
    </row>
    <row r="779" spans="1:5">
      <c r="A779" s="3" t="e">
        <f>'III. WaTT Main'!#REF!</f>
        <v>#REF!</v>
      </c>
      <c r="B779" s="3" t="e">
        <f>'III. WaTT Main'!#REF!</f>
        <v>#REF!</v>
      </c>
      <c r="C779" s="3" t="e">
        <f>'III. WaTT Main'!#REF!</f>
        <v>#REF!</v>
      </c>
      <c r="D779" s="16">
        <v>1</v>
      </c>
      <c r="E779" t="e">
        <f>'III. WaTT Main'!#REF!</f>
        <v>#REF!</v>
      </c>
    </row>
    <row r="780" spans="1:5">
      <c r="A780" s="3" t="e">
        <f>'III. WaTT Main'!#REF!</f>
        <v>#REF!</v>
      </c>
      <c r="B780" s="3" t="e">
        <f>'III. WaTT Main'!#REF!</f>
        <v>#REF!</v>
      </c>
      <c r="C780" s="3" t="e">
        <f>'III. WaTT Main'!#REF!</f>
        <v>#REF!</v>
      </c>
      <c r="D780" s="16">
        <v>1</v>
      </c>
      <c r="E780" t="e">
        <f>'III. WaTT Main'!#REF!</f>
        <v>#REF!</v>
      </c>
    </row>
    <row r="781" spans="1:5">
      <c r="A781" s="3" t="e">
        <f>'III. WaTT Main'!#REF!</f>
        <v>#REF!</v>
      </c>
      <c r="B781" s="3" t="e">
        <f>'III. WaTT Main'!#REF!</f>
        <v>#REF!</v>
      </c>
      <c r="C781" s="3" t="e">
        <f>'III. WaTT Main'!#REF!</f>
        <v>#REF!</v>
      </c>
      <c r="D781" s="16">
        <v>1</v>
      </c>
      <c r="E781" t="e">
        <f>'III. WaTT Main'!#REF!</f>
        <v>#REF!</v>
      </c>
    </row>
    <row r="782" spans="1:5">
      <c r="A782" s="3" t="e">
        <f>'III. WaTT Main'!#REF!</f>
        <v>#REF!</v>
      </c>
      <c r="B782" s="3" t="e">
        <f>'III. WaTT Main'!#REF!</f>
        <v>#REF!</v>
      </c>
      <c r="C782" s="3" t="e">
        <f>'III. WaTT Main'!#REF!</f>
        <v>#REF!</v>
      </c>
      <c r="D782" s="16">
        <v>1</v>
      </c>
      <c r="E782" t="e">
        <f>'III. WaTT Main'!#REF!</f>
        <v>#REF!</v>
      </c>
    </row>
    <row r="783" spans="1:5">
      <c r="A783" s="3" t="e">
        <f>'III. WaTT Main'!#REF!</f>
        <v>#REF!</v>
      </c>
      <c r="B783" s="3" t="e">
        <f>'III. WaTT Main'!#REF!</f>
        <v>#REF!</v>
      </c>
      <c r="C783" s="3" t="e">
        <f>'III. WaTT Main'!#REF!</f>
        <v>#REF!</v>
      </c>
      <c r="D783" s="16">
        <v>1</v>
      </c>
      <c r="E783" t="e">
        <f>'III. WaTT Main'!#REF!</f>
        <v>#REF!</v>
      </c>
    </row>
    <row r="784" spans="1:5">
      <c r="A784" s="3" t="e">
        <f>'III. WaTT Main'!#REF!</f>
        <v>#REF!</v>
      </c>
      <c r="B784" s="3" t="e">
        <f>'III. WaTT Main'!#REF!</f>
        <v>#REF!</v>
      </c>
      <c r="C784" s="3" t="e">
        <f>'III. WaTT Main'!#REF!</f>
        <v>#REF!</v>
      </c>
      <c r="D784" s="16">
        <v>1</v>
      </c>
      <c r="E784" t="e">
        <f>'III. WaTT Main'!#REF!</f>
        <v>#REF!</v>
      </c>
    </row>
    <row r="785" spans="1:5">
      <c r="A785" s="3" t="e">
        <f>'III. WaTT Main'!#REF!</f>
        <v>#REF!</v>
      </c>
      <c r="B785" s="3" t="e">
        <f>'III. WaTT Main'!#REF!</f>
        <v>#REF!</v>
      </c>
      <c r="C785" s="3" t="e">
        <f>'III. WaTT Main'!#REF!</f>
        <v>#REF!</v>
      </c>
      <c r="D785" s="16">
        <v>1</v>
      </c>
      <c r="E785" t="e">
        <f>'III. WaTT Main'!#REF!</f>
        <v>#REF!</v>
      </c>
    </row>
    <row r="786" spans="1:5">
      <c r="A786" s="3" t="e">
        <f>'III. WaTT Main'!#REF!</f>
        <v>#REF!</v>
      </c>
      <c r="B786" s="3" t="e">
        <f>'III. WaTT Main'!#REF!</f>
        <v>#REF!</v>
      </c>
      <c r="C786" s="3" t="e">
        <f>'III. WaTT Main'!#REF!</f>
        <v>#REF!</v>
      </c>
      <c r="D786" s="16">
        <v>1</v>
      </c>
      <c r="E786" t="e">
        <f>'III. WaTT Main'!#REF!</f>
        <v>#REF!</v>
      </c>
    </row>
    <row r="787" spans="1:5">
      <c r="A787" s="3" t="e">
        <f>'III. WaTT Main'!#REF!</f>
        <v>#REF!</v>
      </c>
      <c r="B787" s="3" t="e">
        <f>'III. WaTT Main'!#REF!</f>
        <v>#REF!</v>
      </c>
      <c r="C787" s="3" t="e">
        <f>'III. WaTT Main'!#REF!</f>
        <v>#REF!</v>
      </c>
      <c r="D787" s="16">
        <v>1</v>
      </c>
      <c r="E787" t="e">
        <f>'III. WaTT Main'!#REF!</f>
        <v>#REF!</v>
      </c>
    </row>
    <row r="788" spans="1:5">
      <c r="A788" s="3" t="e">
        <f>'III. WaTT Main'!#REF!</f>
        <v>#REF!</v>
      </c>
      <c r="B788" s="3" t="e">
        <f>'III. WaTT Main'!#REF!</f>
        <v>#REF!</v>
      </c>
      <c r="C788" s="3" t="e">
        <f>'III. WaTT Main'!#REF!</f>
        <v>#REF!</v>
      </c>
      <c r="D788" s="16">
        <v>1</v>
      </c>
      <c r="E788" t="e">
        <f>'III. WaTT Main'!#REF!</f>
        <v>#REF!</v>
      </c>
    </row>
    <row r="789" spans="1:5">
      <c r="A789" s="3" t="e">
        <f>'III. WaTT Main'!#REF!</f>
        <v>#REF!</v>
      </c>
      <c r="B789" s="3" t="e">
        <f>'III. WaTT Main'!#REF!</f>
        <v>#REF!</v>
      </c>
      <c r="C789" s="3" t="e">
        <f>'III. WaTT Main'!#REF!</f>
        <v>#REF!</v>
      </c>
      <c r="D789" s="16">
        <v>1</v>
      </c>
      <c r="E789" t="e">
        <f>'III. WaTT Main'!#REF!</f>
        <v>#REF!</v>
      </c>
    </row>
    <row r="790" spans="1:5">
      <c r="A790" s="3" t="e">
        <f>'III. WaTT Main'!#REF!</f>
        <v>#REF!</v>
      </c>
      <c r="B790" s="3" t="e">
        <f>'III. WaTT Main'!#REF!</f>
        <v>#REF!</v>
      </c>
      <c r="C790" s="3" t="e">
        <f>'III. WaTT Main'!#REF!</f>
        <v>#REF!</v>
      </c>
      <c r="D790" s="16">
        <v>1</v>
      </c>
      <c r="E790" t="e">
        <f>'III. WaTT Main'!#REF!</f>
        <v>#REF!</v>
      </c>
    </row>
    <row r="791" spans="1:5">
      <c r="A791" s="3" t="e">
        <f>'III. WaTT Main'!#REF!</f>
        <v>#REF!</v>
      </c>
      <c r="B791" s="3" t="e">
        <f>'III. WaTT Main'!#REF!</f>
        <v>#REF!</v>
      </c>
      <c r="C791" s="3" t="e">
        <f>'III. WaTT Main'!#REF!</f>
        <v>#REF!</v>
      </c>
      <c r="D791" s="16">
        <v>1</v>
      </c>
      <c r="E791" t="e">
        <f>'III. WaTT Main'!#REF!</f>
        <v>#REF!</v>
      </c>
    </row>
    <row r="792" spans="1:5">
      <c r="A792" s="3" t="e">
        <f>'III. WaTT Main'!#REF!</f>
        <v>#REF!</v>
      </c>
      <c r="B792" s="3" t="e">
        <f>'III. WaTT Main'!#REF!</f>
        <v>#REF!</v>
      </c>
      <c r="C792" s="3" t="e">
        <f>'III. WaTT Main'!#REF!</f>
        <v>#REF!</v>
      </c>
      <c r="D792" s="16">
        <v>1</v>
      </c>
      <c r="E792" t="e">
        <f>'III. WaTT Main'!#REF!</f>
        <v>#REF!</v>
      </c>
    </row>
    <row r="793" spans="1:5">
      <c r="A793" s="3" t="e">
        <f>'III. WaTT Main'!#REF!</f>
        <v>#REF!</v>
      </c>
      <c r="B793" s="3" t="e">
        <f>'III. WaTT Main'!#REF!</f>
        <v>#REF!</v>
      </c>
      <c r="C793" s="3" t="e">
        <f>'III. WaTT Main'!#REF!</f>
        <v>#REF!</v>
      </c>
      <c r="D793" s="16">
        <v>1</v>
      </c>
      <c r="E793" t="e">
        <f>'III. WaTT Main'!#REF!</f>
        <v>#REF!</v>
      </c>
    </row>
    <row r="794" spans="1:5">
      <c r="A794" s="3" t="e">
        <f>'III. WaTT Main'!#REF!</f>
        <v>#REF!</v>
      </c>
      <c r="B794" s="3" t="e">
        <f>'III. WaTT Main'!#REF!</f>
        <v>#REF!</v>
      </c>
      <c r="C794" s="3" t="e">
        <f>'III. WaTT Main'!#REF!</f>
        <v>#REF!</v>
      </c>
      <c r="D794" s="16">
        <v>1</v>
      </c>
      <c r="E794" t="e">
        <f>'III. WaTT Main'!#REF!</f>
        <v>#REF!</v>
      </c>
    </row>
    <row r="795" spans="1:5">
      <c r="A795" s="3" t="e">
        <f>'III. WaTT Main'!#REF!</f>
        <v>#REF!</v>
      </c>
      <c r="B795" s="3" t="e">
        <f>'III. WaTT Main'!#REF!</f>
        <v>#REF!</v>
      </c>
      <c r="C795" s="3" t="e">
        <f>'III. WaTT Main'!#REF!</f>
        <v>#REF!</v>
      </c>
      <c r="D795" s="16">
        <v>1</v>
      </c>
      <c r="E795" t="e">
        <f>'III. WaTT Main'!#REF!</f>
        <v>#REF!</v>
      </c>
    </row>
    <row r="796" spans="1:5">
      <c r="A796" s="3" t="e">
        <f>'III. WaTT Main'!#REF!</f>
        <v>#REF!</v>
      </c>
      <c r="B796" s="3" t="e">
        <f>'III. WaTT Main'!#REF!</f>
        <v>#REF!</v>
      </c>
      <c r="C796" s="3" t="e">
        <f>'III. WaTT Main'!#REF!</f>
        <v>#REF!</v>
      </c>
      <c r="D796" s="16">
        <v>1</v>
      </c>
      <c r="E796" t="e">
        <f>'III. WaTT Main'!#REF!</f>
        <v>#REF!</v>
      </c>
    </row>
    <row r="797" spans="1:5">
      <c r="A797" s="3" t="e">
        <f>'III. WaTT Main'!#REF!</f>
        <v>#REF!</v>
      </c>
      <c r="B797" s="3" t="e">
        <f>'III. WaTT Main'!#REF!</f>
        <v>#REF!</v>
      </c>
      <c r="C797" s="3" t="e">
        <f>'III. WaTT Main'!#REF!</f>
        <v>#REF!</v>
      </c>
      <c r="D797" s="16">
        <v>1</v>
      </c>
      <c r="E797" t="e">
        <f>'III. WaTT Main'!#REF!</f>
        <v>#REF!</v>
      </c>
    </row>
    <row r="798" spans="1:5">
      <c r="A798" s="3" t="e">
        <f>'III. WaTT Main'!#REF!</f>
        <v>#REF!</v>
      </c>
      <c r="B798" s="3" t="e">
        <f>'III. WaTT Main'!#REF!</f>
        <v>#REF!</v>
      </c>
      <c r="C798" s="3" t="e">
        <f>'III. WaTT Main'!#REF!</f>
        <v>#REF!</v>
      </c>
      <c r="D798" s="16">
        <v>1</v>
      </c>
      <c r="E798" t="e">
        <f>'III. WaTT Main'!#REF!</f>
        <v>#REF!</v>
      </c>
    </row>
    <row r="799" spans="1:5">
      <c r="A799" s="3" t="e">
        <f>'III. WaTT Main'!#REF!</f>
        <v>#REF!</v>
      </c>
      <c r="B799" s="3" t="e">
        <f>'III. WaTT Main'!#REF!</f>
        <v>#REF!</v>
      </c>
      <c r="C799" s="3" t="e">
        <f>'III. WaTT Main'!#REF!</f>
        <v>#REF!</v>
      </c>
      <c r="D799" s="16">
        <v>1</v>
      </c>
      <c r="E799" t="e">
        <f>'III. WaTT Main'!#REF!</f>
        <v>#REF!</v>
      </c>
    </row>
    <row r="800" spans="1:5">
      <c r="A800" s="3" t="e">
        <f>'III. WaTT Main'!#REF!</f>
        <v>#REF!</v>
      </c>
      <c r="B800" s="3" t="e">
        <f>'III. WaTT Main'!#REF!</f>
        <v>#REF!</v>
      </c>
      <c r="C800" s="3" t="e">
        <f>'III. WaTT Main'!#REF!</f>
        <v>#REF!</v>
      </c>
      <c r="D800" s="16">
        <v>1</v>
      </c>
      <c r="E800" t="e">
        <f>'III. WaTT Main'!#REF!</f>
        <v>#REF!</v>
      </c>
    </row>
    <row r="801" spans="1:5">
      <c r="A801" s="3" t="e">
        <f>'III. WaTT Main'!#REF!</f>
        <v>#REF!</v>
      </c>
      <c r="B801" s="3" t="e">
        <f>'III. WaTT Main'!#REF!</f>
        <v>#REF!</v>
      </c>
      <c r="C801" s="3" t="e">
        <f>'III. WaTT Main'!#REF!</f>
        <v>#REF!</v>
      </c>
      <c r="D801" s="16">
        <v>1</v>
      </c>
      <c r="E801" t="e">
        <f>'III. WaTT Main'!#REF!</f>
        <v>#REF!</v>
      </c>
    </row>
    <row r="802" spans="1:5">
      <c r="A802" s="3" t="e">
        <f>'III. WaTT Main'!#REF!</f>
        <v>#REF!</v>
      </c>
      <c r="B802" s="3" t="e">
        <f>'III. WaTT Main'!#REF!</f>
        <v>#REF!</v>
      </c>
      <c r="C802" s="3" t="e">
        <f>'III. WaTT Main'!#REF!</f>
        <v>#REF!</v>
      </c>
      <c r="D802" s="16">
        <v>1</v>
      </c>
      <c r="E802" t="e">
        <f>'III. WaTT Main'!#REF!</f>
        <v>#REF!</v>
      </c>
    </row>
    <row r="803" spans="1:5">
      <c r="A803" s="3" t="e">
        <f>'III. WaTT Main'!#REF!</f>
        <v>#REF!</v>
      </c>
      <c r="B803" s="3" t="e">
        <f>'III. WaTT Main'!#REF!</f>
        <v>#REF!</v>
      </c>
      <c r="C803" s="3" t="e">
        <f>'III. WaTT Main'!#REF!</f>
        <v>#REF!</v>
      </c>
      <c r="D803" s="16">
        <v>1</v>
      </c>
      <c r="E803" t="e">
        <f>'III. WaTT Main'!#REF!</f>
        <v>#REF!</v>
      </c>
    </row>
    <row r="804" spans="1:5">
      <c r="A804" s="3" t="e">
        <f>'III. WaTT Main'!#REF!</f>
        <v>#REF!</v>
      </c>
      <c r="B804" s="3" t="e">
        <f>'III. WaTT Main'!#REF!</f>
        <v>#REF!</v>
      </c>
      <c r="C804" s="3" t="e">
        <f>'III. WaTT Main'!#REF!</f>
        <v>#REF!</v>
      </c>
      <c r="D804" s="16">
        <v>1</v>
      </c>
      <c r="E804" t="e">
        <f>'III. WaTT Main'!#REF!</f>
        <v>#REF!</v>
      </c>
    </row>
    <row r="805" spans="1:5">
      <c r="A805" s="3" t="e">
        <f>'III. WaTT Main'!#REF!</f>
        <v>#REF!</v>
      </c>
      <c r="B805" s="3" t="e">
        <f>'III. WaTT Main'!#REF!</f>
        <v>#REF!</v>
      </c>
      <c r="C805" s="3" t="e">
        <f>'III. WaTT Main'!#REF!</f>
        <v>#REF!</v>
      </c>
      <c r="D805" s="16">
        <v>1</v>
      </c>
      <c r="E805" t="e">
        <f>'III. WaTT Main'!#REF!</f>
        <v>#REF!</v>
      </c>
    </row>
    <row r="806" spans="1:5">
      <c r="A806" s="3" t="e">
        <f>'III. WaTT Main'!#REF!</f>
        <v>#REF!</v>
      </c>
      <c r="B806" s="3" t="e">
        <f>'III. WaTT Main'!#REF!</f>
        <v>#REF!</v>
      </c>
      <c r="C806" s="3" t="e">
        <f>'III. WaTT Main'!#REF!</f>
        <v>#REF!</v>
      </c>
      <c r="D806" s="16">
        <v>1</v>
      </c>
      <c r="E806" t="e">
        <f>'III. WaTT Main'!#REF!</f>
        <v>#REF!</v>
      </c>
    </row>
    <row r="807" spans="1:5">
      <c r="A807" s="3" t="e">
        <f>'III. WaTT Main'!#REF!</f>
        <v>#REF!</v>
      </c>
      <c r="B807" s="3" t="e">
        <f>'III. WaTT Main'!#REF!</f>
        <v>#REF!</v>
      </c>
      <c r="C807" s="3" t="e">
        <f>'III. WaTT Main'!#REF!</f>
        <v>#REF!</v>
      </c>
      <c r="D807" s="16">
        <v>1</v>
      </c>
      <c r="E807" t="e">
        <f>'III. WaTT Main'!#REF!</f>
        <v>#REF!</v>
      </c>
    </row>
    <row r="808" spans="1:5">
      <c r="A808" s="3" t="e">
        <f>'III. WaTT Main'!#REF!</f>
        <v>#REF!</v>
      </c>
      <c r="B808" s="3" t="e">
        <f>'III. WaTT Main'!#REF!</f>
        <v>#REF!</v>
      </c>
      <c r="C808" s="3" t="e">
        <f>'III. WaTT Main'!#REF!</f>
        <v>#REF!</v>
      </c>
      <c r="D808" s="16">
        <v>1</v>
      </c>
      <c r="E808" t="e">
        <f>'III. WaTT Main'!#REF!</f>
        <v>#REF!</v>
      </c>
    </row>
    <row r="809" spans="1:5">
      <c r="A809" s="3" t="e">
        <f>'III. WaTT Main'!#REF!</f>
        <v>#REF!</v>
      </c>
      <c r="B809" s="3" t="e">
        <f>'III. WaTT Main'!#REF!</f>
        <v>#REF!</v>
      </c>
      <c r="C809" s="3" t="e">
        <f>'III. WaTT Main'!#REF!</f>
        <v>#REF!</v>
      </c>
      <c r="D809" s="16">
        <v>1</v>
      </c>
      <c r="E809" t="e">
        <f>'III. WaTT Main'!#REF!</f>
        <v>#REF!</v>
      </c>
    </row>
    <row r="810" spans="1:5">
      <c r="A810" s="3" t="e">
        <f>'III. WaTT Main'!#REF!</f>
        <v>#REF!</v>
      </c>
      <c r="B810" s="3" t="e">
        <f>'III. WaTT Main'!#REF!</f>
        <v>#REF!</v>
      </c>
      <c r="C810" s="3" t="e">
        <f>'III. WaTT Main'!#REF!</f>
        <v>#REF!</v>
      </c>
      <c r="D810" s="16">
        <v>1</v>
      </c>
      <c r="E810" t="e">
        <f>'III. WaTT Main'!#REF!</f>
        <v>#REF!</v>
      </c>
    </row>
    <row r="811" spans="1:5">
      <c r="A811" s="3" t="e">
        <f>'III. WaTT Main'!#REF!</f>
        <v>#REF!</v>
      </c>
      <c r="B811" s="3" t="e">
        <f>'III. WaTT Main'!#REF!</f>
        <v>#REF!</v>
      </c>
      <c r="C811" s="3" t="e">
        <f>'III. WaTT Main'!#REF!</f>
        <v>#REF!</v>
      </c>
      <c r="D811" s="16">
        <v>1</v>
      </c>
      <c r="E811" t="e">
        <f>'III. WaTT Main'!#REF!</f>
        <v>#REF!</v>
      </c>
    </row>
    <row r="812" spans="1:5">
      <c r="A812" s="3" t="e">
        <f>'III. WaTT Main'!#REF!</f>
        <v>#REF!</v>
      </c>
      <c r="B812" s="3" t="e">
        <f>'III. WaTT Main'!#REF!</f>
        <v>#REF!</v>
      </c>
      <c r="C812" s="3" t="e">
        <f>'III. WaTT Main'!#REF!</f>
        <v>#REF!</v>
      </c>
      <c r="D812" s="16">
        <v>1</v>
      </c>
      <c r="E812" t="e">
        <f>'III. WaTT Main'!#REF!</f>
        <v>#REF!</v>
      </c>
    </row>
    <row r="813" spans="1:5">
      <c r="A813" s="3" t="e">
        <f>'III. WaTT Main'!#REF!</f>
        <v>#REF!</v>
      </c>
      <c r="B813" s="3" t="e">
        <f>'III. WaTT Main'!#REF!</f>
        <v>#REF!</v>
      </c>
      <c r="C813" s="3" t="e">
        <f>'III. WaTT Main'!#REF!</f>
        <v>#REF!</v>
      </c>
      <c r="D813" s="16">
        <v>1</v>
      </c>
      <c r="E813" t="e">
        <f>'III. WaTT Main'!#REF!</f>
        <v>#REF!</v>
      </c>
    </row>
    <row r="814" spans="1:5">
      <c r="A814" s="3" t="e">
        <f>'III. WaTT Main'!#REF!</f>
        <v>#REF!</v>
      </c>
      <c r="B814" s="3" t="e">
        <f>'III. WaTT Main'!#REF!</f>
        <v>#REF!</v>
      </c>
      <c r="C814" s="3" t="e">
        <f>'III. WaTT Main'!#REF!</f>
        <v>#REF!</v>
      </c>
      <c r="D814" s="16">
        <v>1</v>
      </c>
      <c r="E814" t="e">
        <f>'III. WaTT Main'!#REF!</f>
        <v>#REF!</v>
      </c>
    </row>
    <row r="815" spans="1:5">
      <c r="A815" s="3" t="e">
        <f>'III. WaTT Main'!#REF!</f>
        <v>#REF!</v>
      </c>
      <c r="B815" s="3" t="e">
        <f>'III. WaTT Main'!#REF!</f>
        <v>#REF!</v>
      </c>
      <c r="C815" s="3" t="e">
        <f>'III. WaTT Main'!#REF!</f>
        <v>#REF!</v>
      </c>
      <c r="D815" s="16">
        <v>1</v>
      </c>
      <c r="E815" t="e">
        <f>'III. WaTT Main'!#REF!</f>
        <v>#REF!</v>
      </c>
    </row>
    <row r="816" spans="1:5">
      <c r="A816" s="3" t="e">
        <f>'III. WaTT Main'!#REF!</f>
        <v>#REF!</v>
      </c>
      <c r="B816" s="3" t="e">
        <f>'III. WaTT Main'!#REF!</f>
        <v>#REF!</v>
      </c>
      <c r="C816" s="3" t="e">
        <f>'III. WaTT Main'!#REF!</f>
        <v>#REF!</v>
      </c>
      <c r="D816" s="16">
        <v>1</v>
      </c>
      <c r="E816" t="e">
        <f>'III. WaTT Main'!#REF!</f>
        <v>#REF!</v>
      </c>
    </row>
    <row r="817" spans="1:5">
      <c r="A817" s="3" t="e">
        <f>'III. WaTT Main'!#REF!</f>
        <v>#REF!</v>
      </c>
      <c r="B817" s="3" t="e">
        <f>'III. WaTT Main'!#REF!</f>
        <v>#REF!</v>
      </c>
      <c r="C817" s="3" t="e">
        <f>'III. WaTT Main'!#REF!</f>
        <v>#REF!</v>
      </c>
      <c r="D817" s="16">
        <v>1</v>
      </c>
      <c r="E817" t="e">
        <f>'III. WaTT Main'!#REF!</f>
        <v>#REF!</v>
      </c>
    </row>
    <row r="818" spans="1:5">
      <c r="A818" s="3" t="e">
        <f>'III. WaTT Main'!#REF!</f>
        <v>#REF!</v>
      </c>
      <c r="B818" s="3" t="e">
        <f>'III. WaTT Main'!#REF!</f>
        <v>#REF!</v>
      </c>
      <c r="C818" s="3" t="e">
        <f>'III. WaTT Main'!#REF!</f>
        <v>#REF!</v>
      </c>
      <c r="D818" s="16">
        <v>1</v>
      </c>
      <c r="E818" t="e">
        <f>'III. WaTT Main'!#REF!</f>
        <v>#REF!</v>
      </c>
    </row>
    <row r="819" spans="1:5">
      <c r="A819" s="3" t="e">
        <f>'III. WaTT Main'!#REF!</f>
        <v>#REF!</v>
      </c>
      <c r="B819" s="3" t="e">
        <f>'III. WaTT Main'!#REF!</f>
        <v>#REF!</v>
      </c>
      <c r="C819" s="3" t="e">
        <f>'III. WaTT Main'!#REF!</f>
        <v>#REF!</v>
      </c>
      <c r="D819" s="16">
        <v>1</v>
      </c>
      <c r="E819" t="e">
        <f>'III. WaTT Main'!#REF!</f>
        <v>#REF!</v>
      </c>
    </row>
    <row r="820" spans="1:5">
      <c r="A820" s="3" t="e">
        <f>'III. WaTT Main'!#REF!</f>
        <v>#REF!</v>
      </c>
      <c r="B820" s="3" t="e">
        <f>'III. WaTT Main'!#REF!</f>
        <v>#REF!</v>
      </c>
      <c r="C820" s="3" t="e">
        <f>'III. WaTT Main'!#REF!</f>
        <v>#REF!</v>
      </c>
      <c r="D820" s="16">
        <v>1</v>
      </c>
      <c r="E820" t="e">
        <f>'III. WaTT Main'!#REF!</f>
        <v>#REF!</v>
      </c>
    </row>
    <row r="821" spans="1:5">
      <c r="A821" s="3" t="e">
        <f>'III. WaTT Main'!#REF!</f>
        <v>#REF!</v>
      </c>
      <c r="B821" s="3" t="e">
        <f>'III. WaTT Main'!#REF!</f>
        <v>#REF!</v>
      </c>
      <c r="C821" s="3" t="e">
        <f>'III. WaTT Main'!#REF!</f>
        <v>#REF!</v>
      </c>
      <c r="D821" s="16">
        <v>1</v>
      </c>
      <c r="E821" t="e">
        <f>'III. WaTT Main'!#REF!</f>
        <v>#REF!</v>
      </c>
    </row>
    <row r="822" spans="1:5">
      <c r="A822" s="3" t="e">
        <f>'III. WaTT Main'!#REF!</f>
        <v>#REF!</v>
      </c>
      <c r="B822" s="3" t="e">
        <f>'III. WaTT Main'!#REF!</f>
        <v>#REF!</v>
      </c>
      <c r="C822" s="3" t="e">
        <f>'III. WaTT Main'!#REF!</f>
        <v>#REF!</v>
      </c>
      <c r="D822" s="16">
        <v>1</v>
      </c>
      <c r="E822" t="e">
        <f>'III. WaTT Main'!#REF!</f>
        <v>#REF!</v>
      </c>
    </row>
    <row r="823" spans="1:5">
      <c r="A823" s="3" t="e">
        <f>'III. WaTT Main'!#REF!</f>
        <v>#REF!</v>
      </c>
      <c r="B823" s="3" t="e">
        <f>'III. WaTT Main'!#REF!</f>
        <v>#REF!</v>
      </c>
      <c r="C823" s="3" t="e">
        <f>'III. WaTT Main'!#REF!</f>
        <v>#REF!</v>
      </c>
      <c r="D823" s="16">
        <v>1</v>
      </c>
      <c r="E823" t="e">
        <f>'III. WaTT Main'!#REF!</f>
        <v>#REF!</v>
      </c>
    </row>
    <row r="824" spans="1:5">
      <c r="A824" s="3" t="e">
        <f>'III. WaTT Main'!#REF!</f>
        <v>#REF!</v>
      </c>
      <c r="B824" s="3" t="e">
        <f>'III. WaTT Main'!#REF!</f>
        <v>#REF!</v>
      </c>
      <c r="C824" s="3" t="e">
        <f>'III. WaTT Main'!#REF!</f>
        <v>#REF!</v>
      </c>
      <c r="D824" s="16">
        <v>1</v>
      </c>
      <c r="E824" t="e">
        <f>'III. WaTT Main'!#REF!</f>
        <v>#REF!</v>
      </c>
    </row>
    <row r="825" spans="1:5">
      <c r="A825" s="3" t="e">
        <f>'III. WaTT Main'!#REF!</f>
        <v>#REF!</v>
      </c>
      <c r="B825" s="3" t="e">
        <f>'III. WaTT Main'!#REF!</f>
        <v>#REF!</v>
      </c>
      <c r="C825" s="3" t="e">
        <f>'III. WaTT Main'!#REF!</f>
        <v>#REF!</v>
      </c>
      <c r="D825" s="16">
        <v>1</v>
      </c>
      <c r="E825" t="e">
        <f>'III. WaTT Main'!#REF!</f>
        <v>#REF!</v>
      </c>
    </row>
    <row r="826" spans="1:5">
      <c r="A826" s="3" t="e">
        <f>'III. WaTT Main'!#REF!</f>
        <v>#REF!</v>
      </c>
      <c r="B826" s="3" t="e">
        <f>'III. WaTT Main'!#REF!</f>
        <v>#REF!</v>
      </c>
      <c r="C826" s="3" t="e">
        <f>'III. WaTT Main'!#REF!</f>
        <v>#REF!</v>
      </c>
      <c r="D826" s="16">
        <v>1</v>
      </c>
      <c r="E826" t="e">
        <f>'III. WaTT Main'!#REF!</f>
        <v>#REF!</v>
      </c>
    </row>
    <row r="827" spans="1:5">
      <c r="A827" s="3" t="e">
        <f>'III. WaTT Main'!#REF!</f>
        <v>#REF!</v>
      </c>
      <c r="B827" s="3" t="e">
        <f>'III. WaTT Main'!#REF!</f>
        <v>#REF!</v>
      </c>
      <c r="C827" s="3" t="e">
        <f>'III. WaTT Main'!#REF!</f>
        <v>#REF!</v>
      </c>
      <c r="D827" s="16">
        <v>1</v>
      </c>
      <c r="E827" t="e">
        <f>'III. WaTT Main'!#REF!</f>
        <v>#REF!</v>
      </c>
    </row>
    <row r="828" spans="1:5">
      <c r="A828" s="3" t="e">
        <f>'III. WaTT Main'!#REF!</f>
        <v>#REF!</v>
      </c>
      <c r="B828" s="3" t="e">
        <f>'III. WaTT Main'!#REF!</f>
        <v>#REF!</v>
      </c>
      <c r="C828" s="3" t="e">
        <f>'III. WaTT Main'!#REF!</f>
        <v>#REF!</v>
      </c>
      <c r="D828" s="16">
        <v>1</v>
      </c>
      <c r="E828" t="e">
        <f>'III. WaTT Main'!#REF!</f>
        <v>#REF!</v>
      </c>
    </row>
    <row r="829" spans="1:5">
      <c r="A829" s="3" t="e">
        <f>'III. WaTT Main'!#REF!</f>
        <v>#REF!</v>
      </c>
      <c r="B829" s="3" t="e">
        <f>'III. WaTT Main'!#REF!</f>
        <v>#REF!</v>
      </c>
      <c r="C829" s="3" t="e">
        <f>'III. WaTT Main'!#REF!</f>
        <v>#REF!</v>
      </c>
      <c r="D829" s="16">
        <v>1</v>
      </c>
      <c r="E829" t="e">
        <f>'III. WaTT Main'!#REF!</f>
        <v>#REF!</v>
      </c>
    </row>
    <row r="830" spans="1:5">
      <c r="A830" s="3" t="e">
        <f>'III. WaTT Main'!#REF!</f>
        <v>#REF!</v>
      </c>
      <c r="B830" s="3" t="e">
        <f>'III. WaTT Main'!#REF!</f>
        <v>#REF!</v>
      </c>
      <c r="C830" s="3" t="e">
        <f>'III. WaTT Main'!#REF!</f>
        <v>#REF!</v>
      </c>
      <c r="D830" s="16">
        <v>1</v>
      </c>
      <c r="E830" t="e">
        <f>'III. WaTT Main'!#REF!</f>
        <v>#REF!</v>
      </c>
    </row>
    <row r="831" spans="1:5">
      <c r="A831" s="3" t="e">
        <f>'III. WaTT Main'!#REF!</f>
        <v>#REF!</v>
      </c>
      <c r="B831" s="3" t="e">
        <f>'III. WaTT Main'!#REF!</f>
        <v>#REF!</v>
      </c>
      <c r="C831" s="3" t="e">
        <f>'III. WaTT Main'!#REF!</f>
        <v>#REF!</v>
      </c>
      <c r="D831" s="16">
        <v>1</v>
      </c>
      <c r="E831" t="e">
        <f>'III. WaTT Main'!#REF!</f>
        <v>#REF!</v>
      </c>
    </row>
    <row r="832" spans="1:5">
      <c r="A832" s="3" t="e">
        <f>'III. WaTT Main'!#REF!</f>
        <v>#REF!</v>
      </c>
      <c r="B832" s="3" t="e">
        <f>'III. WaTT Main'!#REF!</f>
        <v>#REF!</v>
      </c>
      <c r="C832" s="3" t="e">
        <f>'III. WaTT Main'!#REF!</f>
        <v>#REF!</v>
      </c>
      <c r="D832" s="16">
        <v>1</v>
      </c>
      <c r="E832" t="e">
        <f>'III. WaTT Main'!#REF!</f>
        <v>#REF!</v>
      </c>
    </row>
    <row r="833" spans="1:5">
      <c r="A833" s="3" t="e">
        <f>'III. WaTT Main'!#REF!</f>
        <v>#REF!</v>
      </c>
      <c r="B833" s="3" t="e">
        <f>'III. WaTT Main'!#REF!</f>
        <v>#REF!</v>
      </c>
      <c r="C833" s="3" t="e">
        <f>'III. WaTT Main'!#REF!</f>
        <v>#REF!</v>
      </c>
      <c r="D833" s="16">
        <v>1</v>
      </c>
      <c r="E833" t="e">
        <f>'III. WaTT Main'!#REF!</f>
        <v>#REF!</v>
      </c>
    </row>
    <row r="834" spans="1:5">
      <c r="A834" s="3" t="e">
        <f>'III. WaTT Main'!#REF!</f>
        <v>#REF!</v>
      </c>
      <c r="B834" s="3" t="e">
        <f>'III. WaTT Main'!#REF!</f>
        <v>#REF!</v>
      </c>
      <c r="C834" s="3" t="e">
        <f>'III. WaTT Main'!#REF!</f>
        <v>#REF!</v>
      </c>
      <c r="D834" s="16">
        <v>1</v>
      </c>
      <c r="E834" t="e">
        <f>'III. WaTT Main'!#REF!</f>
        <v>#REF!</v>
      </c>
    </row>
    <row r="835" spans="1:5">
      <c r="A835" s="3" t="e">
        <f>'III. WaTT Main'!#REF!</f>
        <v>#REF!</v>
      </c>
      <c r="B835" s="3" t="e">
        <f>'III. WaTT Main'!#REF!</f>
        <v>#REF!</v>
      </c>
      <c r="C835" s="3" t="e">
        <f>'III. WaTT Main'!#REF!</f>
        <v>#REF!</v>
      </c>
      <c r="D835" s="16">
        <v>1</v>
      </c>
      <c r="E835" t="e">
        <f>'III. WaTT Main'!#REF!</f>
        <v>#REF!</v>
      </c>
    </row>
    <row r="836" spans="1:5">
      <c r="A836" s="3" t="e">
        <f>'III. WaTT Main'!#REF!</f>
        <v>#REF!</v>
      </c>
      <c r="B836" s="3" t="e">
        <f>'III. WaTT Main'!#REF!</f>
        <v>#REF!</v>
      </c>
      <c r="C836" s="3" t="e">
        <f>'III. WaTT Main'!#REF!</f>
        <v>#REF!</v>
      </c>
      <c r="D836" s="16">
        <v>1</v>
      </c>
      <c r="E836" t="e">
        <f>'III. WaTT Main'!#REF!</f>
        <v>#REF!</v>
      </c>
    </row>
    <row r="837" spans="1:5">
      <c r="A837" s="3" t="e">
        <f>'III. WaTT Main'!#REF!</f>
        <v>#REF!</v>
      </c>
      <c r="B837" s="3" t="e">
        <f>'III. WaTT Main'!#REF!</f>
        <v>#REF!</v>
      </c>
      <c r="C837" s="3" t="e">
        <f>'III. WaTT Main'!#REF!</f>
        <v>#REF!</v>
      </c>
      <c r="D837" s="16">
        <v>1</v>
      </c>
      <c r="E837" t="e">
        <f>'III. WaTT Main'!#REF!</f>
        <v>#REF!</v>
      </c>
    </row>
    <row r="838" spans="1:5">
      <c r="A838" s="3" t="e">
        <f>'III. WaTT Main'!#REF!</f>
        <v>#REF!</v>
      </c>
      <c r="B838" s="3" t="e">
        <f>'III. WaTT Main'!#REF!</f>
        <v>#REF!</v>
      </c>
      <c r="C838" s="3" t="e">
        <f>'III. WaTT Main'!#REF!</f>
        <v>#REF!</v>
      </c>
      <c r="D838" s="16">
        <v>1</v>
      </c>
      <c r="E838" t="e">
        <f>'III. WaTT Main'!#REF!</f>
        <v>#REF!</v>
      </c>
    </row>
    <row r="839" spans="1:5">
      <c r="A839" s="3" t="e">
        <f>'III. WaTT Main'!#REF!</f>
        <v>#REF!</v>
      </c>
      <c r="B839" s="3" t="e">
        <f>'III. WaTT Main'!#REF!</f>
        <v>#REF!</v>
      </c>
      <c r="C839" s="3" t="e">
        <f>'III. WaTT Main'!#REF!</f>
        <v>#REF!</v>
      </c>
      <c r="D839" s="16">
        <v>1</v>
      </c>
      <c r="E839" t="e">
        <f>'III. WaTT Main'!#REF!</f>
        <v>#REF!</v>
      </c>
    </row>
    <row r="840" spans="1:5">
      <c r="A840" s="3" t="e">
        <f>'III. WaTT Main'!#REF!</f>
        <v>#REF!</v>
      </c>
      <c r="B840" s="3" t="e">
        <f>'III. WaTT Main'!#REF!</f>
        <v>#REF!</v>
      </c>
      <c r="C840" s="3" t="e">
        <f>'III. WaTT Main'!#REF!</f>
        <v>#REF!</v>
      </c>
      <c r="D840" s="16">
        <v>1</v>
      </c>
      <c r="E840" t="e">
        <f>'III. WaTT Main'!#REF!</f>
        <v>#REF!</v>
      </c>
    </row>
    <row r="841" spans="1:5">
      <c r="A841" s="3" t="e">
        <f>'III. WaTT Main'!#REF!</f>
        <v>#REF!</v>
      </c>
      <c r="B841" s="3" t="e">
        <f>'III. WaTT Main'!#REF!</f>
        <v>#REF!</v>
      </c>
      <c r="C841" s="3" t="e">
        <f>'III. WaTT Main'!#REF!</f>
        <v>#REF!</v>
      </c>
      <c r="D841" s="16">
        <v>1</v>
      </c>
      <c r="E841" t="e">
        <f>'III. WaTT Main'!#REF!</f>
        <v>#REF!</v>
      </c>
    </row>
    <row r="842" spans="1:5">
      <c r="A842" s="3" t="e">
        <f>'III. WaTT Main'!#REF!</f>
        <v>#REF!</v>
      </c>
      <c r="B842" s="3" t="e">
        <f>'III. WaTT Main'!#REF!</f>
        <v>#REF!</v>
      </c>
      <c r="C842" s="3" t="e">
        <f>'III. WaTT Main'!#REF!</f>
        <v>#REF!</v>
      </c>
      <c r="D842" s="16">
        <v>1</v>
      </c>
      <c r="E842" t="e">
        <f>'III. WaTT Main'!#REF!</f>
        <v>#REF!</v>
      </c>
    </row>
    <row r="843" spans="1:5">
      <c r="A843" s="3" t="e">
        <f>'III. WaTT Main'!#REF!</f>
        <v>#REF!</v>
      </c>
      <c r="B843" s="3" t="e">
        <f>'III. WaTT Main'!#REF!</f>
        <v>#REF!</v>
      </c>
      <c r="C843" s="3" t="e">
        <f>'III. WaTT Main'!#REF!</f>
        <v>#REF!</v>
      </c>
      <c r="D843" s="16">
        <v>1</v>
      </c>
      <c r="E843" t="e">
        <f>'III. WaTT Main'!#REF!</f>
        <v>#REF!</v>
      </c>
    </row>
    <row r="844" spans="1:5">
      <c r="A844" s="3" t="e">
        <f>'III. WaTT Main'!#REF!</f>
        <v>#REF!</v>
      </c>
      <c r="B844" s="3" t="e">
        <f>'III. WaTT Main'!#REF!</f>
        <v>#REF!</v>
      </c>
      <c r="C844" s="3" t="e">
        <f>'III. WaTT Main'!#REF!</f>
        <v>#REF!</v>
      </c>
      <c r="D844" s="16">
        <v>1</v>
      </c>
      <c r="E844" t="e">
        <f>'III. WaTT Main'!#REF!</f>
        <v>#REF!</v>
      </c>
    </row>
    <row r="845" spans="1:5">
      <c r="A845" s="3" t="e">
        <f>'III. WaTT Main'!#REF!</f>
        <v>#REF!</v>
      </c>
      <c r="B845" s="3" t="e">
        <f>'III. WaTT Main'!#REF!</f>
        <v>#REF!</v>
      </c>
      <c r="C845" s="3" t="e">
        <f>'III. WaTT Main'!#REF!</f>
        <v>#REF!</v>
      </c>
      <c r="D845" s="16">
        <v>1</v>
      </c>
      <c r="E845" t="e">
        <f>'III. WaTT Main'!#REF!</f>
        <v>#REF!</v>
      </c>
    </row>
    <row r="846" spans="1:5">
      <c r="A846" s="3" t="e">
        <f>'III. WaTT Main'!#REF!</f>
        <v>#REF!</v>
      </c>
      <c r="B846" s="3" t="e">
        <f>'III. WaTT Main'!#REF!</f>
        <v>#REF!</v>
      </c>
      <c r="C846" s="3" t="e">
        <f>'III. WaTT Main'!#REF!</f>
        <v>#REF!</v>
      </c>
      <c r="D846" s="16">
        <v>1</v>
      </c>
      <c r="E846" t="e">
        <f>'III. WaTT Main'!#REF!</f>
        <v>#REF!</v>
      </c>
    </row>
    <row r="847" spans="1:5">
      <c r="A847" s="3" t="e">
        <f>'III. WaTT Main'!#REF!</f>
        <v>#REF!</v>
      </c>
      <c r="B847" s="3" t="e">
        <f>'III. WaTT Main'!#REF!</f>
        <v>#REF!</v>
      </c>
      <c r="C847" s="3" t="e">
        <f>'III. WaTT Main'!#REF!</f>
        <v>#REF!</v>
      </c>
      <c r="D847" s="16">
        <v>1</v>
      </c>
      <c r="E847" t="e">
        <f>'III. WaTT Main'!#REF!</f>
        <v>#REF!</v>
      </c>
    </row>
    <row r="848" spans="1:5">
      <c r="A848" s="3" t="e">
        <f>'III. WaTT Main'!#REF!</f>
        <v>#REF!</v>
      </c>
      <c r="B848" s="3" t="e">
        <f>'III. WaTT Main'!#REF!</f>
        <v>#REF!</v>
      </c>
      <c r="C848" s="3" t="e">
        <f>'III. WaTT Main'!#REF!</f>
        <v>#REF!</v>
      </c>
      <c r="D848" s="16">
        <v>1</v>
      </c>
      <c r="E848" t="e">
        <f>'III. WaTT Main'!#REF!</f>
        <v>#REF!</v>
      </c>
    </row>
    <row r="849" spans="1:5">
      <c r="A849" s="3" t="e">
        <f>'III. WaTT Main'!#REF!</f>
        <v>#REF!</v>
      </c>
      <c r="B849" s="3" t="e">
        <f>'III. WaTT Main'!#REF!</f>
        <v>#REF!</v>
      </c>
      <c r="C849" s="3" t="e">
        <f>'III. WaTT Main'!#REF!</f>
        <v>#REF!</v>
      </c>
      <c r="D849" s="16">
        <v>1</v>
      </c>
      <c r="E849" t="e">
        <f>'III. WaTT Main'!#REF!</f>
        <v>#REF!</v>
      </c>
    </row>
    <row r="850" spans="1:5">
      <c r="A850" s="3" t="e">
        <f>'III. WaTT Main'!#REF!</f>
        <v>#REF!</v>
      </c>
      <c r="B850" s="3" t="e">
        <f>'III. WaTT Main'!#REF!</f>
        <v>#REF!</v>
      </c>
      <c r="C850" s="3" t="e">
        <f>'III. WaTT Main'!#REF!</f>
        <v>#REF!</v>
      </c>
      <c r="D850" s="16">
        <v>1</v>
      </c>
      <c r="E850" t="e">
        <f>'III. WaTT Main'!#REF!</f>
        <v>#REF!</v>
      </c>
    </row>
    <row r="851" spans="1:5">
      <c r="A851" s="3" t="e">
        <f>'III. WaTT Main'!#REF!</f>
        <v>#REF!</v>
      </c>
      <c r="B851" s="3" t="e">
        <f>'III. WaTT Main'!#REF!</f>
        <v>#REF!</v>
      </c>
      <c r="C851" s="3" t="e">
        <f>'III. WaTT Main'!#REF!</f>
        <v>#REF!</v>
      </c>
      <c r="D851" s="16">
        <v>1</v>
      </c>
      <c r="E851" t="e">
        <f>'III. WaTT Main'!#REF!</f>
        <v>#REF!</v>
      </c>
    </row>
    <row r="852" spans="1:5">
      <c r="A852" s="3" t="e">
        <f>'III. WaTT Main'!#REF!</f>
        <v>#REF!</v>
      </c>
      <c r="B852" s="3" t="e">
        <f>'III. WaTT Main'!#REF!</f>
        <v>#REF!</v>
      </c>
      <c r="C852" s="3" t="e">
        <f>'III. WaTT Main'!#REF!</f>
        <v>#REF!</v>
      </c>
      <c r="D852" s="16">
        <v>1</v>
      </c>
      <c r="E852" t="e">
        <f>'III. WaTT Main'!#REF!</f>
        <v>#REF!</v>
      </c>
    </row>
    <row r="853" spans="1:5">
      <c r="A853" s="3" t="e">
        <f>'III. WaTT Main'!#REF!</f>
        <v>#REF!</v>
      </c>
      <c r="B853" s="3" t="e">
        <f>'III. WaTT Main'!#REF!</f>
        <v>#REF!</v>
      </c>
      <c r="C853" s="3" t="e">
        <f>'III. WaTT Main'!#REF!</f>
        <v>#REF!</v>
      </c>
      <c r="D853" s="16">
        <v>1</v>
      </c>
      <c r="E853" t="e">
        <f>'III. WaTT Main'!#REF!</f>
        <v>#REF!</v>
      </c>
    </row>
    <row r="854" spans="1:5">
      <c r="A854" s="3" t="e">
        <f>'III. WaTT Main'!#REF!</f>
        <v>#REF!</v>
      </c>
      <c r="B854" s="3" t="e">
        <f>'III. WaTT Main'!#REF!</f>
        <v>#REF!</v>
      </c>
      <c r="C854" s="3" t="e">
        <f>'III. WaTT Main'!#REF!</f>
        <v>#REF!</v>
      </c>
      <c r="D854" s="16">
        <v>1</v>
      </c>
      <c r="E854" t="e">
        <f>'III. WaTT Main'!#REF!</f>
        <v>#REF!</v>
      </c>
    </row>
    <row r="855" spans="1:5">
      <c r="A855" s="3" t="e">
        <f>'III. WaTT Main'!#REF!</f>
        <v>#REF!</v>
      </c>
      <c r="B855" s="3" t="e">
        <f>'III. WaTT Main'!#REF!</f>
        <v>#REF!</v>
      </c>
      <c r="C855" s="3" t="e">
        <f>'III. WaTT Main'!#REF!</f>
        <v>#REF!</v>
      </c>
      <c r="D855" s="16">
        <v>1</v>
      </c>
      <c r="E855" t="e">
        <f>'III. WaTT Main'!#REF!</f>
        <v>#REF!</v>
      </c>
    </row>
    <row r="856" spans="1:5">
      <c r="A856" s="3" t="e">
        <f>'III. WaTT Main'!#REF!</f>
        <v>#REF!</v>
      </c>
      <c r="B856" s="3" t="e">
        <f>'III. WaTT Main'!#REF!</f>
        <v>#REF!</v>
      </c>
      <c r="C856" s="3" t="e">
        <f>'III. WaTT Main'!#REF!</f>
        <v>#REF!</v>
      </c>
      <c r="D856" s="16">
        <v>1</v>
      </c>
      <c r="E856" t="e">
        <f>'III. WaTT Main'!#REF!</f>
        <v>#REF!</v>
      </c>
    </row>
    <row r="857" spans="1:5">
      <c r="A857" s="3" t="e">
        <f>'III. WaTT Main'!#REF!</f>
        <v>#REF!</v>
      </c>
      <c r="B857" s="3" t="e">
        <f>'III. WaTT Main'!#REF!</f>
        <v>#REF!</v>
      </c>
      <c r="C857" s="3" t="e">
        <f>'III. WaTT Main'!#REF!</f>
        <v>#REF!</v>
      </c>
      <c r="D857" s="16">
        <v>1</v>
      </c>
      <c r="E857" t="e">
        <f>'III. WaTT Main'!#REF!</f>
        <v>#REF!</v>
      </c>
    </row>
    <row r="858" spans="1:5">
      <c r="A858" s="3" t="e">
        <f>'III. WaTT Main'!#REF!</f>
        <v>#REF!</v>
      </c>
      <c r="B858" s="3" t="e">
        <f>'III. WaTT Main'!#REF!</f>
        <v>#REF!</v>
      </c>
      <c r="C858" s="3" t="e">
        <f>'III. WaTT Main'!#REF!</f>
        <v>#REF!</v>
      </c>
      <c r="D858" s="16">
        <v>1</v>
      </c>
      <c r="E858" t="e">
        <f>'III. WaTT Main'!#REF!</f>
        <v>#REF!</v>
      </c>
    </row>
    <row r="859" spans="1:5">
      <c r="A859" s="3" t="e">
        <f>'III. WaTT Main'!#REF!</f>
        <v>#REF!</v>
      </c>
      <c r="B859" s="3" t="e">
        <f>'III. WaTT Main'!#REF!</f>
        <v>#REF!</v>
      </c>
      <c r="C859" s="3" t="e">
        <f>'III. WaTT Main'!#REF!</f>
        <v>#REF!</v>
      </c>
      <c r="D859" s="16">
        <v>1</v>
      </c>
      <c r="E859" t="e">
        <f>'III. WaTT Main'!#REF!</f>
        <v>#REF!</v>
      </c>
    </row>
    <row r="860" spans="1:5">
      <c r="A860" s="3" t="e">
        <f>'III. WaTT Main'!#REF!</f>
        <v>#REF!</v>
      </c>
      <c r="B860" s="3" t="e">
        <f>'III. WaTT Main'!#REF!</f>
        <v>#REF!</v>
      </c>
      <c r="C860" s="3" t="e">
        <f>'III. WaTT Main'!#REF!</f>
        <v>#REF!</v>
      </c>
      <c r="D860" s="16">
        <v>1</v>
      </c>
      <c r="E860" t="e">
        <f>'III. WaTT Main'!#REF!</f>
        <v>#REF!</v>
      </c>
    </row>
    <row r="861" spans="1:5">
      <c r="A861" s="3" t="e">
        <f>'III. WaTT Main'!#REF!</f>
        <v>#REF!</v>
      </c>
      <c r="B861" s="3" t="e">
        <f>'III. WaTT Main'!#REF!</f>
        <v>#REF!</v>
      </c>
      <c r="C861" s="3" t="e">
        <f>'III. WaTT Main'!#REF!</f>
        <v>#REF!</v>
      </c>
      <c r="D861" s="16">
        <v>1</v>
      </c>
      <c r="E861" t="e">
        <f>'III. WaTT Main'!#REF!</f>
        <v>#REF!</v>
      </c>
    </row>
    <row r="862" spans="1:5">
      <c r="A862" s="3" t="e">
        <f>'III. WaTT Main'!#REF!</f>
        <v>#REF!</v>
      </c>
      <c r="B862" s="3" t="e">
        <f>'III. WaTT Main'!#REF!</f>
        <v>#REF!</v>
      </c>
      <c r="C862" s="3" t="e">
        <f>'III. WaTT Main'!#REF!</f>
        <v>#REF!</v>
      </c>
      <c r="D862" s="16">
        <v>1</v>
      </c>
      <c r="E862" t="e">
        <f>'III. WaTT Main'!#REF!</f>
        <v>#REF!</v>
      </c>
    </row>
    <row r="863" spans="1:5">
      <c r="A863" s="3" t="e">
        <f>'III. WaTT Main'!#REF!</f>
        <v>#REF!</v>
      </c>
      <c r="B863" s="3" t="e">
        <f>'III. WaTT Main'!#REF!</f>
        <v>#REF!</v>
      </c>
      <c r="C863" s="3" t="e">
        <f>'III. WaTT Main'!#REF!</f>
        <v>#REF!</v>
      </c>
      <c r="D863" s="16">
        <v>1</v>
      </c>
      <c r="E863" t="e">
        <f>'III. WaTT Main'!#REF!</f>
        <v>#REF!</v>
      </c>
    </row>
    <row r="864" spans="1:5">
      <c r="A864" s="3" t="e">
        <f>'III. WaTT Main'!#REF!</f>
        <v>#REF!</v>
      </c>
      <c r="B864" s="3" t="e">
        <f>'III. WaTT Main'!#REF!</f>
        <v>#REF!</v>
      </c>
      <c r="C864" s="3" t="e">
        <f>'III. WaTT Main'!#REF!</f>
        <v>#REF!</v>
      </c>
      <c r="D864" s="16">
        <v>1</v>
      </c>
      <c r="E864" t="e">
        <f>'III. WaTT Main'!#REF!</f>
        <v>#REF!</v>
      </c>
    </row>
    <row r="865" spans="1:5">
      <c r="A865" s="3" t="e">
        <f>'III. WaTT Main'!#REF!</f>
        <v>#REF!</v>
      </c>
      <c r="B865" s="3" t="e">
        <f>'III. WaTT Main'!#REF!</f>
        <v>#REF!</v>
      </c>
      <c r="C865" s="3" t="e">
        <f>'III. WaTT Main'!#REF!</f>
        <v>#REF!</v>
      </c>
      <c r="D865" s="16">
        <v>1</v>
      </c>
      <c r="E865" t="e">
        <f>'III. WaTT Main'!#REF!</f>
        <v>#REF!</v>
      </c>
    </row>
    <row r="866" spans="1:5">
      <c r="A866" s="3" t="e">
        <f>'III. WaTT Main'!#REF!</f>
        <v>#REF!</v>
      </c>
      <c r="B866" s="3" t="e">
        <f>'III. WaTT Main'!#REF!</f>
        <v>#REF!</v>
      </c>
      <c r="C866" s="3" t="e">
        <f>'III. WaTT Main'!#REF!</f>
        <v>#REF!</v>
      </c>
      <c r="D866" s="16">
        <v>1</v>
      </c>
      <c r="E866" t="e">
        <f>'III. WaTT Main'!#REF!</f>
        <v>#REF!</v>
      </c>
    </row>
    <row r="867" spans="1:5">
      <c r="A867" s="3" t="e">
        <f>'III. WaTT Main'!#REF!</f>
        <v>#REF!</v>
      </c>
      <c r="B867" s="3" t="e">
        <f>'III. WaTT Main'!#REF!</f>
        <v>#REF!</v>
      </c>
      <c r="C867" s="3" t="e">
        <f>'III. WaTT Main'!#REF!</f>
        <v>#REF!</v>
      </c>
      <c r="D867" s="16">
        <v>1</v>
      </c>
      <c r="E867" t="e">
        <f>'III. WaTT Main'!#REF!</f>
        <v>#REF!</v>
      </c>
    </row>
    <row r="868" spans="1:5">
      <c r="A868" s="3" t="e">
        <f>'III. WaTT Main'!#REF!</f>
        <v>#REF!</v>
      </c>
      <c r="B868" s="3" t="e">
        <f>'III. WaTT Main'!#REF!</f>
        <v>#REF!</v>
      </c>
      <c r="C868" s="3" t="e">
        <f>'III. WaTT Main'!#REF!</f>
        <v>#REF!</v>
      </c>
      <c r="D868" s="16">
        <v>1</v>
      </c>
      <c r="E868" t="e">
        <f>'III. WaTT Main'!#REF!</f>
        <v>#REF!</v>
      </c>
    </row>
    <row r="869" spans="1:5">
      <c r="A869" s="3" t="e">
        <f>'III. WaTT Main'!#REF!</f>
        <v>#REF!</v>
      </c>
      <c r="B869" s="3" t="e">
        <f>'III. WaTT Main'!#REF!</f>
        <v>#REF!</v>
      </c>
      <c r="C869" s="3" t="e">
        <f>'III. WaTT Main'!#REF!</f>
        <v>#REF!</v>
      </c>
      <c r="D869" s="16">
        <v>1</v>
      </c>
      <c r="E869" t="e">
        <f>'III. WaTT Main'!#REF!</f>
        <v>#REF!</v>
      </c>
    </row>
    <row r="870" spans="1:5">
      <c r="A870" s="3" t="e">
        <f>'III. WaTT Main'!#REF!</f>
        <v>#REF!</v>
      </c>
      <c r="B870" s="3" t="e">
        <f>'III. WaTT Main'!#REF!</f>
        <v>#REF!</v>
      </c>
      <c r="C870" s="3" t="e">
        <f>'III. WaTT Main'!#REF!</f>
        <v>#REF!</v>
      </c>
      <c r="D870" s="16">
        <v>1</v>
      </c>
      <c r="E870" t="e">
        <f>'III. WaTT Main'!#REF!</f>
        <v>#REF!</v>
      </c>
    </row>
    <row r="871" spans="1:5">
      <c r="A871" s="3" t="e">
        <f>'III. WaTT Main'!#REF!</f>
        <v>#REF!</v>
      </c>
      <c r="B871" s="3" t="e">
        <f>'III. WaTT Main'!#REF!</f>
        <v>#REF!</v>
      </c>
      <c r="C871" s="3" t="e">
        <f>'III. WaTT Main'!#REF!</f>
        <v>#REF!</v>
      </c>
      <c r="D871" s="16">
        <v>1</v>
      </c>
      <c r="E871" t="e">
        <f>'III. WaTT Main'!#REF!</f>
        <v>#REF!</v>
      </c>
    </row>
    <row r="872" spans="1:5">
      <c r="A872" s="3" t="e">
        <f>'III. WaTT Main'!#REF!</f>
        <v>#REF!</v>
      </c>
      <c r="B872" s="3" t="e">
        <f>'III. WaTT Main'!#REF!</f>
        <v>#REF!</v>
      </c>
      <c r="C872" s="3" t="e">
        <f>'III. WaTT Main'!#REF!</f>
        <v>#REF!</v>
      </c>
      <c r="D872" s="16">
        <v>1</v>
      </c>
      <c r="E872" t="e">
        <f>'III. WaTT Main'!#REF!</f>
        <v>#REF!</v>
      </c>
    </row>
    <row r="873" spans="1:5">
      <c r="A873" s="3" t="e">
        <f>'III. WaTT Main'!#REF!</f>
        <v>#REF!</v>
      </c>
      <c r="B873" s="3" t="e">
        <f>'III. WaTT Main'!#REF!</f>
        <v>#REF!</v>
      </c>
      <c r="C873" s="3" t="e">
        <f>'III. WaTT Main'!#REF!</f>
        <v>#REF!</v>
      </c>
      <c r="D873" s="16">
        <v>1</v>
      </c>
      <c r="E873" t="e">
        <f>'III. WaTT Main'!#REF!</f>
        <v>#REF!</v>
      </c>
    </row>
    <row r="874" spans="1:5">
      <c r="A874" s="3" t="e">
        <f>'III. WaTT Main'!#REF!</f>
        <v>#REF!</v>
      </c>
      <c r="B874" s="3" t="e">
        <f>'III. WaTT Main'!#REF!</f>
        <v>#REF!</v>
      </c>
      <c r="C874" s="3" t="e">
        <f>'III. WaTT Main'!#REF!</f>
        <v>#REF!</v>
      </c>
      <c r="D874" s="16">
        <v>1</v>
      </c>
      <c r="E874" t="e">
        <f>'III. WaTT Main'!#REF!</f>
        <v>#REF!</v>
      </c>
    </row>
    <row r="875" spans="1:5">
      <c r="A875" s="3" t="e">
        <f>'III. WaTT Main'!#REF!</f>
        <v>#REF!</v>
      </c>
      <c r="B875" s="3" t="e">
        <f>'III. WaTT Main'!#REF!</f>
        <v>#REF!</v>
      </c>
      <c r="C875" s="3" t="e">
        <f>'III. WaTT Main'!#REF!</f>
        <v>#REF!</v>
      </c>
      <c r="D875" s="16">
        <v>1</v>
      </c>
      <c r="E875" t="e">
        <f>'III. WaTT Main'!#REF!</f>
        <v>#REF!</v>
      </c>
    </row>
    <row r="876" spans="1:5">
      <c r="A876" s="3" t="e">
        <f>'III. WaTT Main'!#REF!</f>
        <v>#REF!</v>
      </c>
      <c r="B876" s="3" t="e">
        <f>'III. WaTT Main'!#REF!</f>
        <v>#REF!</v>
      </c>
      <c r="C876" s="3" t="e">
        <f>'III. WaTT Main'!#REF!</f>
        <v>#REF!</v>
      </c>
      <c r="D876" s="16">
        <v>1</v>
      </c>
      <c r="E876" t="e">
        <f>'III. WaTT Main'!#REF!</f>
        <v>#REF!</v>
      </c>
    </row>
    <row r="877" spans="1:5">
      <c r="A877" s="3" t="e">
        <f>'III. WaTT Main'!#REF!</f>
        <v>#REF!</v>
      </c>
      <c r="B877" s="3" t="e">
        <f>'III. WaTT Main'!#REF!</f>
        <v>#REF!</v>
      </c>
      <c r="C877" s="3" t="e">
        <f>'III. WaTT Main'!#REF!</f>
        <v>#REF!</v>
      </c>
      <c r="D877" s="16">
        <v>1</v>
      </c>
      <c r="E877" t="e">
        <f>'III. WaTT Main'!#REF!</f>
        <v>#REF!</v>
      </c>
    </row>
    <row r="878" spans="1:5">
      <c r="A878" s="3" t="e">
        <f>'III. WaTT Main'!#REF!</f>
        <v>#REF!</v>
      </c>
      <c r="B878" s="3" t="e">
        <f>'III. WaTT Main'!#REF!</f>
        <v>#REF!</v>
      </c>
      <c r="C878" s="3" t="e">
        <f>'III. WaTT Main'!#REF!</f>
        <v>#REF!</v>
      </c>
      <c r="D878" s="16">
        <v>1</v>
      </c>
      <c r="E878" t="e">
        <f>'III. WaTT Main'!#REF!</f>
        <v>#REF!</v>
      </c>
    </row>
    <row r="879" spans="1:5">
      <c r="A879" s="3" t="e">
        <f>'III. WaTT Main'!#REF!</f>
        <v>#REF!</v>
      </c>
      <c r="B879" s="3" t="e">
        <f>'III. WaTT Main'!#REF!</f>
        <v>#REF!</v>
      </c>
      <c r="C879" s="3" t="e">
        <f>'III. WaTT Main'!#REF!</f>
        <v>#REF!</v>
      </c>
      <c r="D879" s="16">
        <v>1</v>
      </c>
      <c r="E879" t="e">
        <f>'III. WaTT Main'!#REF!</f>
        <v>#REF!</v>
      </c>
    </row>
    <row r="880" spans="1:5">
      <c r="A880" s="3" t="e">
        <f>'III. WaTT Main'!#REF!</f>
        <v>#REF!</v>
      </c>
      <c r="B880" s="3" t="e">
        <f>'III. WaTT Main'!#REF!</f>
        <v>#REF!</v>
      </c>
      <c r="C880" s="3" t="e">
        <f>'III. WaTT Main'!#REF!</f>
        <v>#REF!</v>
      </c>
      <c r="D880" s="16">
        <v>1</v>
      </c>
      <c r="E880" t="e">
        <f>'III. WaTT Main'!#REF!</f>
        <v>#REF!</v>
      </c>
    </row>
    <row r="881" spans="1:5">
      <c r="A881" s="3" t="e">
        <f>'III. WaTT Main'!#REF!</f>
        <v>#REF!</v>
      </c>
      <c r="B881" s="3" t="e">
        <f>'III. WaTT Main'!#REF!</f>
        <v>#REF!</v>
      </c>
      <c r="C881" s="3" t="e">
        <f>'III. WaTT Main'!#REF!</f>
        <v>#REF!</v>
      </c>
      <c r="D881" s="16">
        <v>1</v>
      </c>
      <c r="E881" t="e">
        <f>'III. WaTT Main'!#REF!</f>
        <v>#REF!</v>
      </c>
    </row>
    <row r="882" spans="1:5">
      <c r="A882" s="3" t="e">
        <f>'III. WaTT Main'!#REF!</f>
        <v>#REF!</v>
      </c>
      <c r="B882" s="3" t="e">
        <f>'III. WaTT Main'!#REF!</f>
        <v>#REF!</v>
      </c>
      <c r="C882" s="3" t="e">
        <f>'III. WaTT Main'!#REF!</f>
        <v>#REF!</v>
      </c>
      <c r="D882" s="16">
        <v>1</v>
      </c>
      <c r="E882" t="e">
        <f>'III. WaTT Main'!#REF!</f>
        <v>#REF!</v>
      </c>
    </row>
    <row r="883" spans="1:5">
      <c r="A883" s="3" t="e">
        <f>'III. WaTT Main'!#REF!</f>
        <v>#REF!</v>
      </c>
      <c r="B883" s="3" t="e">
        <f>'III. WaTT Main'!#REF!</f>
        <v>#REF!</v>
      </c>
      <c r="C883" s="3" t="e">
        <f>'III. WaTT Main'!#REF!</f>
        <v>#REF!</v>
      </c>
      <c r="D883" s="16">
        <v>1</v>
      </c>
      <c r="E883" t="e">
        <f>'III. WaTT Main'!#REF!</f>
        <v>#REF!</v>
      </c>
    </row>
    <row r="884" spans="1:5">
      <c r="A884" s="3" t="e">
        <f>'III. WaTT Main'!#REF!</f>
        <v>#REF!</v>
      </c>
      <c r="B884" s="3" t="e">
        <f>'III. WaTT Main'!#REF!</f>
        <v>#REF!</v>
      </c>
      <c r="C884" s="3" t="e">
        <f>'III. WaTT Main'!#REF!</f>
        <v>#REF!</v>
      </c>
      <c r="D884" s="16">
        <v>1</v>
      </c>
      <c r="E884" t="e">
        <f>'III. WaTT Main'!#REF!</f>
        <v>#REF!</v>
      </c>
    </row>
    <row r="885" spans="1:5">
      <c r="A885" s="3" t="e">
        <f>'III. WaTT Main'!#REF!</f>
        <v>#REF!</v>
      </c>
      <c r="B885" s="3" t="e">
        <f>'III. WaTT Main'!#REF!</f>
        <v>#REF!</v>
      </c>
      <c r="C885" s="3" t="e">
        <f>'III. WaTT Main'!#REF!</f>
        <v>#REF!</v>
      </c>
      <c r="D885" s="16">
        <v>1</v>
      </c>
      <c r="E885" t="e">
        <f>'III. WaTT Main'!#REF!</f>
        <v>#REF!</v>
      </c>
    </row>
    <row r="886" spans="1:5">
      <c r="A886" s="3" t="e">
        <f>'III. WaTT Main'!#REF!</f>
        <v>#REF!</v>
      </c>
      <c r="B886" s="3" t="e">
        <f>'III. WaTT Main'!#REF!</f>
        <v>#REF!</v>
      </c>
      <c r="C886" s="3" t="e">
        <f>'III. WaTT Main'!#REF!</f>
        <v>#REF!</v>
      </c>
      <c r="D886" s="16">
        <v>1</v>
      </c>
      <c r="E886" t="e">
        <f>'III. WaTT Main'!#REF!</f>
        <v>#REF!</v>
      </c>
    </row>
    <row r="887" spans="1:5">
      <c r="A887" s="3" t="e">
        <f>'III. WaTT Main'!#REF!</f>
        <v>#REF!</v>
      </c>
      <c r="B887" s="3" t="e">
        <f>'III. WaTT Main'!#REF!</f>
        <v>#REF!</v>
      </c>
      <c r="C887" s="3" t="e">
        <f>'III. WaTT Main'!#REF!</f>
        <v>#REF!</v>
      </c>
      <c r="D887" s="16">
        <v>1</v>
      </c>
      <c r="E887" t="e">
        <f>'III. WaTT Main'!#REF!</f>
        <v>#REF!</v>
      </c>
    </row>
    <row r="888" spans="1:5">
      <c r="A888" s="3" t="e">
        <f>'III. WaTT Main'!#REF!</f>
        <v>#REF!</v>
      </c>
      <c r="B888" s="3" t="e">
        <f>'III. WaTT Main'!#REF!</f>
        <v>#REF!</v>
      </c>
      <c r="C888" s="3" t="e">
        <f>'III. WaTT Main'!#REF!</f>
        <v>#REF!</v>
      </c>
      <c r="D888" s="16">
        <v>1</v>
      </c>
      <c r="E888" t="e">
        <f>'III. WaTT Main'!#REF!</f>
        <v>#REF!</v>
      </c>
    </row>
    <row r="889" spans="1:5">
      <c r="A889" s="3" t="e">
        <f>'III. WaTT Main'!#REF!</f>
        <v>#REF!</v>
      </c>
      <c r="B889" s="3" t="e">
        <f>'III. WaTT Main'!#REF!</f>
        <v>#REF!</v>
      </c>
      <c r="C889" s="3" t="e">
        <f>'III. WaTT Main'!#REF!</f>
        <v>#REF!</v>
      </c>
      <c r="D889" s="16">
        <v>1</v>
      </c>
      <c r="E889" t="e">
        <f>'III. WaTT Main'!#REF!</f>
        <v>#REF!</v>
      </c>
    </row>
    <row r="890" spans="1:5">
      <c r="A890" s="3" t="e">
        <f>'III. WaTT Main'!#REF!</f>
        <v>#REF!</v>
      </c>
      <c r="B890" s="3" t="e">
        <f>'III. WaTT Main'!#REF!</f>
        <v>#REF!</v>
      </c>
      <c r="C890" s="3" t="e">
        <f>'III. WaTT Main'!#REF!</f>
        <v>#REF!</v>
      </c>
      <c r="D890" s="16">
        <v>1</v>
      </c>
      <c r="E890" t="e">
        <f>'III. WaTT Main'!#REF!</f>
        <v>#REF!</v>
      </c>
    </row>
    <row r="891" spans="1:5">
      <c r="A891" s="3" t="e">
        <f>'III. WaTT Main'!#REF!</f>
        <v>#REF!</v>
      </c>
      <c r="B891" s="3" t="e">
        <f>'III. WaTT Main'!#REF!</f>
        <v>#REF!</v>
      </c>
      <c r="C891" s="3" t="e">
        <f>'III. WaTT Main'!#REF!</f>
        <v>#REF!</v>
      </c>
      <c r="D891" s="16">
        <v>1</v>
      </c>
      <c r="E891" t="e">
        <f>'III. WaTT Main'!#REF!</f>
        <v>#REF!</v>
      </c>
    </row>
    <row r="892" spans="1:5">
      <c r="A892" s="3" t="e">
        <f>'III. WaTT Main'!#REF!</f>
        <v>#REF!</v>
      </c>
      <c r="B892" s="3" t="e">
        <f>'III. WaTT Main'!#REF!</f>
        <v>#REF!</v>
      </c>
      <c r="C892" s="3" t="e">
        <f>'III. WaTT Main'!#REF!</f>
        <v>#REF!</v>
      </c>
      <c r="D892" s="16">
        <v>1</v>
      </c>
      <c r="E892" t="e">
        <f>'III. WaTT Main'!#REF!</f>
        <v>#REF!</v>
      </c>
    </row>
    <row r="893" spans="1:5">
      <c r="A893" s="3" t="e">
        <f>'III. WaTT Main'!#REF!</f>
        <v>#REF!</v>
      </c>
      <c r="B893" s="3" t="e">
        <f>'III. WaTT Main'!#REF!</f>
        <v>#REF!</v>
      </c>
      <c r="C893" s="3" t="e">
        <f>'III. WaTT Main'!#REF!</f>
        <v>#REF!</v>
      </c>
      <c r="D893" s="16">
        <v>1</v>
      </c>
      <c r="E893" t="e">
        <f>'III. WaTT Main'!#REF!</f>
        <v>#REF!</v>
      </c>
    </row>
    <row r="894" spans="1:5">
      <c r="A894" s="3" t="e">
        <f>'III. WaTT Main'!#REF!</f>
        <v>#REF!</v>
      </c>
      <c r="B894" s="3" t="e">
        <f>'III. WaTT Main'!#REF!</f>
        <v>#REF!</v>
      </c>
      <c r="C894" s="3" t="e">
        <f>'III. WaTT Main'!#REF!</f>
        <v>#REF!</v>
      </c>
      <c r="D894" s="16">
        <v>1</v>
      </c>
      <c r="E894" t="e">
        <f>'III. WaTT Main'!#REF!</f>
        <v>#REF!</v>
      </c>
    </row>
    <row r="895" spans="1:5">
      <c r="A895" s="3" t="e">
        <f>'III. WaTT Main'!#REF!</f>
        <v>#REF!</v>
      </c>
      <c r="B895" s="3" t="e">
        <f>'III. WaTT Main'!#REF!</f>
        <v>#REF!</v>
      </c>
      <c r="C895" s="3" t="e">
        <f>'III. WaTT Main'!#REF!</f>
        <v>#REF!</v>
      </c>
      <c r="D895" s="16">
        <v>1</v>
      </c>
      <c r="E895" t="e">
        <f>'III. WaTT Main'!#REF!</f>
        <v>#REF!</v>
      </c>
    </row>
    <row r="896" spans="1:5">
      <c r="A896" s="3" t="e">
        <f>'III. WaTT Main'!#REF!</f>
        <v>#REF!</v>
      </c>
      <c r="B896" s="3" t="e">
        <f>'III. WaTT Main'!#REF!</f>
        <v>#REF!</v>
      </c>
      <c r="C896" s="3" t="e">
        <f>'III. WaTT Main'!#REF!</f>
        <v>#REF!</v>
      </c>
      <c r="D896" s="16">
        <v>1</v>
      </c>
      <c r="E896" t="e">
        <f>'III. WaTT Main'!#REF!</f>
        <v>#REF!</v>
      </c>
    </row>
    <row r="897" spans="1:5">
      <c r="A897" s="3" t="e">
        <f>'III. WaTT Main'!#REF!</f>
        <v>#REF!</v>
      </c>
      <c r="B897" s="3" t="e">
        <f>'III. WaTT Main'!#REF!</f>
        <v>#REF!</v>
      </c>
      <c r="C897" s="3" t="e">
        <f>'III. WaTT Main'!#REF!</f>
        <v>#REF!</v>
      </c>
      <c r="D897" s="16">
        <v>1</v>
      </c>
      <c r="E897" t="e">
        <f>'III. WaTT Main'!#REF!</f>
        <v>#REF!</v>
      </c>
    </row>
    <row r="898" spans="1:5">
      <c r="A898" s="3" t="e">
        <f>'III. WaTT Main'!#REF!</f>
        <v>#REF!</v>
      </c>
      <c r="B898" s="3" t="e">
        <f>'III. WaTT Main'!#REF!</f>
        <v>#REF!</v>
      </c>
      <c r="C898" s="3" t="e">
        <f>'III. WaTT Main'!#REF!</f>
        <v>#REF!</v>
      </c>
      <c r="D898" s="16">
        <v>1</v>
      </c>
      <c r="E898" t="e">
        <f>'III. WaTT Main'!#REF!</f>
        <v>#REF!</v>
      </c>
    </row>
    <row r="899" spans="1:5">
      <c r="A899" s="3" t="e">
        <f>'III. WaTT Main'!#REF!</f>
        <v>#REF!</v>
      </c>
      <c r="B899" s="3" t="e">
        <f>'III. WaTT Main'!#REF!</f>
        <v>#REF!</v>
      </c>
      <c r="C899" s="3" t="e">
        <f>'III. WaTT Main'!#REF!</f>
        <v>#REF!</v>
      </c>
      <c r="D899" s="16">
        <v>1</v>
      </c>
      <c r="E899" t="e">
        <f>'III. WaTT Main'!#REF!</f>
        <v>#REF!</v>
      </c>
    </row>
    <row r="900" spans="1:5">
      <c r="A900" s="3" t="e">
        <f>'III. WaTT Main'!#REF!</f>
        <v>#REF!</v>
      </c>
      <c r="B900" s="3" t="e">
        <f>'III. WaTT Main'!#REF!</f>
        <v>#REF!</v>
      </c>
      <c r="C900" s="3" t="e">
        <f>'III. WaTT Main'!#REF!</f>
        <v>#REF!</v>
      </c>
      <c r="D900" s="16">
        <v>1</v>
      </c>
      <c r="E900" t="e">
        <f>'III. WaTT Main'!#REF!</f>
        <v>#REF!</v>
      </c>
    </row>
    <row r="901" spans="1:5">
      <c r="A901" s="3" t="e">
        <f>'III. WaTT Main'!#REF!</f>
        <v>#REF!</v>
      </c>
      <c r="B901" s="3" t="e">
        <f>'III. WaTT Main'!#REF!</f>
        <v>#REF!</v>
      </c>
      <c r="C901" s="3" t="e">
        <f>'III. WaTT Main'!#REF!</f>
        <v>#REF!</v>
      </c>
      <c r="D901" s="16">
        <v>1</v>
      </c>
      <c r="E901" t="e">
        <f>'III. WaTT Main'!#REF!</f>
        <v>#REF!</v>
      </c>
    </row>
    <row r="902" spans="1:5">
      <c r="A902" s="3" t="e">
        <f>'III. WaTT Main'!#REF!</f>
        <v>#REF!</v>
      </c>
      <c r="B902" s="3" t="e">
        <f>'III. WaTT Main'!#REF!</f>
        <v>#REF!</v>
      </c>
      <c r="C902" s="3" t="e">
        <f>'III. WaTT Main'!#REF!</f>
        <v>#REF!</v>
      </c>
      <c r="D902" s="16">
        <v>1</v>
      </c>
      <c r="E902" t="e">
        <f>'III. WaTT Main'!#REF!</f>
        <v>#REF!</v>
      </c>
    </row>
    <row r="903" spans="1:5">
      <c r="A903" s="3" t="e">
        <f>'III. WaTT Main'!#REF!</f>
        <v>#REF!</v>
      </c>
      <c r="B903" s="3" t="e">
        <f>'III. WaTT Main'!#REF!</f>
        <v>#REF!</v>
      </c>
      <c r="C903" s="3" t="e">
        <f>'III. WaTT Main'!#REF!</f>
        <v>#REF!</v>
      </c>
      <c r="D903" s="16">
        <v>1</v>
      </c>
      <c r="E903" t="e">
        <f>'III. WaTT Main'!#REF!</f>
        <v>#REF!</v>
      </c>
    </row>
    <row r="904" spans="1:5">
      <c r="A904" s="3" t="e">
        <f>'III. WaTT Main'!#REF!</f>
        <v>#REF!</v>
      </c>
      <c r="B904" s="3" t="e">
        <f>'III. WaTT Main'!#REF!</f>
        <v>#REF!</v>
      </c>
      <c r="C904" s="3" t="e">
        <f>'III. WaTT Main'!#REF!</f>
        <v>#REF!</v>
      </c>
      <c r="D904" s="16">
        <v>1</v>
      </c>
      <c r="E904" t="e">
        <f>'III. WaTT Main'!#REF!</f>
        <v>#REF!</v>
      </c>
    </row>
    <row r="905" spans="1:5">
      <c r="A905" s="3" t="e">
        <f>'III. WaTT Main'!#REF!</f>
        <v>#REF!</v>
      </c>
      <c r="B905" s="3" t="e">
        <f>'III. WaTT Main'!#REF!</f>
        <v>#REF!</v>
      </c>
      <c r="C905" s="3" t="e">
        <f>'III. WaTT Main'!#REF!</f>
        <v>#REF!</v>
      </c>
      <c r="D905" s="16">
        <v>1</v>
      </c>
      <c r="E905" t="e">
        <f>'III. WaTT Main'!#REF!</f>
        <v>#REF!</v>
      </c>
    </row>
    <row r="906" spans="1:5">
      <c r="A906" s="3" t="e">
        <f>'III. WaTT Main'!#REF!</f>
        <v>#REF!</v>
      </c>
      <c r="B906" s="3" t="e">
        <f>'III. WaTT Main'!#REF!</f>
        <v>#REF!</v>
      </c>
      <c r="C906" s="3" t="e">
        <f>'III. WaTT Main'!#REF!</f>
        <v>#REF!</v>
      </c>
      <c r="D906" s="16">
        <v>1</v>
      </c>
      <c r="E906" t="e">
        <f>'III. WaTT Main'!#REF!</f>
        <v>#REF!</v>
      </c>
    </row>
    <row r="907" spans="1:5">
      <c r="A907" s="3" t="e">
        <f>'III. WaTT Main'!#REF!</f>
        <v>#REF!</v>
      </c>
      <c r="B907" s="3" t="e">
        <f>'III. WaTT Main'!#REF!</f>
        <v>#REF!</v>
      </c>
      <c r="C907" s="3" t="e">
        <f>'III. WaTT Main'!#REF!</f>
        <v>#REF!</v>
      </c>
      <c r="D907" s="16">
        <v>1</v>
      </c>
      <c r="E907" t="e">
        <f>'III. WaTT Main'!#REF!</f>
        <v>#REF!</v>
      </c>
    </row>
    <row r="908" spans="1:5">
      <c r="A908" s="3" t="e">
        <f>'III. WaTT Main'!#REF!</f>
        <v>#REF!</v>
      </c>
      <c r="B908" s="3" t="e">
        <f>'III. WaTT Main'!#REF!</f>
        <v>#REF!</v>
      </c>
      <c r="C908" s="3" t="e">
        <f>'III. WaTT Main'!#REF!</f>
        <v>#REF!</v>
      </c>
      <c r="D908" s="16">
        <v>1</v>
      </c>
      <c r="E908" t="e">
        <f>'III. WaTT Main'!#REF!</f>
        <v>#REF!</v>
      </c>
    </row>
    <row r="909" spans="1:5">
      <c r="A909" s="3" t="e">
        <f>'III. WaTT Main'!#REF!</f>
        <v>#REF!</v>
      </c>
      <c r="B909" s="3" t="e">
        <f>'III. WaTT Main'!#REF!</f>
        <v>#REF!</v>
      </c>
      <c r="C909" s="3" t="e">
        <f>'III. WaTT Main'!#REF!</f>
        <v>#REF!</v>
      </c>
      <c r="D909" s="16">
        <v>1</v>
      </c>
      <c r="E909" t="e">
        <f>'III. WaTT Main'!#REF!</f>
        <v>#REF!</v>
      </c>
    </row>
    <row r="910" spans="1:5">
      <c r="A910" s="3" t="e">
        <f>'III. WaTT Main'!#REF!</f>
        <v>#REF!</v>
      </c>
      <c r="B910" s="3" t="e">
        <f>'III. WaTT Main'!#REF!</f>
        <v>#REF!</v>
      </c>
      <c r="C910" s="3" t="e">
        <f>'III. WaTT Main'!#REF!</f>
        <v>#REF!</v>
      </c>
      <c r="D910" s="16">
        <v>1</v>
      </c>
      <c r="E910" t="e">
        <f>'III. WaTT Main'!#REF!</f>
        <v>#REF!</v>
      </c>
    </row>
    <row r="911" spans="1:5">
      <c r="A911" s="3" t="e">
        <f>'III. WaTT Main'!#REF!</f>
        <v>#REF!</v>
      </c>
      <c r="B911" s="3" t="e">
        <f>'III. WaTT Main'!#REF!</f>
        <v>#REF!</v>
      </c>
      <c r="C911" s="3" t="e">
        <f>'III. WaTT Main'!#REF!</f>
        <v>#REF!</v>
      </c>
      <c r="D911" s="16">
        <v>1</v>
      </c>
      <c r="E911" t="e">
        <f>'III. WaTT Main'!#REF!</f>
        <v>#REF!</v>
      </c>
    </row>
    <row r="912" spans="1:5">
      <c r="A912" s="3" t="e">
        <f>'III. WaTT Main'!#REF!</f>
        <v>#REF!</v>
      </c>
      <c r="B912" s="3" t="e">
        <f>'III. WaTT Main'!#REF!</f>
        <v>#REF!</v>
      </c>
      <c r="C912" s="3" t="e">
        <f>'III. WaTT Main'!#REF!</f>
        <v>#REF!</v>
      </c>
      <c r="D912" s="16">
        <v>1</v>
      </c>
      <c r="E912" t="e">
        <f>'III. WaTT Main'!#REF!</f>
        <v>#REF!</v>
      </c>
    </row>
    <row r="913" spans="1:5">
      <c r="A913" s="3" t="e">
        <f>'III. WaTT Main'!#REF!</f>
        <v>#REF!</v>
      </c>
      <c r="B913" s="3" t="e">
        <f>'III. WaTT Main'!#REF!</f>
        <v>#REF!</v>
      </c>
      <c r="C913" s="3" t="e">
        <f>'III. WaTT Main'!#REF!</f>
        <v>#REF!</v>
      </c>
      <c r="D913" s="16">
        <v>1</v>
      </c>
      <c r="E913" t="e">
        <f>'III. WaTT Main'!#REF!</f>
        <v>#REF!</v>
      </c>
    </row>
    <row r="914" spans="1:5">
      <c r="A914" s="3" t="e">
        <f>'III. WaTT Main'!#REF!</f>
        <v>#REF!</v>
      </c>
      <c r="B914" s="3" t="e">
        <f>'III. WaTT Main'!#REF!</f>
        <v>#REF!</v>
      </c>
      <c r="C914" s="3" t="e">
        <f>'III. WaTT Main'!#REF!</f>
        <v>#REF!</v>
      </c>
      <c r="D914" s="16">
        <v>1</v>
      </c>
      <c r="E914" t="e">
        <f>'III. WaTT Main'!#REF!</f>
        <v>#REF!</v>
      </c>
    </row>
    <row r="915" spans="1:5">
      <c r="A915" s="3" t="e">
        <f>'III. WaTT Main'!#REF!</f>
        <v>#REF!</v>
      </c>
      <c r="B915" s="3" t="e">
        <f>'III. WaTT Main'!#REF!</f>
        <v>#REF!</v>
      </c>
      <c r="C915" s="3" t="e">
        <f>'III. WaTT Main'!#REF!</f>
        <v>#REF!</v>
      </c>
      <c r="D915" s="16">
        <v>1</v>
      </c>
      <c r="E915" t="e">
        <f>'III. WaTT Main'!#REF!</f>
        <v>#REF!</v>
      </c>
    </row>
    <row r="916" spans="1:5">
      <c r="A916" s="3" t="e">
        <f>'III. WaTT Main'!#REF!</f>
        <v>#REF!</v>
      </c>
      <c r="B916" s="3" t="e">
        <f>'III. WaTT Main'!#REF!</f>
        <v>#REF!</v>
      </c>
      <c r="C916" s="3" t="e">
        <f>'III. WaTT Main'!#REF!</f>
        <v>#REF!</v>
      </c>
      <c r="D916" s="16">
        <v>1</v>
      </c>
      <c r="E916" t="e">
        <f>'III. WaTT Main'!#REF!</f>
        <v>#REF!</v>
      </c>
    </row>
    <row r="917" spans="1:5">
      <c r="A917" s="3" t="e">
        <f>'III. WaTT Main'!#REF!</f>
        <v>#REF!</v>
      </c>
      <c r="B917" s="3" t="e">
        <f>'III. WaTT Main'!#REF!</f>
        <v>#REF!</v>
      </c>
      <c r="C917" s="3" t="e">
        <f>'III. WaTT Main'!#REF!</f>
        <v>#REF!</v>
      </c>
      <c r="D917" s="16">
        <v>1</v>
      </c>
      <c r="E917" t="e">
        <f>'III. WaTT Main'!#REF!</f>
        <v>#REF!</v>
      </c>
    </row>
    <row r="918" spans="1:5">
      <c r="A918" s="3" t="e">
        <f>'III. WaTT Main'!#REF!</f>
        <v>#REF!</v>
      </c>
      <c r="B918" s="3" t="e">
        <f>'III. WaTT Main'!#REF!</f>
        <v>#REF!</v>
      </c>
      <c r="C918" s="3" t="e">
        <f>'III. WaTT Main'!#REF!</f>
        <v>#REF!</v>
      </c>
      <c r="D918" s="16">
        <v>1</v>
      </c>
      <c r="E918" t="e">
        <f>'III. WaTT Main'!#REF!</f>
        <v>#REF!</v>
      </c>
    </row>
    <row r="919" spans="1:5">
      <c r="A919" s="3" t="e">
        <f>'III. WaTT Main'!#REF!</f>
        <v>#REF!</v>
      </c>
      <c r="B919" s="3" t="e">
        <f>'III. WaTT Main'!#REF!</f>
        <v>#REF!</v>
      </c>
      <c r="C919" s="3" t="e">
        <f>'III. WaTT Main'!#REF!</f>
        <v>#REF!</v>
      </c>
      <c r="D919" s="16">
        <v>1</v>
      </c>
      <c r="E919" t="e">
        <f>'III. WaTT Main'!#REF!</f>
        <v>#REF!</v>
      </c>
    </row>
    <row r="920" spans="1:5">
      <c r="A920" s="3" t="e">
        <f>'III. WaTT Main'!#REF!</f>
        <v>#REF!</v>
      </c>
      <c r="B920" s="3" t="e">
        <f>'III. WaTT Main'!#REF!</f>
        <v>#REF!</v>
      </c>
      <c r="C920" s="3" t="e">
        <f>'III. WaTT Main'!#REF!</f>
        <v>#REF!</v>
      </c>
      <c r="D920" s="16">
        <v>1</v>
      </c>
      <c r="E920" t="e">
        <f>'III. WaTT Main'!#REF!</f>
        <v>#REF!</v>
      </c>
    </row>
    <row r="921" spans="1:5">
      <c r="A921" s="3" t="e">
        <f>'III. WaTT Main'!#REF!</f>
        <v>#REF!</v>
      </c>
      <c r="B921" s="3" t="e">
        <f>'III. WaTT Main'!#REF!</f>
        <v>#REF!</v>
      </c>
      <c r="C921" s="3" t="e">
        <f>'III. WaTT Main'!#REF!</f>
        <v>#REF!</v>
      </c>
      <c r="D921" s="16">
        <v>1</v>
      </c>
      <c r="E921" t="e">
        <f>'III. WaTT Main'!#REF!</f>
        <v>#REF!</v>
      </c>
    </row>
    <row r="922" spans="1:5">
      <c r="A922" s="3" t="e">
        <f>'III. WaTT Main'!#REF!</f>
        <v>#REF!</v>
      </c>
      <c r="B922" s="3" t="e">
        <f>'III. WaTT Main'!#REF!</f>
        <v>#REF!</v>
      </c>
      <c r="C922" s="3" t="e">
        <f>'III. WaTT Main'!#REF!</f>
        <v>#REF!</v>
      </c>
      <c r="D922" s="16">
        <v>1</v>
      </c>
      <c r="E922" t="e">
        <f>'III. WaTT Main'!#REF!</f>
        <v>#REF!</v>
      </c>
    </row>
    <row r="923" spans="1:5">
      <c r="A923" s="3" t="e">
        <f>'III. WaTT Main'!#REF!</f>
        <v>#REF!</v>
      </c>
      <c r="B923" s="3" t="e">
        <f>'III. WaTT Main'!#REF!</f>
        <v>#REF!</v>
      </c>
      <c r="C923" s="3" t="e">
        <f>'III. WaTT Main'!#REF!</f>
        <v>#REF!</v>
      </c>
      <c r="D923" s="16">
        <v>1</v>
      </c>
      <c r="E923" t="e">
        <f>'III. WaTT Main'!#REF!</f>
        <v>#REF!</v>
      </c>
    </row>
    <row r="924" spans="1:5">
      <c r="A924" s="3" t="e">
        <f>'III. WaTT Main'!#REF!</f>
        <v>#REF!</v>
      </c>
      <c r="B924" s="3" t="e">
        <f>'III. WaTT Main'!#REF!</f>
        <v>#REF!</v>
      </c>
      <c r="C924" s="3" t="e">
        <f>'III. WaTT Main'!#REF!</f>
        <v>#REF!</v>
      </c>
      <c r="D924" s="16">
        <v>1</v>
      </c>
      <c r="E924" t="e">
        <f>'III. WaTT Main'!#REF!</f>
        <v>#REF!</v>
      </c>
    </row>
    <row r="925" spans="1:5">
      <c r="A925" s="3" t="e">
        <f>'III. WaTT Main'!#REF!</f>
        <v>#REF!</v>
      </c>
      <c r="B925" s="3" t="e">
        <f>'III. WaTT Main'!#REF!</f>
        <v>#REF!</v>
      </c>
      <c r="C925" s="3" t="e">
        <f>'III. WaTT Main'!#REF!</f>
        <v>#REF!</v>
      </c>
      <c r="D925" s="16">
        <v>1</v>
      </c>
      <c r="E925" t="e">
        <f>'III. WaTT Main'!#REF!</f>
        <v>#REF!</v>
      </c>
    </row>
    <row r="926" spans="1:5">
      <c r="A926" s="3" t="e">
        <f>'III. WaTT Main'!#REF!</f>
        <v>#REF!</v>
      </c>
      <c r="B926" s="3" t="e">
        <f>'III. WaTT Main'!#REF!</f>
        <v>#REF!</v>
      </c>
      <c r="C926" s="3" t="e">
        <f>'III. WaTT Main'!#REF!</f>
        <v>#REF!</v>
      </c>
      <c r="D926" s="16">
        <v>1</v>
      </c>
      <c r="E926" t="e">
        <f>'III. WaTT Main'!#REF!</f>
        <v>#REF!</v>
      </c>
    </row>
    <row r="927" spans="1:5">
      <c r="A927" s="3" t="e">
        <f>'III. WaTT Main'!#REF!</f>
        <v>#REF!</v>
      </c>
      <c r="B927" s="3" t="e">
        <f>'III. WaTT Main'!#REF!</f>
        <v>#REF!</v>
      </c>
      <c r="C927" s="3" t="e">
        <f>'III. WaTT Main'!#REF!</f>
        <v>#REF!</v>
      </c>
      <c r="D927" s="16">
        <v>1</v>
      </c>
      <c r="E927" t="e">
        <f>'III. WaTT Main'!#REF!</f>
        <v>#REF!</v>
      </c>
    </row>
    <row r="928" spans="1:5">
      <c r="A928" s="3" t="e">
        <f>'III. WaTT Main'!#REF!</f>
        <v>#REF!</v>
      </c>
      <c r="B928" s="3" t="e">
        <f>'III. WaTT Main'!#REF!</f>
        <v>#REF!</v>
      </c>
      <c r="C928" s="3" t="e">
        <f>'III. WaTT Main'!#REF!</f>
        <v>#REF!</v>
      </c>
      <c r="D928" s="16">
        <v>1</v>
      </c>
      <c r="E928" t="e">
        <f>'III. WaTT Main'!#REF!</f>
        <v>#REF!</v>
      </c>
    </row>
    <row r="929" spans="1:5">
      <c r="A929" s="3" t="e">
        <f>'III. WaTT Main'!#REF!</f>
        <v>#REF!</v>
      </c>
      <c r="B929" s="3" t="e">
        <f>'III. WaTT Main'!#REF!</f>
        <v>#REF!</v>
      </c>
      <c r="C929" s="3" t="e">
        <f>'III. WaTT Main'!#REF!</f>
        <v>#REF!</v>
      </c>
      <c r="D929" s="16">
        <v>1</v>
      </c>
      <c r="E929" t="e">
        <f>'III. WaTT Main'!#REF!</f>
        <v>#REF!</v>
      </c>
    </row>
    <row r="930" spans="1:5">
      <c r="A930" s="3" t="e">
        <f>'III. WaTT Main'!#REF!</f>
        <v>#REF!</v>
      </c>
      <c r="B930" s="3" t="e">
        <f>'III. WaTT Main'!#REF!</f>
        <v>#REF!</v>
      </c>
      <c r="C930" s="3" t="e">
        <f>'III. WaTT Main'!#REF!</f>
        <v>#REF!</v>
      </c>
      <c r="D930" s="16">
        <v>1</v>
      </c>
      <c r="E930" t="e">
        <f>'III. WaTT Main'!#REF!</f>
        <v>#REF!</v>
      </c>
    </row>
    <row r="931" spans="1:5">
      <c r="A931" s="3" t="e">
        <f>'III. WaTT Main'!#REF!</f>
        <v>#REF!</v>
      </c>
      <c r="B931" s="3" t="e">
        <f>'III. WaTT Main'!#REF!</f>
        <v>#REF!</v>
      </c>
      <c r="C931" s="3" t="e">
        <f>'III. WaTT Main'!#REF!</f>
        <v>#REF!</v>
      </c>
      <c r="D931" s="16">
        <v>1</v>
      </c>
      <c r="E931" t="e">
        <f>'III. WaTT Main'!#REF!</f>
        <v>#REF!</v>
      </c>
    </row>
    <row r="932" spans="1:5">
      <c r="A932" s="3" t="e">
        <f>'III. WaTT Main'!#REF!</f>
        <v>#REF!</v>
      </c>
      <c r="B932" s="3" t="e">
        <f>'III. WaTT Main'!#REF!</f>
        <v>#REF!</v>
      </c>
      <c r="C932" s="3" t="e">
        <f>'III. WaTT Main'!#REF!</f>
        <v>#REF!</v>
      </c>
      <c r="D932" s="16">
        <v>1</v>
      </c>
      <c r="E932" t="e">
        <f>'III. WaTT Main'!#REF!</f>
        <v>#REF!</v>
      </c>
    </row>
    <row r="933" spans="1:5">
      <c r="A933" s="3" t="e">
        <f>'III. WaTT Main'!#REF!</f>
        <v>#REF!</v>
      </c>
      <c r="B933" s="3" t="e">
        <f>'III. WaTT Main'!#REF!</f>
        <v>#REF!</v>
      </c>
      <c r="C933" s="3" t="e">
        <f>'III. WaTT Main'!#REF!</f>
        <v>#REF!</v>
      </c>
      <c r="D933" s="16">
        <v>1</v>
      </c>
      <c r="E933" t="e">
        <f>'III. WaTT Main'!#REF!</f>
        <v>#REF!</v>
      </c>
    </row>
    <row r="934" spans="1:5">
      <c r="A934" s="3" t="e">
        <f>'III. WaTT Main'!#REF!</f>
        <v>#REF!</v>
      </c>
      <c r="B934" s="3" t="e">
        <f>'III. WaTT Main'!#REF!</f>
        <v>#REF!</v>
      </c>
      <c r="C934" s="3" t="e">
        <f>'III. WaTT Main'!#REF!</f>
        <v>#REF!</v>
      </c>
      <c r="D934" s="16">
        <v>1</v>
      </c>
      <c r="E934" t="e">
        <f>'III. WaTT Main'!#REF!</f>
        <v>#REF!</v>
      </c>
    </row>
    <row r="935" spans="1:5">
      <c r="A935" s="3" t="e">
        <f>'III. WaTT Main'!#REF!</f>
        <v>#REF!</v>
      </c>
      <c r="B935" s="3" t="e">
        <f>'III. WaTT Main'!#REF!</f>
        <v>#REF!</v>
      </c>
      <c r="C935" s="3" t="e">
        <f>'III. WaTT Main'!#REF!</f>
        <v>#REF!</v>
      </c>
      <c r="D935" s="16">
        <v>1</v>
      </c>
      <c r="E935" t="e">
        <f>'III. WaTT Main'!#REF!</f>
        <v>#REF!</v>
      </c>
    </row>
    <row r="936" spans="1:5">
      <c r="A936" s="3" t="e">
        <f>'III. WaTT Main'!#REF!</f>
        <v>#REF!</v>
      </c>
      <c r="B936" s="3" t="e">
        <f>'III. WaTT Main'!#REF!</f>
        <v>#REF!</v>
      </c>
      <c r="C936" s="3" t="e">
        <f>'III. WaTT Main'!#REF!</f>
        <v>#REF!</v>
      </c>
      <c r="D936" s="16">
        <v>1</v>
      </c>
      <c r="E936" t="e">
        <f>'III. WaTT Main'!#REF!</f>
        <v>#REF!</v>
      </c>
    </row>
    <row r="937" spans="1:5">
      <c r="A937" s="3" t="e">
        <f>'III. WaTT Main'!#REF!</f>
        <v>#REF!</v>
      </c>
      <c r="B937" s="3" t="e">
        <f>'III. WaTT Main'!#REF!</f>
        <v>#REF!</v>
      </c>
      <c r="C937" s="3" t="e">
        <f>'III. WaTT Main'!#REF!</f>
        <v>#REF!</v>
      </c>
      <c r="D937" s="16">
        <v>1</v>
      </c>
      <c r="E937" t="e">
        <f>'III. WaTT Main'!#REF!</f>
        <v>#REF!</v>
      </c>
    </row>
    <row r="938" spans="1:5">
      <c r="A938" s="3" t="e">
        <f>'III. WaTT Main'!#REF!</f>
        <v>#REF!</v>
      </c>
      <c r="B938" s="3" t="e">
        <f>'III. WaTT Main'!#REF!</f>
        <v>#REF!</v>
      </c>
      <c r="C938" s="3" t="e">
        <f>'III. WaTT Main'!#REF!</f>
        <v>#REF!</v>
      </c>
      <c r="D938" s="16">
        <v>1</v>
      </c>
      <c r="E938" t="e">
        <f>'III. WaTT Main'!#REF!</f>
        <v>#REF!</v>
      </c>
    </row>
    <row r="939" spans="1:5">
      <c r="A939" s="3" t="e">
        <f>'III. WaTT Main'!#REF!</f>
        <v>#REF!</v>
      </c>
      <c r="B939" s="3" t="e">
        <f>'III. WaTT Main'!#REF!</f>
        <v>#REF!</v>
      </c>
      <c r="C939" s="3" t="e">
        <f>'III. WaTT Main'!#REF!</f>
        <v>#REF!</v>
      </c>
      <c r="D939" s="16">
        <v>1</v>
      </c>
      <c r="E939" t="e">
        <f>'III. WaTT Main'!#REF!</f>
        <v>#REF!</v>
      </c>
    </row>
    <row r="940" spans="1:5">
      <c r="A940" s="3" t="e">
        <f>'III. WaTT Main'!#REF!</f>
        <v>#REF!</v>
      </c>
      <c r="B940" s="3" t="e">
        <f>'III. WaTT Main'!#REF!</f>
        <v>#REF!</v>
      </c>
      <c r="C940" s="3" t="e">
        <f>'III. WaTT Main'!#REF!</f>
        <v>#REF!</v>
      </c>
      <c r="D940" s="16">
        <v>1</v>
      </c>
      <c r="E940" t="e">
        <f>'III. WaTT Main'!#REF!</f>
        <v>#REF!</v>
      </c>
    </row>
    <row r="941" spans="1:5">
      <c r="A941" s="3" t="e">
        <f>'III. WaTT Main'!#REF!</f>
        <v>#REF!</v>
      </c>
      <c r="B941" s="3" t="e">
        <f>'III. WaTT Main'!#REF!</f>
        <v>#REF!</v>
      </c>
      <c r="C941" s="3" t="e">
        <f>'III. WaTT Main'!#REF!</f>
        <v>#REF!</v>
      </c>
      <c r="D941" s="16">
        <v>1</v>
      </c>
      <c r="E941" t="e">
        <f>'III. WaTT Main'!#REF!</f>
        <v>#REF!</v>
      </c>
    </row>
    <row r="942" spans="1:5">
      <c r="A942" s="3" t="e">
        <f>'III. WaTT Main'!#REF!</f>
        <v>#REF!</v>
      </c>
      <c r="B942" s="3" t="e">
        <f>'III. WaTT Main'!#REF!</f>
        <v>#REF!</v>
      </c>
      <c r="C942" s="3" t="e">
        <f>'III. WaTT Main'!#REF!</f>
        <v>#REF!</v>
      </c>
      <c r="D942" s="16">
        <v>1</v>
      </c>
      <c r="E942" t="e">
        <f>'III. WaTT Main'!#REF!</f>
        <v>#REF!</v>
      </c>
    </row>
    <row r="943" spans="1:5">
      <c r="A943" s="3" t="e">
        <f>'III. WaTT Main'!#REF!</f>
        <v>#REF!</v>
      </c>
      <c r="B943" s="3" t="e">
        <f>'III. WaTT Main'!#REF!</f>
        <v>#REF!</v>
      </c>
      <c r="C943" s="3" t="e">
        <f>'III. WaTT Main'!#REF!</f>
        <v>#REF!</v>
      </c>
      <c r="D943" s="16">
        <v>1</v>
      </c>
      <c r="E943" t="e">
        <f>'III. WaTT Main'!#REF!</f>
        <v>#REF!</v>
      </c>
    </row>
    <row r="944" spans="1:5">
      <c r="A944" s="3" t="e">
        <f>'III. WaTT Main'!#REF!</f>
        <v>#REF!</v>
      </c>
      <c r="B944" s="3" t="e">
        <f>'III. WaTT Main'!#REF!</f>
        <v>#REF!</v>
      </c>
      <c r="C944" s="3" t="e">
        <f>'III. WaTT Main'!#REF!</f>
        <v>#REF!</v>
      </c>
      <c r="D944" s="16">
        <v>1</v>
      </c>
      <c r="E944" t="e">
        <f>'III. WaTT Main'!#REF!</f>
        <v>#REF!</v>
      </c>
    </row>
    <row r="945" spans="1:5">
      <c r="A945" s="3" t="e">
        <f>'III. WaTT Main'!#REF!</f>
        <v>#REF!</v>
      </c>
      <c r="B945" s="3" t="e">
        <f>'III. WaTT Main'!#REF!</f>
        <v>#REF!</v>
      </c>
      <c r="C945" s="3" t="e">
        <f>'III. WaTT Main'!#REF!</f>
        <v>#REF!</v>
      </c>
      <c r="D945" s="16">
        <v>1</v>
      </c>
      <c r="E945" t="e">
        <f>'III. WaTT Main'!#REF!</f>
        <v>#REF!</v>
      </c>
    </row>
    <row r="946" spans="1:5">
      <c r="A946" s="3" t="e">
        <f>'III. WaTT Main'!#REF!</f>
        <v>#REF!</v>
      </c>
      <c r="B946" s="3" t="e">
        <f>'III. WaTT Main'!#REF!</f>
        <v>#REF!</v>
      </c>
      <c r="C946" s="3" t="e">
        <f>'III. WaTT Main'!#REF!</f>
        <v>#REF!</v>
      </c>
      <c r="D946" s="16">
        <v>1</v>
      </c>
      <c r="E946" t="e">
        <f>'III. WaTT Main'!#REF!</f>
        <v>#REF!</v>
      </c>
    </row>
    <row r="947" spans="1:5">
      <c r="A947" s="3" t="e">
        <f>'III. WaTT Main'!#REF!</f>
        <v>#REF!</v>
      </c>
      <c r="B947" s="3" t="e">
        <f>'III. WaTT Main'!#REF!</f>
        <v>#REF!</v>
      </c>
      <c r="C947" s="3" t="e">
        <f>'III. WaTT Main'!#REF!</f>
        <v>#REF!</v>
      </c>
      <c r="D947" s="16">
        <v>1</v>
      </c>
      <c r="E947" t="e">
        <f>'III. WaTT Main'!#REF!</f>
        <v>#REF!</v>
      </c>
    </row>
    <row r="948" spans="1:5">
      <c r="A948" s="3" t="e">
        <f>'III. WaTT Main'!#REF!</f>
        <v>#REF!</v>
      </c>
      <c r="B948" s="3" t="e">
        <f>'III. WaTT Main'!#REF!</f>
        <v>#REF!</v>
      </c>
      <c r="C948" s="3" t="e">
        <f>'III. WaTT Main'!#REF!</f>
        <v>#REF!</v>
      </c>
      <c r="D948" s="16">
        <v>1</v>
      </c>
      <c r="E948" t="e">
        <f>'III. WaTT Main'!#REF!</f>
        <v>#REF!</v>
      </c>
    </row>
    <row r="949" spans="1:5">
      <c r="A949" s="3" t="e">
        <f>'III. WaTT Main'!#REF!</f>
        <v>#REF!</v>
      </c>
      <c r="B949" s="3" t="e">
        <f>'III. WaTT Main'!#REF!</f>
        <v>#REF!</v>
      </c>
      <c r="C949" s="3" t="e">
        <f>'III. WaTT Main'!#REF!</f>
        <v>#REF!</v>
      </c>
      <c r="D949" s="16">
        <v>1</v>
      </c>
      <c r="E949" t="e">
        <f>'III. WaTT Main'!#REF!</f>
        <v>#REF!</v>
      </c>
    </row>
    <row r="950" spans="1:5">
      <c r="A950" s="3" t="e">
        <f>'III. WaTT Main'!#REF!</f>
        <v>#REF!</v>
      </c>
      <c r="B950" s="3" t="e">
        <f>'III. WaTT Main'!#REF!</f>
        <v>#REF!</v>
      </c>
      <c r="C950" s="3" t="e">
        <f>'III. WaTT Main'!#REF!</f>
        <v>#REF!</v>
      </c>
      <c r="D950" s="16">
        <v>1</v>
      </c>
      <c r="E950" t="e">
        <f>'III. WaTT Main'!#REF!</f>
        <v>#REF!</v>
      </c>
    </row>
    <row r="951" spans="1:5">
      <c r="A951" s="3" t="e">
        <f>'III. WaTT Main'!#REF!</f>
        <v>#REF!</v>
      </c>
      <c r="B951" s="3" t="e">
        <f>'III. WaTT Main'!#REF!</f>
        <v>#REF!</v>
      </c>
      <c r="C951" s="3" t="e">
        <f>'III. WaTT Main'!#REF!</f>
        <v>#REF!</v>
      </c>
      <c r="D951" s="16">
        <v>1</v>
      </c>
      <c r="E951" t="e">
        <f>'III. WaTT Main'!#REF!</f>
        <v>#REF!</v>
      </c>
    </row>
    <row r="952" spans="1:5">
      <c r="A952" s="3" t="e">
        <f>'III. WaTT Main'!#REF!</f>
        <v>#REF!</v>
      </c>
      <c r="B952" s="3" t="e">
        <f>'III. WaTT Main'!#REF!</f>
        <v>#REF!</v>
      </c>
      <c r="C952" s="3" t="e">
        <f>'III. WaTT Main'!#REF!</f>
        <v>#REF!</v>
      </c>
      <c r="D952" s="16">
        <v>1</v>
      </c>
      <c r="E952" t="e">
        <f>'III. WaTT Main'!#REF!</f>
        <v>#REF!</v>
      </c>
    </row>
    <row r="953" spans="1:5">
      <c r="A953" s="3" t="e">
        <f>'III. WaTT Main'!#REF!</f>
        <v>#REF!</v>
      </c>
      <c r="B953" s="3" t="e">
        <f>'III. WaTT Main'!#REF!</f>
        <v>#REF!</v>
      </c>
      <c r="C953" s="3" t="e">
        <f>'III. WaTT Main'!#REF!</f>
        <v>#REF!</v>
      </c>
      <c r="D953" s="16">
        <v>1</v>
      </c>
      <c r="E953" t="e">
        <f>'III. WaTT Main'!#REF!</f>
        <v>#REF!</v>
      </c>
    </row>
    <row r="954" spans="1:5">
      <c r="A954" s="3" t="e">
        <f>'III. WaTT Main'!#REF!</f>
        <v>#REF!</v>
      </c>
      <c r="B954" s="3" t="e">
        <f>'III. WaTT Main'!#REF!</f>
        <v>#REF!</v>
      </c>
      <c r="C954" s="3" t="e">
        <f>'III. WaTT Main'!#REF!</f>
        <v>#REF!</v>
      </c>
      <c r="D954" s="16">
        <v>1</v>
      </c>
      <c r="E954" t="e">
        <f>'III. WaTT Main'!#REF!</f>
        <v>#REF!</v>
      </c>
    </row>
    <row r="955" spans="1:5">
      <c r="A955" s="3" t="e">
        <f>'III. WaTT Main'!#REF!</f>
        <v>#REF!</v>
      </c>
      <c r="B955" s="3" t="e">
        <f>'III. WaTT Main'!#REF!</f>
        <v>#REF!</v>
      </c>
      <c r="C955" s="3" t="e">
        <f>'III. WaTT Main'!#REF!</f>
        <v>#REF!</v>
      </c>
      <c r="D955" s="16">
        <v>1</v>
      </c>
      <c r="E955" t="e">
        <f>'III. WaTT Main'!#REF!</f>
        <v>#REF!</v>
      </c>
    </row>
    <row r="956" spans="1:5">
      <c r="A956" s="3" t="e">
        <f>'III. WaTT Main'!#REF!</f>
        <v>#REF!</v>
      </c>
      <c r="B956" s="3" t="e">
        <f>'III. WaTT Main'!#REF!</f>
        <v>#REF!</v>
      </c>
      <c r="C956" s="3" t="e">
        <f>'III. WaTT Main'!#REF!</f>
        <v>#REF!</v>
      </c>
      <c r="D956" s="16">
        <v>1</v>
      </c>
      <c r="E956" t="e">
        <f>'III. WaTT Main'!#REF!</f>
        <v>#REF!</v>
      </c>
    </row>
    <row r="957" spans="1:5">
      <c r="A957" s="3" t="e">
        <f>'III. WaTT Main'!#REF!</f>
        <v>#REF!</v>
      </c>
      <c r="B957" s="3" t="e">
        <f>'III. WaTT Main'!#REF!</f>
        <v>#REF!</v>
      </c>
      <c r="C957" s="3" t="e">
        <f>'III. WaTT Main'!#REF!</f>
        <v>#REF!</v>
      </c>
      <c r="D957" s="16">
        <v>1</v>
      </c>
      <c r="E957" t="e">
        <f>'III. WaTT Main'!#REF!</f>
        <v>#REF!</v>
      </c>
    </row>
    <row r="958" spans="1:5">
      <c r="A958" s="3" t="e">
        <f>'III. WaTT Main'!#REF!</f>
        <v>#REF!</v>
      </c>
      <c r="B958" s="3" t="e">
        <f>'III. WaTT Main'!#REF!</f>
        <v>#REF!</v>
      </c>
      <c r="C958" s="3" t="e">
        <f>'III. WaTT Main'!#REF!</f>
        <v>#REF!</v>
      </c>
      <c r="D958" s="16">
        <v>1</v>
      </c>
      <c r="E958" t="e">
        <f>'III. WaTT Main'!#REF!</f>
        <v>#REF!</v>
      </c>
    </row>
    <row r="959" spans="1:5">
      <c r="A959" s="3" t="e">
        <f>'III. WaTT Main'!#REF!</f>
        <v>#REF!</v>
      </c>
      <c r="B959" s="3" t="e">
        <f>'III. WaTT Main'!#REF!</f>
        <v>#REF!</v>
      </c>
      <c r="C959" s="3" t="e">
        <f>'III. WaTT Main'!#REF!</f>
        <v>#REF!</v>
      </c>
      <c r="D959" s="16">
        <v>1</v>
      </c>
      <c r="E959" t="e">
        <f>'III. WaTT Main'!#REF!</f>
        <v>#REF!</v>
      </c>
    </row>
    <row r="960" spans="1:5">
      <c r="A960" s="3" t="e">
        <f>'III. WaTT Main'!#REF!</f>
        <v>#REF!</v>
      </c>
      <c r="B960" s="3" t="e">
        <f>'III. WaTT Main'!#REF!</f>
        <v>#REF!</v>
      </c>
      <c r="C960" s="3" t="e">
        <f>'III. WaTT Main'!#REF!</f>
        <v>#REF!</v>
      </c>
      <c r="D960" s="16">
        <v>1</v>
      </c>
      <c r="E960" t="e">
        <f>'III. WaTT Main'!#REF!</f>
        <v>#REF!</v>
      </c>
    </row>
    <row r="961" spans="1:5">
      <c r="A961" s="3" t="e">
        <f>'III. WaTT Main'!#REF!</f>
        <v>#REF!</v>
      </c>
      <c r="B961" s="3" t="e">
        <f>'III. WaTT Main'!#REF!</f>
        <v>#REF!</v>
      </c>
      <c r="C961" s="3" t="e">
        <f>'III. WaTT Main'!#REF!</f>
        <v>#REF!</v>
      </c>
      <c r="D961" s="16">
        <v>1</v>
      </c>
      <c r="E961" t="e">
        <f>'III. WaTT Main'!#REF!</f>
        <v>#REF!</v>
      </c>
    </row>
    <row r="962" spans="1:5">
      <c r="A962" s="3" t="e">
        <f>'III. WaTT Main'!#REF!</f>
        <v>#REF!</v>
      </c>
      <c r="B962" s="3" t="e">
        <f>'III. WaTT Main'!#REF!</f>
        <v>#REF!</v>
      </c>
      <c r="C962" s="3" t="e">
        <f>'III. WaTT Main'!#REF!</f>
        <v>#REF!</v>
      </c>
      <c r="D962" s="16">
        <v>1</v>
      </c>
      <c r="E962" t="e">
        <f>'III. WaTT Main'!#REF!</f>
        <v>#REF!</v>
      </c>
    </row>
    <row r="963" spans="1:5">
      <c r="A963" s="3" t="e">
        <f>'III. WaTT Main'!#REF!</f>
        <v>#REF!</v>
      </c>
      <c r="B963" s="3" t="e">
        <f>'III. WaTT Main'!#REF!</f>
        <v>#REF!</v>
      </c>
      <c r="C963" s="3" t="e">
        <f>'III. WaTT Main'!#REF!</f>
        <v>#REF!</v>
      </c>
      <c r="D963" s="16">
        <v>1</v>
      </c>
      <c r="E963" t="e">
        <f>'III. WaTT Main'!#REF!</f>
        <v>#REF!</v>
      </c>
    </row>
    <row r="964" spans="1:5">
      <c r="A964" s="3" t="e">
        <f>'III. WaTT Main'!#REF!</f>
        <v>#REF!</v>
      </c>
      <c r="B964" s="3" t="e">
        <f>'III. WaTT Main'!#REF!</f>
        <v>#REF!</v>
      </c>
      <c r="C964" s="3" t="e">
        <f>'III. WaTT Main'!#REF!</f>
        <v>#REF!</v>
      </c>
      <c r="D964" s="16">
        <v>1</v>
      </c>
      <c r="E964" t="e">
        <f>'III. WaTT Main'!#REF!</f>
        <v>#REF!</v>
      </c>
    </row>
    <row r="965" spans="1:5">
      <c r="A965" s="3" t="e">
        <f>'III. WaTT Main'!#REF!</f>
        <v>#REF!</v>
      </c>
      <c r="B965" s="3" t="e">
        <f>'III. WaTT Main'!#REF!</f>
        <v>#REF!</v>
      </c>
      <c r="C965" s="3" t="e">
        <f>'III. WaTT Main'!#REF!</f>
        <v>#REF!</v>
      </c>
      <c r="D965" s="16">
        <v>1</v>
      </c>
      <c r="E965" t="e">
        <f>'III. WaTT Main'!#REF!</f>
        <v>#REF!</v>
      </c>
    </row>
    <row r="966" spans="1:5">
      <c r="A966" s="3" t="e">
        <f>'III. WaTT Main'!#REF!</f>
        <v>#REF!</v>
      </c>
      <c r="B966" s="3" t="e">
        <f>'III. WaTT Main'!#REF!</f>
        <v>#REF!</v>
      </c>
      <c r="C966" s="3" t="e">
        <f>'III. WaTT Main'!#REF!</f>
        <v>#REF!</v>
      </c>
      <c r="D966" s="16">
        <v>1</v>
      </c>
      <c r="E966" t="e">
        <f>'III. WaTT Main'!#REF!</f>
        <v>#REF!</v>
      </c>
    </row>
    <row r="967" spans="1:5">
      <c r="A967" s="3" t="e">
        <f>'III. WaTT Main'!#REF!</f>
        <v>#REF!</v>
      </c>
      <c r="B967" s="3" t="e">
        <f>'III. WaTT Main'!#REF!</f>
        <v>#REF!</v>
      </c>
      <c r="C967" s="3" t="e">
        <f>'III. WaTT Main'!#REF!</f>
        <v>#REF!</v>
      </c>
      <c r="D967" s="16">
        <v>1</v>
      </c>
      <c r="E967" t="e">
        <f>'III. WaTT Main'!#REF!</f>
        <v>#REF!</v>
      </c>
    </row>
    <row r="968" spans="1:5">
      <c r="A968" s="3" t="e">
        <f>'III. WaTT Main'!#REF!</f>
        <v>#REF!</v>
      </c>
      <c r="B968" s="3" t="e">
        <f>'III. WaTT Main'!#REF!</f>
        <v>#REF!</v>
      </c>
      <c r="C968" s="3" t="e">
        <f>'III. WaTT Main'!#REF!</f>
        <v>#REF!</v>
      </c>
      <c r="D968" s="16">
        <v>1</v>
      </c>
      <c r="E968" t="e">
        <f>'III. WaTT Main'!#REF!</f>
        <v>#REF!</v>
      </c>
    </row>
    <row r="969" spans="1:5">
      <c r="A969" s="3" t="e">
        <f>'III. WaTT Main'!#REF!</f>
        <v>#REF!</v>
      </c>
      <c r="B969" s="3" t="e">
        <f>'III. WaTT Main'!#REF!</f>
        <v>#REF!</v>
      </c>
      <c r="C969" s="3" t="e">
        <f>'III. WaTT Main'!#REF!</f>
        <v>#REF!</v>
      </c>
      <c r="D969" s="16">
        <v>1</v>
      </c>
      <c r="E969" t="e">
        <f>'III. WaTT Main'!#REF!</f>
        <v>#REF!</v>
      </c>
    </row>
    <row r="970" spans="1:5">
      <c r="A970" s="3" t="e">
        <f>'III. WaTT Main'!#REF!</f>
        <v>#REF!</v>
      </c>
      <c r="B970" s="3" t="e">
        <f>'III. WaTT Main'!#REF!</f>
        <v>#REF!</v>
      </c>
      <c r="C970" s="3" t="e">
        <f>'III. WaTT Main'!#REF!</f>
        <v>#REF!</v>
      </c>
      <c r="D970" s="16">
        <v>1</v>
      </c>
      <c r="E970" t="e">
        <f>'III. WaTT Main'!#REF!</f>
        <v>#REF!</v>
      </c>
    </row>
    <row r="971" spans="1:5">
      <c r="A971" s="3" t="e">
        <f>'III. WaTT Main'!#REF!</f>
        <v>#REF!</v>
      </c>
      <c r="B971" s="3" t="e">
        <f>'III. WaTT Main'!#REF!</f>
        <v>#REF!</v>
      </c>
      <c r="C971" s="3" t="e">
        <f>'III. WaTT Main'!#REF!</f>
        <v>#REF!</v>
      </c>
      <c r="D971" s="16">
        <v>1</v>
      </c>
      <c r="E971" t="e">
        <f>'III. WaTT Main'!#REF!</f>
        <v>#REF!</v>
      </c>
    </row>
    <row r="972" spans="1:5">
      <c r="A972" s="3" t="e">
        <f>'III. WaTT Main'!#REF!</f>
        <v>#REF!</v>
      </c>
      <c r="B972" s="3" t="e">
        <f>'III. WaTT Main'!#REF!</f>
        <v>#REF!</v>
      </c>
      <c r="C972" s="3" t="e">
        <f>'III. WaTT Main'!#REF!</f>
        <v>#REF!</v>
      </c>
      <c r="D972" s="16">
        <v>1</v>
      </c>
      <c r="E972" t="e">
        <f>'III. WaTT Main'!#REF!</f>
        <v>#REF!</v>
      </c>
    </row>
    <row r="973" spans="1:5">
      <c r="A973" s="3" t="e">
        <f>'III. WaTT Main'!#REF!</f>
        <v>#REF!</v>
      </c>
      <c r="B973" s="3" t="e">
        <f>'III. WaTT Main'!#REF!</f>
        <v>#REF!</v>
      </c>
      <c r="C973" s="3" t="e">
        <f>'III. WaTT Main'!#REF!</f>
        <v>#REF!</v>
      </c>
      <c r="D973" s="16">
        <v>1</v>
      </c>
      <c r="E973" t="e">
        <f>'III. WaTT Main'!#REF!</f>
        <v>#REF!</v>
      </c>
    </row>
    <row r="974" spans="1:5">
      <c r="A974" s="3" t="e">
        <f>'III. WaTT Main'!#REF!</f>
        <v>#REF!</v>
      </c>
      <c r="B974" s="3" t="e">
        <f>'III. WaTT Main'!#REF!</f>
        <v>#REF!</v>
      </c>
      <c r="C974" s="3" t="e">
        <f>'III. WaTT Main'!#REF!</f>
        <v>#REF!</v>
      </c>
      <c r="D974" s="16">
        <v>1</v>
      </c>
      <c r="E974" t="e">
        <f>'III. WaTT Main'!#REF!</f>
        <v>#REF!</v>
      </c>
    </row>
    <row r="975" spans="1:5">
      <c r="A975" s="3" t="e">
        <f>'III. WaTT Main'!#REF!</f>
        <v>#REF!</v>
      </c>
      <c r="B975" s="3" t="e">
        <f>'III. WaTT Main'!#REF!</f>
        <v>#REF!</v>
      </c>
      <c r="C975" s="3" t="e">
        <f>'III. WaTT Main'!#REF!</f>
        <v>#REF!</v>
      </c>
      <c r="D975" s="16">
        <v>1</v>
      </c>
      <c r="E975" t="e">
        <f>'III. WaTT Main'!#REF!</f>
        <v>#REF!</v>
      </c>
    </row>
    <row r="976" spans="1:5">
      <c r="A976" s="3" t="e">
        <f>'III. WaTT Main'!#REF!</f>
        <v>#REF!</v>
      </c>
      <c r="B976" s="3" t="e">
        <f>'III. WaTT Main'!#REF!</f>
        <v>#REF!</v>
      </c>
      <c r="C976" s="3" t="e">
        <f>'III. WaTT Main'!#REF!</f>
        <v>#REF!</v>
      </c>
      <c r="D976" s="16">
        <v>1</v>
      </c>
      <c r="E976" t="e">
        <f>'III. WaTT Main'!#REF!</f>
        <v>#REF!</v>
      </c>
    </row>
    <row r="977" spans="1:5">
      <c r="A977" s="3" t="e">
        <f>'III. WaTT Main'!#REF!</f>
        <v>#REF!</v>
      </c>
      <c r="B977" s="3" t="e">
        <f>'III. WaTT Main'!#REF!</f>
        <v>#REF!</v>
      </c>
      <c r="C977" s="3" t="e">
        <f>'III. WaTT Main'!#REF!</f>
        <v>#REF!</v>
      </c>
      <c r="D977" s="16">
        <v>1</v>
      </c>
      <c r="E977" t="e">
        <f>'III. WaTT Main'!#REF!</f>
        <v>#REF!</v>
      </c>
    </row>
    <row r="978" spans="1:5">
      <c r="A978" s="3" t="e">
        <f>'III. WaTT Main'!#REF!</f>
        <v>#REF!</v>
      </c>
      <c r="B978" s="3" t="e">
        <f>'III. WaTT Main'!#REF!</f>
        <v>#REF!</v>
      </c>
      <c r="C978" s="3" t="e">
        <f>'III. WaTT Main'!#REF!</f>
        <v>#REF!</v>
      </c>
      <c r="D978" s="16">
        <v>1</v>
      </c>
      <c r="E978" t="e">
        <f>'III. WaTT Main'!#REF!</f>
        <v>#REF!</v>
      </c>
    </row>
    <row r="979" spans="1:5">
      <c r="A979" s="3" t="e">
        <f>'III. WaTT Main'!#REF!</f>
        <v>#REF!</v>
      </c>
      <c r="B979" s="3" t="e">
        <f>'III. WaTT Main'!#REF!</f>
        <v>#REF!</v>
      </c>
      <c r="C979" s="3" t="e">
        <f>'III. WaTT Main'!#REF!</f>
        <v>#REF!</v>
      </c>
      <c r="D979" s="16">
        <v>1</v>
      </c>
      <c r="E979" t="e">
        <f>'III. WaTT Main'!#REF!</f>
        <v>#REF!</v>
      </c>
    </row>
    <row r="980" spans="1:5">
      <c r="A980" s="3" t="e">
        <f>'III. WaTT Main'!#REF!</f>
        <v>#REF!</v>
      </c>
      <c r="B980" s="3" t="e">
        <f>'III. WaTT Main'!#REF!</f>
        <v>#REF!</v>
      </c>
      <c r="C980" s="3" t="e">
        <f>'III. WaTT Main'!#REF!</f>
        <v>#REF!</v>
      </c>
      <c r="D980" s="16">
        <v>1</v>
      </c>
      <c r="E980" t="e">
        <f>'III. WaTT Main'!#REF!</f>
        <v>#REF!</v>
      </c>
    </row>
    <row r="981" spans="1:5">
      <c r="A981" s="3" t="e">
        <f>'III. WaTT Main'!#REF!</f>
        <v>#REF!</v>
      </c>
      <c r="B981" s="3" t="e">
        <f>'III. WaTT Main'!#REF!</f>
        <v>#REF!</v>
      </c>
      <c r="C981" s="3" t="e">
        <f>'III. WaTT Main'!#REF!</f>
        <v>#REF!</v>
      </c>
      <c r="D981" s="16">
        <v>1</v>
      </c>
      <c r="E981" t="e">
        <f>'III. WaTT Main'!#REF!</f>
        <v>#REF!</v>
      </c>
    </row>
    <row r="982" spans="1:5">
      <c r="A982" s="3" t="e">
        <f>'III. WaTT Main'!#REF!</f>
        <v>#REF!</v>
      </c>
      <c r="B982" s="3" t="e">
        <f>'III. WaTT Main'!#REF!</f>
        <v>#REF!</v>
      </c>
      <c r="C982" s="3" t="e">
        <f>'III. WaTT Main'!#REF!</f>
        <v>#REF!</v>
      </c>
      <c r="D982" s="16">
        <v>1</v>
      </c>
      <c r="E982" t="e">
        <f>'III. WaTT Main'!#REF!</f>
        <v>#REF!</v>
      </c>
    </row>
    <row r="983" spans="1:5">
      <c r="A983" s="3" t="e">
        <f>'III. WaTT Main'!#REF!</f>
        <v>#REF!</v>
      </c>
      <c r="B983" s="3" t="e">
        <f>'III. WaTT Main'!#REF!</f>
        <v>#REF!</v>
      </c>
      <c r="C983" s="3" t="e">
        <f>'III. WaTT Main'!#REF!</f>
        <v>#REF!</v>
      </c>
      <c r="D983" s="16">
        <v>1</v>
      </c>
      <c r="E983" t="e">
        <f>'III. WaTT Main'!#REF!</f>
        <v>#REF!</v>
      </c>
    </row>
    <row r="984" spans="1:5">
      <c r="A984" s="3" t="e">
        <f>'III. WaTT Main'!#REF!</f>
        <v>#REF!</v>
      </c>
      <c r="B984" s="3" t="e">
        <f>'III. WaTT Main'!#REF!</f>
        <v>#REF!</v>
      </c>
      <c r="C984" s="3" t="e">
        <f>'III. WaTT Main'!#REF!</f>
        <v>#REF!</v>
      </c>
      <c r="D984" s="16">
        <v>1</v>
      </c>
      <c r="E984" t="e">
        <f>'III. WaTT Main'!#REF!</f>
        <v>#REF!</v>
      </c>
    </row>
    <row r="985" spans="1:5">
      <c r="A985" s="3" t="e">
        <f>'III. WaTT Main'!#REF!</f>
        <v>#REF!</v>
      </c>
      <c r="B985" s="3" t="e">
        <f>'III. WaTT Main'!#REF!</f>
        <v>#REF!</v>
      </c>
      <c r="C985" s="3" t="e">
        <f>'III. WaTT Main'!#REF!</f>
        <v>#REF!</v>
      </c>
      <c r="D985" s="16">
        <v>1</v>
      </c>
      <c r="E985" t="e">
        <f>'III. WaTT Main'!#REF!</f>
        <v>#REF!</v>
      </c>
    </row>
    <row r="986" spans="1:5">
      <c r="A986" s="3" t="e">
        <f>'III. WaTT Main'!#REF!</f>
        <v>#REF!</v>
      </c>
      <c r="B986" s="3" t="e">
        <f>'III. WaTT Main'!#REF!</f>
        <v>#REF!</v>
      </c>
      <c r="C986" s="3" t="e">
        <f>'III. WaTT Main'!#REF!</f>
        <v>#REF!</v>
      </c>
      <c r="D986" s="16">
        <v>1</v>
      </c>
      <c r="E986" t="e">
        <f>'III. WaTT Main'!#REF!</f>
        <v>#REF!</v>
      </c>
    </row>
    <row r="987" spans="1:5">
      <c r="A987" s="3" t="e">
        <f>'III. WaTT Main'!#REF!</f>
        <v>#REF!</v>
      </c>
      <c r="B987" s="3" t="e">
        <f>'III. WaTT Main'!#REF!</f>
        <v>#REF!</v>
      </c>
      <c r="C987" s="3" t="e">
        <f>'III. WaTT Main'!#REF!</f>
        <v>#REF!</v>
      </c>
      <c r="D987" s="16">
        <v>1</v>
      </c>
      <c r="E987" t="e">
        <f>'III. WaTT Main'!#REF!</f>
        <v>#REF!</v>
      </c>
    </row>
    <row r="988" spans="1:5">
      <c r="A988" s="3" t="e">
        <f>'III. WaTT Main'!#REF!</f>
        <v>#REF!</v>
      </c>
      <c r="B988" s="3" t="e">
        <f>'III. WaTT Main'!#REF!</f>
        <v>#REF!</v>
      </c>
      <c r="C988" s="3" t="e">
        <f>'III. WaTT Main'!#REF!</f>
        <v>#REF!</v>
      </c>
      <c r="D988" s="16">
        <v>1</v>
      </c>
      <c r="E988" t="e">
        <f>'III. WaTT Main'!#REF!</f>
        <v>#REF!</v>
      </c>
    </row>
    <row r="989" spans="1:5">
      <c r="A989" s="3" t="e">
        <f>'III. WaTT Main'!#REF!</f>
        <v>#REF!</v>
      </c>
      <c r="B989" s="3" t="e">
        <f>'III. WaTT Main'!#REF!</f>
        <v>#REF!</v>
      </c>
      <c r="C989" s="3" t="e">
        <f>'III. WaTT Main'!#REF!</f>
        <v>#REF!</v>
      </c>
      <c r="D989" s="16">
        <v>1</v>
      </c>
      <c r="E989" t="e">
        <f>'III. WaTT Main'!#REF!</f>
        <v>#REF!</v>
      </c>
    </row>
    <row r="990" spans="1:5">
      <c r="A990" s="3" t="e">
        <f>'III. WaTT Main'!#REF!</f>
        <v>#REF!</v>
      </c>
      <c r="B990" s="3" t="e">
        <f>'III. WaTT Main'!#REF!</f>
        <v>#REF!</v>
      </c>
      <c r="C990" s="3" t="e">
        <f>'III. WaTT Main'!#REF!</f>
        <v>#REF!</v>
      </c>
      <c r="D990" s="16">
        <v>1</v>
      </c>
      <c r="E990" t="e">
        <f>'III. WaTT Main'!#REF!</f>
        <v>#REF!</v>
      </c>
    </row>
    <row r="991" spans="1:5">
      <c r="A991" s="3" t="e">
        <f>'III. WaTT Main'!#REF!</f>
        <v>#REF!</v>
      </c>
      <c r="B991" s="3" t="e">
        <f>'III. WaTT Main'!#REF!</f>
        <v>#REF!</v>
      </c>
      <c r="C991" s="3" t="e">
        <f>'III. WaTT Main'!#REF!</f>
        <v>#REF!</v>
      </c>
      <c r="D991" s="16">
        <v>1</v>
      </c>
      <c r="E991" t="e">
        <f>'III. WaTT Main'!#REF!</f>
        <v>#REF!</v>
      </c>
    </row>
    <row r="992" spans="1:5">
      <c r="A992" s="3" t="e">
        <f>'III. WaTT Main'!#REF!</f>
        <v>#REF!</v>
      </c>
      <c r="B992" s="3" t="e">
        <f>'III. WaTT Main'!#REF!</f>
        <v>#REF!</v>
      </c>
      <c r="C992" s="3" t="e">
        <f>'III. WaTT Main'!#REF!</f>
        <v>#REF!</v>
      </c>
      <c r="D992" s="16">
        <v>1</v>
      </c>
      <c r="E992" t="e">
        <f>'III. WaTT Main'!#REF!</f>
        <v>#REF!</v>
      </c>
    </row>
    <row r="993" spans="1:5">
      <c r="A993" s="3" t="e">
        <f>'III. WaTT Main'!#REF!</f>
        <v>#REF!</v>
      </c>
      <c r="B993" s="3" t="e">
        <f>'III. WaTT Main'!#REF!</f>
        <v>#REF!</v>
      </c>
      <c r="C993" s="3" t="e">
        <f>'III. WaTT Main'!#REF!</f>
        <v>#REF!</v>
      </c>
      <c r="D993" s="16">
        <v>1</v>
      </c>
      <c r="E993" t="e">
        <f>'III. WaTT Main'!#REF!</f>
        <v>#REF!</v>
      </c>
    </row>
    <row r="994" spans="1:5">
      <c r="A994" s="3" t="e">
        <f>'III. WaTT Main'!#REF!</f>
        <v>#REF!</v>
      </c>
      <c r="B994" s="3" t="e">
        <f>'III. WaTT Main'!#REF!</f>
        <v>#REF!</v>
      </c>
      <c r="C994" s="3" t="e">
        <f>'III. WaTT Main'!#REF!</f>
        <v>#REF!</v>
      </c>
      <c r="D994" s="16">
        <v>1</v>
      </c>
      <c r="E994" t="e">
        <f>'III. WaTT Main'!#REF!</f>
        <v>#REF!</v>
      </c>
    </row>
    <row r="995" spans="1:5">
      <c r="A995" s="3" t="e">
        <f>'III. WaTT Main'!#REF!</f>
        <v>#REF!</v>
      </c>
      <c r="B995" s="3" t="e">
        <f>'III. WaTT Main'!#REF!</f>
        <v>#REF!</v>
      </c>
      <c r="C995" s="3" t="e">
        <f>'III. WaTT Main'!#REF!</f>
        <v>#REF!</v>
      </c>
      <c r="D995" s="16">
        <v>1</v>
      </c>
      <c r="E995" t="e">
        <f>'III. WaTT Main'!#REF!</f>
        <v>#REF!</v>
      </c>
    </row>
    <row r="996" spans="1:5">
      <c r="A996" s="3" t="e">
        <f>'III. WaTT Main'!#REF!</f>
        <v>#REF!</v>
      </c>
      <c r="B996" s="3" t="e">
        <f>'III. WaTT Main'!#REF!</f>
        <v>#REF!</v>
      </c>
      <c r="C996" s="3" t="e">
        <f>'III. WaTT Main'!#REF!</f>
        <v>#REF!</v>
      </c>
      <c r="D996" s="16">
        <v>1</v>
      </c>
      <c r="E996" t="e">
        <f>'III. WaTT Main'!#REF!</f>
        <v>#REF!</v>
      </c>
    </row>
    <row r="997" spans="1:5">
      <c r="A997" s="3" t="e">
        <f>'III. WaTT Main'!#REF!</f>
        <v>#REF!</v>
      </c>
      <c r="B997" s="3" t="e">
        <f>'III. WaTT Main'!#REF!</f>
        <v>#REF!</v>
      </c>
      <c r="C997" s="3" t="e">
        <f>'III. WaTT Main'!#REF!</f>
        <v>#REF!</v>
      </c>
      <c r="D997" s="16">
        <v>1</v>
      </c>
      <c r="E997" t="e">
        <f>'III. WaTT Main'!#REF!</f>
        <v>#REF!</v>
      </c>
    </row>
    <row r="998" spans="1:5">
      <c r="A998" s="3" t="e">
        <f>'III. WaTT Main'!#REF!</f>
        <v>#REF!</v>
      </c>
      <c r="B998" s="3" t="e">
        <f>'III. WaTT Main'!#REF!</f>
        <v>#REF!</v>
      </c>
      <c r="C998" s="3" t="e">
        <f>'III. WaTT Main'!#REF!</f>
        <v>#REF!</v>
      </c>
      <c r="D998" s="16">
        <v>1</v>
      </c>
      <c r="E998" t="e">
        <f>'III. WaTT Main'!#REF!</f>
        <v>#REF!</v>
      </c>
    </row>
    <row r="999" spans="1:5">
      <c r="A999" s="3" t="e">
        <f>'III. WaTT Main'!#REF!</f>
        <v>#REF!</v>
      </c>
      <c r="B999" s="3" t="e">
        <f>'III. WaTT Main'!#REF!</f>
        <v>#REF!</v>
      </c>
      <c r="C999" s="3" t="e">
        <f>'III. WaTT Main'!#REF!</f>
        <v>#REF!</v>
      </c>
      <c r="D999" s="16">
        <v>1</v>
      </c>
      <c r="E999" t="e">
        <f>'III. WaTT Main'!#REF!</f>
        <v>#REF!</v>
      </c>
    </row>
    <row r="1000" spans="1:5">
      <c r="A1000" s="3" t="e">
        <f>'III. WaTT Main'!#REF!</f>
        <v>#REF!</v>
      </c>
      <c r="B1000" s="3" t="e">
        <f>'III. WaTT Main'!#REF!</f>
        <v>#REF!</v>
      </c>
      <c r="C1000" s="3" t="e">
        <f>'III. WaTT Main'!#REF!</f>
        <v>#REF!</v>
      </c>
      <c r="D1000" s="16">
        <v>1</v>
      </c>
      <c r="E1000" t="e">
        <f>'III. WaTT Main'!#REF!</f>
        <v>#REF!</v>
      </c>
    </row>
    <row r="1001" spans="1:5">
      <c r="A1001" s="3" t="e">
        <f>'III. WaTT Main'!#REF!</f>
        <v>#REF!</v>
      </c>
      <c r="B1001" s="3" t="e">
        <f>'III. WaTT Main'!#REF!</f>
        <v>#REF!</v>
      </c>
      <c r="C1001" s="3" t="e">
        <f>'III. WaTT Main'!#REF!</f>
        <v>#REF!</v>
      </c>
      <c r="D1001" s="16">
        <v>1</v>
      </c>
      <c r="E1001" t="e">
        <f>'III. WaTT Main'!#REF!</f>
        <v>#REF!</v>
      </c>
    </row>
    <row r="1002" spans="1:5">
      <c r="A1002" s="3" t="e">
        <f>'III. WaTT Main'!#REF!</f>
        <v>#REF!</v>
      </c>
      <c r="B1002" s="3" t="e">
        <f>'III. WaTT Main'!#REF!</f>
        <v>#REF!</v>
      </c>
      <c r="C1002" s="3" t="e">
        <f>'III. WaTT Main'!#REF!</f>
        <v>#REF!</v>
      </c>
      <c r="D1002" s="16">
        <v>1</v>
      </c>
      <c r="E1002" t="e">
        <f>'III. WaTT Main'!#REF!</f>
        <v>#REF!</v>
      </c>
    </row>
    <row r="1003" spans="1:5">
      <c r="A1003" s="3" t="e">
        <f>'III. WaTT Main'!#REF!</f>
        <v>#REF!</v>
      </c>
      <c r="B1003" s="3" t="e">
        <f>'III. WaTT Main'!#REF!</f>
        <v>#REF!</v>
      </c>
      <c r="C1003" s="3" t="e">
        <f>'III. WaTT Main'!#REF!</f>
        <v>#REF!</v>
      </c>
      <c r="D1003" s="16">
        <v>1</v>
      </c>
      <c r="E1003" t="e">
        <f>'III. WaTT Main'!#REF!</f>
        <v>#REF!</v>
      </c>
    </row>
    <row r="1004" spans="1:5">
      <c r="A1004" s="3" t="e">
        <f>'III. WaTT Main'!#REF!</f>
        <v>#REF!</v>
      </c>
      <c r="B1004" s="3" t="e">
        <f>'III. WaTT Main'!#REF!</f>
        <v>#REF!</v>
      </c>
      <c r="C1004" s="3" t="e">
        <f>'III. WaTT Main'!#REF!</f>
        <v>#REF!</v>
      </c>
      <c r="D1004" s="16">
        <v>1</v>
      </c>
      <c r="E1004" t="e">
        <f>'III. WaTT Main'!#REF!</f>
        <v>#REF!</v>
      </c>
    </row>
    <row r="1005" spans="1:5">
      <c r="A1005" s="3" t="e">
        <f>'III. WaTT Main'!#REF!</f>
        <v>#REF!</v>
      </c>
      <c r="B1005" s="3" t="e">
        <f>'III. WaTT Main'!#REF!</f>
        <v>#REF!</v>
      </c>
      <c r="C1005" s="3" t="e">
        <f>'III. WaTT Main'!#REF!</f>
        <v>#REF!</v>
      </c>
      <c r="D1005" s="16">
        <v>1</v>
      </c>
      <c r="E1005" t="e">
        <f>'III. WaTT Main'!#REF!</f>
        <v>#REF!</v>
      </c>
    </row>
    <row r="1006" spans="1:5">
      <c r="A1006" s="3" t="e">
        <f>'III. WaTT Main'!#REF!</f>
        <v>#REF!</v>
      </c>
      <c r="B1006" s="3" t="e">
        <f>'III. WaTT Main'!#REF!</f>
        <v>#REF!</v>
      </c>
      <c r="C1006" s="3" t="e">
        <f>'III. WaTT Main'!#REF!</f>
        <v>#REF!</v>
      </c>
      <c r="D1006" s="16">
        <v>1</v>
      </c>
      <c r="E1006" t="e">
        <f>'III. WaTT Main'!#REF!</f>
        <v>#REF!</v>
      </c>
    </row>
    <row r="1007" spans="1:5">
      <c r="A1007" s="3" t="e">
        <f>'III. WaTT Main'!#REF!</f>
        <v>#REF!</v>
      </c>
      <c r="B1007" s="3" t="e">
        <f>'III. WaTT Main'!#REF!</f>
        <v>#REF!</v>
      </c>
      <c r="C1007" s="3" t="e">
        <f>'III. WaTT Main'!#REF!</f>
        <v>#REF!</v>
      </c>
      <c r="D1007" s="16">
        <v>1</v>
      </c>
      <c r="E1007" t="e">
        <f>'III. WaTT Main'!#REF!</f>
        <v>#REF!</v>
      </c>
    </row>
    <row r="1008" spans="1:5">
      <c r="A1008" s="3" t="e">
        <f>'III. WaTT Main'!#REF!</f>
        <v>#REF!</v>
      </c>
      <c r="B1008" s="3" t="e">
        <f>'III. WaTT Main'!#REF!</f>
        <v>#REF!</v>
      </c>
      <c r="C1008" s="3" t="e">
        <f>'III. WaTT Main'!#REF!</f>
        <v>#REF!</v>
      </c>
      <c r="D1008" s="16">
        <v>1</v>
      </c>
      <c r="E1008" t="e">
        <f>'III. WaTT Main'!#REF!</f>
        <v>#REF!</v>
      </c>
    </row>
    <row r="1009" spans="1:5">
      <c r="A1009" s="3" t="e">
        <f>'III. WaTT Main'!#REF!</f>
        <v>#REF!</v>
      </c>
      <c r="B1009" s="3" t="e">
        <f>'III. WaTT Main'!#REF!</f>
        <v>#REF!</v>
      </c>
      <c r="C1009" s="3" t="e">
        <f>'III. WaTT Main'!#REF!</f>
        <v>#REF!</v>
      </c>
      <c r="D1009" s="16">
        <v>1</v>
      </c>
      <c r="E1009" t="e">
        <f>'III. WaTT Main'!#REF!</f>
        <v>#REF!</v>
      </c>
    </row>
    <row r="1010" spans="1:5">
      <c r="A1010" s="3" t="e">
        <f>'III. WaTT Main'!#REF!</f>
        <v>#REF!</v>
      </c>
      <c r="B1010" s="3" t="e">
        <f>'III. WaTT Main'!#REF!</f>
        <v>#REF!</v>
      </c>
      <c r="C1010" s="3" t="e">
        <f>'III. WaTT Main'!#REF!</f>
        <v>#REF!</v>
      </c>
      <c r="D1010" s="16">
        <v>1</v>
      </c>
      <c r="E1010" t="e">
        <f>'III. WaTT Main'!#REF!</f>
        <v>#REF!</v>
      </c>
    </row>
    <row r="1011" spans="1:5">
      <c r="A1011" s="3" t="e">
        <f>'III. WaTT Main'!#REF!</f>
        <v>#REF!</v>
      </c>
      <c r="B1011" s="3" t="e">
        <f>'III. WaTT Main'!#REF!</f>
        <v>#REF!</v>
      </c>
      <c r="C1011" s="3" t="e">
        <f>'III. WaTT Main'!#REF!</f>
        <v>#REF!</v>
      </c>
      <c r="D1011" s="16">
        <v>1</v>
      </c>
      <c r="E1011" t="e">
        <f>'III. WaTT Main'!#REF!</f>
        <v>#REF!</v>
      </c>
    </row>
    <row r="1012" spans="1:5">
      <c r="A1012" s="3" t="e">
        <f>'III. WaTT Main'!#REF!</f>
        <v>#REF!</v>
      </c>
      <c r="B1012" s="3" t="e">
        <f>'III. WaTT Main'!#REF!</f>
        <v>#REF!</v>
      </c>
      <c r="C1012" s="3" t="e">
        <f>'III. WaTT Main'!#REF!</f>
        <v>#REF!</v>
      </c>
      <c r="D1012" s="16">
        <v>1</v>
      </c>
      <c r="E1012" t="e">
        <f>'III. WaTT Main'!#REF!</f>
        <v>#REF!</v>
      </c>
    </row>
    <row r="1013" spans="1:5">
      <c r="A1013" s="3" t="e">
        <f>'III. WaTT Main'!#REF!</f>
        <v>#REF!</v>
      </c>
      <c r="B1013" s="3" t="e">
        <f>'III. WaTT Main'!#REF!</f>
        <v>#REF!</v>
      </c>
      <c r="C1013" s="3" t="e">
        <f>'III. WaTT Main'!#REF!</f>
        <v>#REF!</v>
      </c>
      <c r="D1013" s="16">
        <v>1</v>
      </c>
      <c r="E1013" t="e">
        <f>'III. WaTT Main'!#REF!</f>
        <v>#REF!</v>
      </c>
    </row>
    <row r="1014" spans="1:5">
      <c r="A1014" s="3" t="e">
        <f>'III. WaTT Main'!#REF!</f>
        <v>#REF!</v>
      </c>
      <c r="B1014" s="3" t="e">
        <f>'III. WaTT Main'!#REF!</f>
        <v>#REF!</v>
      </c>
      <c r="C1014" s="3" t="e">
        <f>'III. WaTT Main'!#REF!</f>
        <v>#REF!</v>
      </c>
      <c r="D1014" s="16">
        <v>1</v>
      </c>
      <c r="E1014" t="e">
        <f>'III. WaTT Main'!#REF!</f>
        <v>#REF!</v>
      </c>
    </row>
    <row r="1015" spans="1:5">
      <c r="A1015" s="3" t="e">
        <f>'III. WaTT Main'!#REF!</f>
        <v>#REF!</v>
      </c>
      <c r="B1015" s="3" t="e">
        <f>'III. WaTT Main'!#REF!</f>
        <v>#REF!</v>
      </c>
      <c r="C1015" s="3" t="e">
        <f>'III. WaTT Main'!#REF!</f>
        <v>#REF!</v>
      </c>
      <c r="D1015" s="16">
        <v>1</v>
      </c>
      <c r="E1015" t="e">
        <f>'III. WaTT Main'!#REF!</f>
        <v>#REF!</v>
      </c>
    </row>
    <row r="1016" spans="1:5">
      <c r="A1016" s="3" t="e">
        <f>'III. WaTT Main'!#REF!</f>
        <v>#REF!</v>
      </c>
      <c r="B1016" s="3" t="e">
        <f>'III. WaTT Main'!#REF!</f>
        <v>#REF!</v>
      </c>
      <c r="C1016" s="3" t="e">
        <f>'III. WaTT Main'!#REF!</f>
        <v>#REF!</v>
      </c>
      <c r="D1016" s="16">
        <v>1</v>
      </c>
      <c r="E1016" t="e">
        <f>'III. WaTT Main'!#REF!</f>
        <v>#REF!</v>
      </c>
    </row>
    <row r="1017" spans="1:5">
      <c r="A1017" s="3" t="e">
        <f>'III. WaTT Main'!#REF!</f>
        <v>#REF!</v>
      </c>
      <c r="B1017" s="3" t="e">
        <f>'III. WaTT Main'!#REF!</f>
        <v>#REF!</v>
      </c>
      <c r="C1017" s="3" t="e">
        <f>'III. WaTT Main'!#REF!</f>
        <v>#REF!</v>
      </c>
      <c r="D1017" s="16">
        <v>1</v>
      </c>
      <c r="E1017" t="e">
        <f>'III. WaTT Main'!#REF!</f>
        <v>#REF!</v>
      </c>
    </row>
    <row r="1018" spans="1:5">
      <c r="A1018" s="3" t="e">
        <f>'III. WaTT Main'!#REF!</f>
        <v>#REF!</v>
      </c>
      <c r="B1018" s="3" t="e">
        <f>'III. WaTT Main'!#REF!</f>
        <v>#REF!</v>
      </c>
      <c r="C1018" s="3" t="e">
        <f>'III. WaTT Main'!#REF!</f>
        <v>#REF!</v>
      </c>
      <c r="D1018" s="16">
        <v>1</v>
      </c>
      <c r="E1018" t="e">
        <f>'III. WaTT Main'!#REF!</f>
        <v>#REF!</v>
      </c>
    </row>
    <row r="1019" spans="1:5">
      <c r="A1019" s="3" t="e">
        <f>'III. WaTT Main'!#REF!</f>
        <v>#REF!</v>
      </c>
      <c r="B1019" s="3" t="e">
        <f>'III. WaTT Main'!#REF!</f>
        <v>#REF!</v>
      </c>
      <c r="C1019" s="3" t="e">
        <f>'III. WaTT Main'!#REF!</f>
        <v>#REF!</v>
      </c>
      <c r="D1019" s="16">
        <v>1</v>
      </c>
      <c r="E1019" t="e">
        <f>'III. WaTT Main'!#REF!</f>
        <v>#REF!</v>
      </c>
    </row>
    <row r="1020" spans="1:5">
      <c r="A1020" s="3" t="e">
        <f>'III. WaTT Main'!#REF!</f>
        <v>#REF!</v>
      </c>
      <c r="B1020" s="3" t="e">
        <f>'III. WaTT Main'!#REF!</f>
        <v>#REF!</v>
      </c>
      <c r="C1020" s="3" t="e">
        <f>'III. WaTT Main'!#REF!</f>
        <v>#REF!</v>
      </c>
      <c r="D1020" s="16">
        <v>1</v>
      </c>
      <c r="E1020" t="e">
        <f>'III. WaTT Main'!#REF!</f>
        <v>#REF!</v>
      </c>
    </row>
    <row r="1021" spans="1:5">
      <c r="A1021" s="3" t="e">
        <f>'III. WaTT Main'!#REF!</f>
        <v>#REF!</v>
      </c>
      <c r="B1021" s="3" t="e">
        <f>'III. WaTT Main'!#REF!</f>
        <v>#REF!</v>
      </c>
      <c r="C1021" s="3" t="e">
        <f>'III. WaTT Main'!#REF!</f>
        <v>#REF!</v>
      </c>
      <c r="D1021" s="16">
        <v>1</v>
      </c>
      <c r="E1021" t="e">
        <f>'III. WaTT Main'!#REF!</f>
        <v>#REF!</v>
      </c>
    </row>
    <row r="1022" spans="1:5">
      <c r="A1022" s="3" t="e">
        <f>'III. WaTT Main'!#REF!</f>
        <v>#REF!</v>
      </c>
      <c r="B1022" s="3" t="e">
        <f>'III. WaTT Main'!#REF!</f>
        <v>#REF!</v>
      </c>
      <c r="C1022" s="3" t="e">
        <f>'III. WaTT Main'!#REF!</f>
        <v>#REF!</v>
      </c>
      <c r="D1022" s="16">
        <v>1</v>
      </c>
      <c r="E1022" t="e">
        <f>'III. WaTT Main'!#REF!</f>
        <v>#REF!</v>
      </c>
    </row>
    <row r="1023" spans="1:5">
      <c r="A1023" s="3" t="e">
        <f>'III. WaTT Main'!#REF!</f>
        <v>#REF!</v>
      </c>
      <c r="B1023" s="3" t="e">
        <f>'III. WaTT Main'!#REF!</f>
        <v>#REF!</v>
      </c>
      <c r="C1023" s="3" t="e">
        <f>'III. WaTT Main'!#REF!</f>
        <v>#REF!</v>
      </c>
      <c r="D1023" s="16">
        <v>1</v>
      </c>
      <c r="E1023" t="e">
        <f>'III. WaTT Main'!#REF!</f>
        <v>#REF!</v>
      </c>
    </row>
    <row r="1024" spans="1:5">
      <c r="A1024" s="3" t="e">
        <f>'III. WaTT Main'!#REF!</f>
        <v>#REF!</v>
      </c>
      <c r="B1024" s="3" t="e">
        <f>'III. WaTT Main'!#REF!</f>
        <v>#REF!</v>
      </c>
      <c r="C1024" s="3" t="e">
        <f>'III. WaTT Main'!#REF!</f>
        <v>#REF!</v>
      </c>
      <c r="D1024" s="16">
        <v>1</v>
      </c>
      <c r="E1024" t="e">
        <f>'III. WaTT Main'!#REF!</f>
        <v>#REF!</v>
      </c>
    </row>
    <row r="1025" spans="1:5">
      <c r="A1025" s="3" t="e">
        <f>'III. WaTT Main'!#REF!</f>
        <v>#REF!</v>
      </c>
      <c r="B1025" s="3" t="e">
        <f>'III. WaTT Main'!#REF!</f>
        <v>#REF!</v>
      </c>
      <c r="C1025" s="3" t="e">
        <f>'III. WaTT Main'!#REF!</f>
        <v>#REF!</v>
      </c>
      <c r="D1025" s="16">
        <v>1</v>
      </c>
      <c r="E1025" t="e">
        <f>'III. WaTT Main'!#REF!</f>
        <v>#REF!</v>
      </c>
    </row>
    <row r="1026" spans="1:5">
      <c r="A1026" s="3" t="e">
        <f>'III. WaTT Main'!#REF!</f>
        <v>#REF!</v>
      </c>
      <c r="B1026" s="3" t="e">
        <f>'III. WaTT Main'!#REF!</f>
        <v>#REF!</v>
      </c>
      <c r="C1026" s="3" t="e">
        <f>'III. WaTT Main'!#REF!</f>
        <v>#REF!</v>
      </c>
      <c r="D1026" s="16">
        <v>1</v>
      </c>
      <c r="E1026" t="e">
        <f>'III. WaTT Main'!#REF!</f>
        <v>#REF!</v>
      </c>
    </row>
    <row r="1027" spans="1:5">
      <c r="A1027" s="3" t="e">
        <f>'III. WaTT Main'!#REF!</f>
        <v>#REF!</v>
      </c>
      <c r="B1027" s="3" t="e">
        <f>'III. WaTT Main'!#REF!</f>
        <v>#REF!</v>
      </c>
      <c r="C1027" s="3" t="e">
        <f>'III. WaTT Main'!#REF!</f>
        <v>#REF!</v>
      </c>
      <c r="D1027" s="16">
        <v>1</v>
      </c>
      <c r="E1027" t="e">
        <f>'III. WaTT Main'!#REF!</f>
        <v>#REF!</v>
      </c>
    </row>
    <row r="1028" spans="1:5">
      <c r="A1028" s="3" t="e">
        <f>'III. WaTT Main'!#REF!</f>
        <v>#REF!</v>
      </c>
      <c r="B1028" s="3" t="e">
        <f>'III. WaTT Main'!#REF!</f>
        <v>#REF!</v>
      </c>
      <c r="C1028" s="3" t="e">
        <f>'III. WaTT Main'!#REF!</f>
        <v>#REF!</v>
      </c>
      <c r="D1028" s="16">
        <v>1</v>
      </c>
      <c r="E1028" t="e">
        <f>'III. WaTT Main'!#REF!</f>
        <v>#REF!</v>
      </c>
    </row>
    <row r="1029" spans="1:5">
      <c r="A1029" s="3" t="e">
        <f>'III. WaTT Main'!#REF!</f>
        <v>#REF!</v>
      </c>
      <c r="B1029" s="3" t="e">
        <f>'III. WaTT Main'!#REF!</f>
        <v>#REF!</v>
      </c>
      <c r="C1029" s="3" t="e">
        <f>'III. WaTT Main'!#REF!</f>
        <v>#REF!</v>
      </c>
      <c r="D1029" s="16">
        <v>1</v>
      </c>
      <c r="E1029" t="e">
        <f>'III. WaTT Main'!#REF!</f>
        <v>#REF!</v>
      </c>
    </row>
    <row r="1030" spans="1:5">
      <c r="A1030" s="3" t="e">
        <f>'III. WaTT Main'!#REF!</f>
        <v>#REF!</v>
      </c>
      <c r="B1030" s="3" t="e">
        <f>'III. WaTT Main'!#REF!</f>
        <v>#REF!</v>
      </c>
      <c r="C1030" s="3" t="e">
        <f>'III. WaTT Main'!#REF!</f>
        <v>#REF!</v>
      </c>
      <c r="D1030" s="16">
        <v>2</v>
      </c>
      <c r="E1030" t="e">
        <f>'III. WaTT Main'!#REF!</f>
        <v>#REF!</v>
      </c>
    </row>
  </sheetData>
  <autoFilter ref="A1:E465" xr:uid="{1B36E0B8-5585-4829-83E1-E0502CB2C121}">
    <sortState xmlns:xlrd2="http://schemas.microsoft.com/office/spreadsheetml/2017/richdata2" ref="A2:E465">
      <sortCondition ref="A1:A465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_WaTT">
                <anchor moveWithCells="1" sizeWithCells="1">
                  <from>
                    <xdr:col>6</xdr:col>
                    <xdr:colOff>754380</xdr:colOff>
                    <xdr:row>2</xdr:row>
                    <xdr:rowOff>30480</xdr:rowOff>
                  </from>
                  <to>
                    <xdr:col>8</xdr:col>
                    <xdr:colOff>762000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E80C1-A1E3-48F1-AB12-8B479B426661}">
  <sheetPr codeName="Hoja4"/>
  <dimension ref="A1"/>
  <sheetViews>
    <sheetView workbookViewId="0"/>
  </sheetViews>
  <sheetFormatPr baseColWidth="10" defaultColWidth="11.5546875" defaultRowHeight="14.4"/>
  <sheetData>
    <row r="1" spans="1:1">
      <c r="A1" s="14" t="s">
        <v>17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4a0461b-737c-4e54-a243-affd44b497b0">
      <Terms xmlns="http://schemas.microsoft.com/office/infopath/2007/PartnerControls"/>
    </lcf76f155ced4ddcb4097134ff3c332f>
    <TaxCatchAll xmlns="2dcc5f87-f3c7-4645-8f76-5aa6490ead2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C0B2F2A529ABD49B15E9915A71AC792" ma:contentTypeVersion="18" ma:contentTypeDescription="Crear nuevo documento." ma:contentTypeScope="" ma:versionID="400ae66ae70f2498be4b0632ebcdfbf9">
  <xsd:schema xmlns:xsd="http://www.w3.org/2001/XMLSchema" xmlns:xs="http://www.w3.org/2001/XMLSchema" xmlns:p="http://schemas.microsoft.com/office/2006/metadata/properties" xmlns:ns2="d4a0461b-737c-4e54-a243-affd44b497b0" xmlns:ns3="2dcc5f87-f3c7-4645-8f76-5aa6490ead2d" targetNamespace="http://schemas.microsoft.com/office/2006/metadata/properties" ma:root="true" ma:fieldsID="80e966b75f77e1f06505ce2a64745f92" ns2:_="" ns3:_="">
    <xsd:import namespace="d4a0461b-737c-4e54-a243-affd44b497b0"/>
    <xsd:import namespace="2dcc5f87-f3c7-4645-8f76-5aa6490ead2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a0461b-737c-4e54-a243-affd44b497b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Etiquetas de imagen" ma:readOnly="false" ma:fieldId="{5cf76f15-5ced-4ddc-b409-7134ff3c332f}" ma:taxonomyMulti="true" ma:sspId="ec5b9f97-a3a9-4673-b973-1f963bf50aa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dcc5f87-f3c7-4645-8f76-5aa6490ead2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9845db6-5e4d-43a6-a66a-c20e23d1f239}" ma:internalName="TaxCatchAll" ma:showField="CatchAllData" ma:web="2dcc5f87-f3c7-4645-8f76-5aa6490ead2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22AA9ED7-3D0E-4928-9EFB-91EFAC5C1F21}">
  <ds:schemaRefs>
    <ds:schemaRef ds:uri="http://schemas.microsoft.com/office/2006/metadata/properties"/>
    <ds:schemaRef ds:uri="http://schemas.microsoft.com/office/infopath/2007/PartnerControls"/>
    <ds:schemaRef ds:uri="d4a0461b-737c-4e54-a243-affd44b497b0"/>
    <ds:schemaRef ds:uri="2dcc5f87-f3c7-4645-8f76-5aa6490ead2d"/>
  </ds:schemaRefs>
</ds:datastoreItem>
</file>

<file path=customXml/itemProps2.xml><?xml version="1.0" encoding="utf-8"?>
<ds:datastoreItem xmlns:ds="http://schemas.openxmlformats.org/officeDocument/2006/customXml" ds:itemID="{DACFCAB6-760F-4D3A-90FC-917E8EBA09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F306088-7694-46C7-8143-616AFCEBE3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a0461b-737c-4e54-a243-affd44b497b0"/>
    <ds:schemaRef ds:uri="2dcc5f87-f3c7-4645-8f76-5aa6490ead2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AC39716-0FA8-4382-9E1B-ACBAEDF293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3</vt:i4>
      </vt:variant>
    </vt:vector>
  </HeadingPairs>
  <TitlesOfParts>
    <vt:vector size="25" baseType="lpstr">
      <vt:lpstr>Guide</vt:lpstr>
      <vt:lpstr>Workflow</vt:lpstr>
      <vt:lpstr>About</vt:lpstr>
      <vt:lpstr>I. WEAP Query setup</vt:lpstr>
      <vt:lpstr>II. Read Topology</vt:lpstr>
      <vt:lpstr>III. WaTT Main</vt:lpstr>
      <vt:lpstr>WaTT_RAW_Output</vt:lpstr>
      <vt:lpstr>WEAP_RAW</vt:lpstr>
      <vt:lpstr>TD_WEAP_RAW</vt:lpstr>
      <vt:lpstr>WaTT_Processed_Outputs</vt:lpstr>
      <vt:lpstr>WaTT_Processed_Outputs _USERS</vt:lpstr>
      <vt:lpstr>WaTT_DB_CompiledOutputs</vt:lpstr>
      <vt:lpstr>Estrategia_cuenca</vt:lpstr>
      <vt:lpstr>PROCESSED_WEAP_DATA</vt:lpstr>
      <vt:lpstr>RAW_WEAP_DATA</vt:lpstr>
      <vt:lpstr>WEAP_Catchment_Topology</vt:lpstr>
      <vt:lpstr>WEAP_RiverReaches_Topology</vt:lpstr>
      <vt:lpstr>WEAP_UsersTopology</vt:lpstr>
      <vt:lpstr>WEAP_Barriers</vt:lpstr>
      <vt:lpstr>Hoja3</vt:lpstr>
      <vt:lpstr>WEAP_BasinMouth</vt:lpstr>
      <vt:lpstr>APP</vt:lpstr>
      <vt:lpstr>WEAP_Barriers!BaseDeDatos</vt:lpstr>
      <vt:lpstr>WEAP_Catchment_Topology!BaseDeDatos</vt:lpstr>
      <vt:lpstr>BaseDeDatos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Hector Angarita</dc:creator>
  <cp:lastModifiedBy>Camilo Gonzalez</cp:lastModifiedBy>
  <dcterms:created xsi:type="dcterms:W3CDTF">2017-03-17T15:54:22Z</dcterms:created>
  <dcterms:modified xsi:type="dcterms:W3CDTF">2024-07-16T19:22:39Z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0x0101002C0B2F2A529ABD49B15E9915A71AC792</vt:lpwstr>
  </property>
  <property fmtid="{D5CDD505-2E9C-101B-9397-08002B2CF9AE}" pid="3" name="ESRI_WORKBOOK_ID">
    <vt:lpwstr>a55b349ca0d54c59a4bfaa72527b5daa</vt:lpwstr>
  </property>
</Properties>
</file>